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name="현금및현금성자산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_-* #,##0.00_-;\-* #,##0.00_-;_-* &quot;-&quot;_-;_-@_-"/>
    <numFmt numFmtId="166" formatCode="_-* #,##0_-;\-* #,##0_-;_-* &quot;-&quot;_-;_-@_-"/>
  </numFmts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sz val="8"/>
    </font>
    <font>
      <name val="맑은 고딕"/>
      <charset val="129"/>
      <family val="3"/>
      <sz val="9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i val="1"/>
      <sz val="9"/>
      <scheme val="minor"/>
    </font>
    <font>
      <name val="바탕체"/>
      <charset val="129"/>
      <family val="1"/>
      <sz val="8"/>
    </font>
    <font>
      <name val="굴림체"/>
      <charset val="129"/>
      <family val="3"/>
      <color indexed="8"/>
      <sz val="9"/>
    </font>
    <font>
      <name val="맑은 고딕"/>
      <charset val="129"/>
      <family val="3"/>
      <sz val="9"/>
      <scheme val="major"/>
    </font>
    <font>
      <name val="맑은 고딕"/>
      <charset val="129"/>
      <family val="3"/>
      <b val="1"/>
      <sz val="9"/>
      <scheme val="maj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0" borderId="0"/>
    <xf numFmtId="0" fontId="11" fillId="0" borderId="0"/>
  </cellStyleXfs>
  <cellXfs count="44">
    <xf numFmtId="0" fontId="0" fillId="0" borderId="0" applyAlignment="1" pivotButton="0" quotePrefix="0" xfId="0">
      <alignment vertical="center"/>
    </xf>
    <xf numFmtId="164" fontId="3" fillId="2" borderId="0" applyAlignment="1" pivotButton="0" quotePrefix="0" xfId="2">
      <alignment horizontal="center" vertical="center"/>
    </xf>
    <xf numFmtId="0" fontId="6" fillId="2" borderId="0" applyAlignment="1" pivotButton="0" quotePrefix="0" xfId="2">
      <alignment vertical="center"/>
    </xf>
    <xf numFmtId="0" fontId="6" fillId="2" borderId="1" applyAlignment="1" pivotButton="0" quotePrefix="0" xfId="2">
      <alignment vertical="center"/>
    </xf>
    <xf numFmtId="0" fontId="3" fillId="2" borderId="0" applyAlignment="1" pivotButton="0" quotePrefix="0" xfId="2">
      <alignment horizontal="right" vertical="center"/>
    </xf>
    <xf numFmtId="165" fontId="3" fillId="2" borderId="0" applyAlignment="1" pivotButton="0" quotePrefix="0" xfId="2">
      <alignment horizontal="right" vertical="center"/>
    </xf>
    <xf numFmtId="0" fontId="8" fillId="0" borderId="0" applyAlignment="1" pivotButton="0" quotePrefix="0" xfId="0">
      <alignment vertical="center"/>
    </xf>
    <xf numFmtId="164" fontId="9" fillId="2" borderId="2" applyAlignment="1" pivotButton="0" quotePrefix="0" xfId="2">
      <alignment horizontal="center" vertical="center"/>
    </xf>
    <xf numFmtId="0" fontId="9" fillId="2" borderId="2" applyAlignment="1" pivotButton="0" quotePrefix="0" xfId="2">
      <alignment horizontal="center" vertical="center"/>
    </xf>
    <xf numFmtId="0" fontId="9" fillId="2" borderId="2" applyAlignment="1" pivotButton="0" quotePrefix="0" xfId="3">
      <alignment vertical="center"/>
    </xf>
    <xf numFmtId="0" fontId="9" fillId="2" borderId="2" applyAlignment="1" pivotButton="0" quotePrefix="0" xfId="2">
      <alignment horizontal="right" vertical="center"/>
    </xf>
    <xf numFmtId="165" fontId="9" fillId="2" borderId="2" applyAlignment="1" pivotButton="0" quotePrefix="0" xfId="2">
      <alignment horizontal="right" vertical="center"/>
    </xf>
    <xf numFmtId="164" fontId="3" fillId="2" borderId="1" applyAlignment="1" pivotButton="0" quotePrefix="0" xfId="2">
      <alignment horizontal="center" vertical="center"/>
    </xf>
    <xf numFmtId="14" fontId="3" fillId="2" borderId="1" applyAlignment="1" pivotButton="0" quotePrefix="0" xfId="2">
      <alignment horizontal="center" vertical="center"/>
    </xf>
    <xf numFmtId="0" fontId="3" fillId="2" borderId="1" applyAlignment="1" pivotButton="0" quotePrefix="0" xfId="3">
      <alignment vertical="center"/>
    </xf>
    <xf numFmtId="0" fontId="3" fillId="2" borderId="1" applyAlignment="1" pivotButton="0" quotePrefix="0" xfId="2">
      <alignment horizontal="center" vertical="center"/>
    </xf>
    <xf numFmtId="164" fontId="3" fillId="2" borderId="1" applyAlignment="1" pivotButton="0" quotePrefix="1" xfId="2">
      <alignment horizontal="right" vertical="center"/>
    </xf>
    <xf numFmtId="0" fontId="3" fillId="2" borderId="1" applyAlignment="1" pivotButton="0" quotePrefix="1" xfId="2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13" fillId="3" borderId="3" applyAlignment="1" pivotButton="0" quotePrefix="0" xfId="0">
      <alignment horizontal="centerContinuous"/>
    </xf>
    <xf numFmtId="0" fontId="13" fillId="3" borderId="3" applyAlignment="1" pivotButton="0" quotePrefix="0" xfId="0">
      <alignment horizontal="center"/>
    </xf>
    <xf numFmtId="14" fontId="13" fillId="3" borderId="3" applyAlignment="1" pivotButton="0" quotePrefix="0" xfId="0">
      <alignment horizontal="center"/>
    </xf>
    <xf numFmtId="166" fontId="12" fillId="0" borderId="0" pivotButton="0" quotePrefix="0" xfId="1"/>
    <xf numFmtId="166" fontId="12" fillId="2" borderId="0" pivotButton="0" quotePrefix="0" xfId="1"/>
    <xf numFmtId="166" fontId="8" fillId="0" borderId="4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/>
    </xf>
    <xf numFmtId="0" fontId="8" fillId="4" borderId="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164" fontId="3" fillId="2" borderId="0" applyAlignment="1" pivotButton="0" quotePrefix="0" xfId="2">
      <alignment horizontal="center" vertical="center"/>
    </xf>
    <xf numFmtId="165" fontId="3" fillId="2" borderId="0" applyAlignment="1" pivotButton="0" quotePrefix="0" xfId="2">
      <alignment horizontal="right" vertical="center"/>
    </xf>
    <xf numFmtId="164" fontId="9" fillId="2" borderId="2" applyAlignment="1" pivotButton="0" quotePrefix="0" xfId="2">
      <alignment horizontal="center" vertical="center"/>
    </xf>
    <xf numFmtId="165" fontId="9" fillId="2" borderId="2" applyAlignment="1" pivotButton="0" quotePrefix="0" xfId="2">
      <alignment horizontal="right" vertical="center"/>
    </xf>
    <xf numFmtId="164" fontId="3" fillId="2" borderId="1" applyAlignment="1" pivotButton="0" quotePrefix="0" xfId="2">
      <alignment horizontal="center" vertical="center"/>
    </xf>
    <xf numFmtId="164" fontId="3" fillId="2" borderId="1" applyAlignment="1" pivotButton="0" quotePrefix="1" xfId="2">
      <alignment horizontal="right" vertical="center"/>
    </xf>
    <xf numFmtId="166" fontId="12" fillId="0" borderId="0" pivotButton="0" quotePrefix="0" xfId="1"/>
    <xf numFmtId="166" fontId="12" fillId="2" borderId="0" pivotButton="0" quotePrefix="0" xfId="1"/>
    <xf numFmtId="166" fontId="8" fillId="0" borderId="4" applyAlignment="1" pivotButton="0" quotePrefix="0" xfId="0">
      <alignment vertical="center"/>
    </xf>
    <xf numFmtId="3" fontId="8" fillId="4" borderId="0" applyAlignment="1" pivotButton="0" quotePrefix="0" xfId="0">
      <alignment vertical="center"/>
    </xf>
    <xf numFmtId="3" fontId="8" fillId="4" borderId="4" applyAlignment="1" pivotButton="0" quotePrefix="0" xfId="0">
      <alignment vertical="center"/>
    </xf>
    <xf numFmtId="3" fontId="0" fillId="0" borderId="0" pivotButton="0" quotePrefix="0" xfId="0"/>
  </cellXfs>
  <cellStyles count="4">
    <cellStyle name="표준" xfId="0" builtinId="0"/>
    <cellStyle name="쉼표 [0]" xfId="1" builtinId="6"/>
    <cellStyle name="표준_Sheet1" xfId="2"/>
    <cellStyle name="표준 5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&#45824;&#51068;&#45236;&#51109;&#49328;&#52968;&#53944;&#47532;&#53364;&#47101;/&#45824;&#51068;&#45236;&#51109;&#49328;&#44264;&#54532;&#53364;&#47101;/25&#45380;/&#45824;&#51068;&#45236;&#51109;&#49328;&#44264;&#54532;&#53364;&#47101;(25&#45380;)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의문사항"/>
      <sheetName val="대차재무제표분석 (2)"/>
      <sheetName val="손익분석"/>
      <sheetName val="주요경영지표"/>
      <sheetName val="기본사항"/>
      <sheetName val="수정사항"/>
      <sheetName val="합잔_2025"/>
      <sheetName val="합잔_2024"/>
      <sheetName val="매출채권lead"/>
      <sheetName val="채권증감"/>
      <sheetName val="재고자산"/>
      <sheetName val="매출대 매출채권"/>
      <sheetName val="상품수불부"/>
      <sheetName val="저장품수불부"/>
      <sheetName val="재고실사"/>
      <sheetName val="매입채무"/>
      <sheetName val="매입TOT"/>
      <sheetName val="외상매입금조회"/>
      <sheetName val="채무증감"/>
      <sheetName val="기타유동부채"/>
      <sheetName val="미지급금"/>
      <sheetName val="기타비유동부채"/>
      <sheetName val="할부총괄"/>
      <sheetName val="미지급금_산은"/>
      <sheetName val="장기미지급금_현대"/>
      <sheetName val="장기리스_총괄"/>
      <sheetName val="에어레이터_우리금융"/>
      <sheetName val="벙커정리기_우리금융"/>
      <sheetName val="트랙터_우리금융"/>
      <sheetName val="페어웨이스위퍼_우리금융"/>
      <sheetName val="5갱모어"/>
      <sheetName val="장기리스_골프카"/>
      <sheetName val="장기리스_배토기외"/>
      <sheetName val="장기리스_제설브러쉬"/>
      <sheetName val="장기리스_승용그린"/>
      <sheetName val="장기리스_지주식그린모어"/>
      <sheetName val="차량1_2250"/>
      <sheetName val="차량2-유로스타"/>
      <sheetName val="카트_2인승(6대)"/>
      <sheetName val="카드_2인승(2대)"/>
      <sheetName val="차입금lead"/>
      <sheetName val="차입금증감"/>
      <sheetName val="이자비용overall"/>
      <sheetName val="이자비용"/>
      <sheetName val="퇴충"/>
      <sheetName val="퇴직자명단"/>
      <sheetName val="추계액_2025"/>
      <sheetName val="추계액_2024"/>
      <sheetName val="추계액_2023"/>
      <sheetName val="추계액_2022"/>
      <sheetName val="매출"/>
      <sheetName val="분석적검토"/>
      <sheetName val="선불카드"/>
      <sheetName val="부가세신고서"/>
      <sheetName val="판관비LEAD"/>
      <sheetName val="월별판관비"/>
      <sheetName val="지급수수료전당기비교_판관"/>
      <sheetName val="판관비tot"/>
      <sheetName val="매출원가"/>
      <sheetName val="지급수수료전당기비교_코스"/>
      <sheetName val="급여"/>
      <sheetName val="월별매출원가"/>
      <sheetName val="매출원가tot"/>
      <sheetName val="연차총괄"/>
      <sheetName val="연차수당의 개요"/>
      <sheetName val="2023년연차발생현황"/>
      <sheetName val="2025년연차"/>
    </sheetNames>
    <sheetDataSet>
      <sheetData sheetId="0"/>
      <sheetData sheetId="1"/>
      <sheetData sheetId="2"/>
      <sheetData sheetId="3"/>
      <sheetData sheetId="4">
        <row r="3">
          <cell r="B3">
            <v>2025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workbookViewId="0">
      <pane ySplit="6" topLeftCell="A7" activePane="bottomLeft" state="frozen"/>
      <selection pane="bottomLeft" activeCell="E20" sqref="E20"/>
    </sheetView>
  </sheetViews>
  <sheetFormatPr baseColWidth="8" defaultRowHeight="14.5"/>
  <cols>
    <col width="18.25" bestFit="1" customWidth="1" style="30" min="1" max="1"/>
    <col width="70.5" bestFit="1" customWidth="1" style="30" min="2" max="2"/>
    <col width="18.5" bestFit="1" customWidth="1" style="30" min="3" max="3"/>
    <col width="12.6640625" bestFit="1" customWidth="1" style="30" min="4" max="4"/>
    <col width="9.6640625" bestFit="1" customWidth="1" style="30" min="5" max="5"/>
    <col width="10.5" bestFit="1" customWidth="1" style="30" min="6" max="6"/>
    <col width="9" bestFit="1" customWidth="1" style="30" min="7" max="7"/>
    <col width="9.6640625" bestFit="1" customWidth="1" style="30" min="8" max="8"/>
    <col width="12.9140625" bestFit="1" customWidth="1" style="30" min="9" max="9"/>
    <col width="8.6640625" customWidth="1" style="30" min="10" max="16384"/>
  </cols>
  <sheetData>
    <row r="1" ht="14.4" customHeight="1" s="31" thickBot="1">
      <c r="A1" s="32" t="inlineStr">
        <is>
          <t>삼덕회계법인</t>
        </is>
      </c>
      <c r="B1" s="2" t="n"/>
      <c r="C1" s="3" t="n"/>
      <c r="D1" s="2" t="n"/>
      <c r="E1" s="2" t="n"/>
      <c r="F1" s="2" t="n"/>
      <c r="G1" s="2" t="n"/>
      <c r="H1" s="4" t="n"/>
      <c r="I1" s="33" t="inlineStr">
        <is>
          <t>현금및현금성자산</t>
        </is>
      </c>
    </row>
    <row r="2" ht="14.4" customHeight="1" s="31">
      <c r="A2" s="34" t="inlineStr">
        <is>
          <t>Client</t>
        </is>
      </c>
      <c r="B2" s="8" t="inlineStr">
        <is>
          <t>Period-end</t>
        </is>
      </c>
      <c r="C2" s="9" t="inlineStr">
        <is>
          <t>Title</t>
        </is>
      </c>
      <c r="D2" s="34" t="inlineStr">
        <is>
          <t>Prepared by</t>
        </is>
      </c>
      <c r="E2" s="8" t="inlineStr">
        <is>
          <t>Date</t>
        </is>
      </c>
      <c r="F2" s="8" t="inlineStr">
        <is>
          <t>Reviewed By</t>
        </is>
      </c>
      <c r="G2" s="8" t="inlineStr">
        <is>
          <t>Date</t>
        </is>
      </c>
      <c r="H2" s="10" t="n"/>
      <c r="I2" s="35" t="inlineStr">
        <is>
          <t>W/P reference</t>
        </is>
      </c>
    </row>
    <row r="3" ht="14.4" customHeight="1" s="31" thickBot="1">
      <c r="A3" s="36" t="inlineStr">
        <is>
          <t>dae_il</t>
        </is>
      </c>
      <c r="B3" s="13" t="inlineStr">
        <is>
          <t>2025.12.31</t>
        </is>
      </c>
      <c r="C3" s="14" t="inlineStr">
        <is>
          <t>현금및현금성자산 Lead Schedule</t>
        </is>
      </c>
      <c r="D3" s="36" t="inlineStr">
        <is>
          <t>이병하</t>
        </is>
      </c>
      <c r="E3" s="13" t="n">
        <v>46054</v>
      </c>
      <c r="F3" s="15" t="n"/>
      <c r="G3" s="13">
        <f>E3</f>
        <v/>
      </c>
      <c r="H3" s="37" t="n"/>
      <c r="I3" s="17" t="n"/>
    </row>
    <row r="4" customFormat="1" s="18"/>
    <row r="5" customFormat="1" s="18"/>
    <row r="6" customFormat="1" s="19">
      <c r="E6" s="20" t="inlineStr">
        <is>
          <t>2025.12.31</t>
        </is>
      </c>
      <c r="F6" s="20" t="n"/>
      <c r="G6" s="20" t="n"/>
      <c r="H6" s="20" t="n"/>
    </row>
    <row r="7" customFormat="1" s="19">
      <c r="A7" s="21" t="n"/>
      <c r="B7" s="21" t="inlineStr">
        <is>
          <t>2024.12.31</t>
        </is>
      </c>
      <c r="C7" s="22" t="inlineStr">
        <is>
          <t>차변</t>
        </is>
      </c>
      <c r="D7" s="21" t="inlineStr">
        <is>
          <t>대변</t>
        </is>
      </c>
      <c r="E7" s="21" t="inlineStr">
        <is>
          <t>PER BOOK</t>
        </is>
      </c>
      <c r="F7" s="21" t="inlineStr">
        <is>
          <t>AJE</t>
        </is>
      </c>
      <c r="G7" s="21" t="inlineStr">
        <is>
          <t>RES</t>
        </is>
      </c>
      <c r="H7" s="21" t="inlineStr">
        <is>
          <t>FINAL</t>
        </is>
      </c>
    </row>
    <row r="8" customFormat="1" s="18">
      <c r="A8" s="38" t="inlineStr">
        <is>
          <t>현금및현금성자산</t>
        </is>
      </c>
      <c r="B8" s="38">
        <f>C33</f>
        <v/>
      </c>
      <c r="C8" s="39" t="n">
        <v>80646281721</v>
      </c>
      <c r="D8" s="39" t="n">
        <v>81891571086</v>
      </c>
      <c r="E8" s="38">
        <f>B8+C8-D8</f>
        <v/>
      </c>
      <c r="F8" s="38" t="n"/>
      <c r="G8" s="38" t="n"/>
      <c r="H8" s="38">
        <f>E8+F8+G8</f>
        <v/>
      </c>
    </row>
    <row r="9" customFormat="1" s="18">
      <c r="A9" s="38" t="inlineStr">
        <is>
          <t>단기금융상품</t>
        </is>
      </c>
      <c r="B9" s="38">
        <f>C42</f>
        <v/>
      </c>
      <c r="C9" s="39" t="n">
        <v>3000000000</v>
      </c>
      <c r="D9" s="39" t="n">
        <v>3000000000</v>
      </c>
      <c r="E9" s="38">
        <f>B9+C9-D9</f>
        <v/>
      </c>
      <c r="F9" s="38" t="n"/>
      <c r="G9" s="38" t="n"/>
      <c r="H9" s="38">
        <f>E9+F9+G9</f>
        <v/>
      </c>
    </row>
    <row r="10" ht="15" customHeight="1" s="31" thickBot="1">
      <c r="B10" s="40">
        <f>SUM(B8:B9)</f>
        <v/>
      </c>
      <c r="C10" s="40">
        <f>SUM(C8:C9)</f>
        <v/>
      </c>
      <c r="D10" s="40">
        <f>SUM(D8:D9)</f>
        <v/>
      </c>
      <c r="E10" s="40">
        <f>SUM(E8:E9)</f>
        <v/>
      </c>
      <c r="F10" s="40">
        <f>SUM(F8:F9)</f>
        <v/>
      </c>
      <c r="G10" s="40">
        <f>SUM(G8:G9)</f>
        <v/>
      </c>
      <c r="H10" s="40">
        <f>SUM(H8:H9)</f>
        <v/>
      </c>
    </row>
    <row r="11" ht="15" customHeight="1" s="31" thickTop="1">
      <c r="B11" s="30" t="inlineStr">
        <is>
          <t>회사는 현금및현금성자산을 여러계정을 사용하므로 각 계정들의 합계를 받아옴</t>
        </is>
      </c>
      <c r="C11" s="26" t="n"/>
      <c r="D11" s="30" t="inlineStr">
        <is>
          <t>분개장이나 계정별원장에서 가져올 수 있음</t>
        </is>
      </c>
    </row>
    <row r="13">
      <c r="A13" s="30" t="inlineStr">
        <is>
          <t>현금및현금성자산의 내용&gt;</t>
        </is>
      </c>
    </row>
    <row r="14">
      <c r="A14" s="27" t="inlineStr">
        <is>
          <t>구분</t>
        </is>
      </c>
      <c r="B14" s="28" t="inlineStr">
        <is>
          <t>당기</t>
        </is>
      </c>
      <c r="C14" s="28" t="inlineStr">
        <is>
          <t>전기</t>
        </is>
      </c>
      <c r="E14" s="30" t="inlineStr">
        <is>
          <t>당기와 전기 분개장이나 계정별원장에서 가져올 수 있음</t>
        </is>
      </c>
    </row>
    <row r="15">
      <c r="A15" s="27" t="inlineStr">
        <is>
          <t>당좌예금</t>
        </is>
      </c>
      <c r="B15" s="41" t="n">
        <v>155963118</v>
      </c>
      <c r="C15" s="41" t="n">
        <v>1402660216</v>
      </c>
      <c r="E15" s="27" t="n"/>
    </row>
    <row r="16">
      <c r="A16" s="27" t="inlineStr">
        <is>
          <t>보통예금</t>
        </is>
      </c>
      <c r="B16" s="41" t="n">
        <v>5513181</v>
      </c>
      <c r="C16" s="41" t="n">
        <v>5503068</v>
      </c>
    </row>
    <row r="17">
      <c r="A17" s="27" t="inlineStr">
        <is>
          <t>보통예금/기은수금</t>
        </is>
      </c>
      <c r="B17" s="41" t="n">
        <v>2794000</v>
      </c>
      <c r="C17" s="41" t="n">
        <v>27770</v>
      </c>
    </row>
    <row r="18">
      <c r="A18" s="27" t="inlineStr">
        <is>
          <t>보통예금/하이패스</t>
        </is>
      </c>
      <c r="B18" s="41" t="n">
        <v>-1395782</v>
      </c>
      <c r="C18" s="41" t="n">
        <v>3381611</v>
      </c>
    </row>
    <row r="19">
      <c r="A19" s="27" t="inlineStr">
        <is>
          <t>현금</t>
        </is>
      </c>
      <c r="B19" s="41" t="n">
        <v>-600</v>
      </c>
      <c r="C19" s="41" t="n">
        <v>0</v>
      </c>
    </row>
    <row r="20">
      <c r="A20" s="27" t="inlineStr">
        <is>
          <t>보통예금/TMS보조금(수질)</t>
        </is>
      </c>
      <c r="B20" s="41" t="n">
        <v>2</v>
      </c>
      <c r="C20" s="41" t="n">
        <v>0</v>
      </c>
    </row>
    <row r="21">
      <c r="A21" s="27" t="inlineStr">
        <is>
          <t>보통예금/국민대출</t>
        </is>
      </c>
      <c r="B21" s="41" t="n">
        <v>0</v>
      </c>
      <c r="C21" s="41" t="n">
        <v>38520080</v>
      </c>
    </row>
    <row r="22">
      <c r="A22" s="27" t="inlineStr">
        <is>
          <t>보통예금/국민수금</t>
        </is>
      </c>
      <c r="B22" s="41" t="n">
        <v>0</v>
      </c>
      <c r="C22" s="41" t="n">
        <v>229</v>
      </c>
    </row>
    <row r="23" ht="15" customHeight="1" s="31" thickBot="1">
      <c r="A23" s="27" t="inlineStr">
        <is>
          <t>보통예금/농협보조금</t>
        </is>
      </c>
      <c r="B23" s="41" t="n">
        <v>0</v>
      </c>
      <c r="C23" s="41" t="n">
        <v>28531320</v>
      </c>
      <c r="E23" s="27" t="n"/>
    </row>
    <row r="24" ht="15" customHeight="1" s="31" thickTop="1">
      <c r="A24" s="27" t="inlineStr">
        <is>
          <t>보통예금/농협수금</t>
        </is>
      </c>
      <c r="B24" s="41" t="n">
        <v>0</v>
      </c>
      <c r="C24" s="41" t="n">
        <v>26547</v>
      </c>
      <c r="E24" s="27" t="n"/>
    </row>
    <row r="25">
      <c r="A25" s="27" t="inlineStr">
        <is>
          <t>보통예금/신한</t>
        </is>
      </c>
      <c r="B25" s="41" t="n">
        <v>0</v>
      </c>
      <c r="C25" s="41" t="n">
        <v>3663934</v>
      </c>
      <c r="E25" s="27" t="n"/>
    </row>
    <row r="26">
      <c r="A26" s="27" t="inlineStr">
        <is>
          <t>보통예금/신한수금</t>
        </is>
      </c>
      <c r="B26" s="41" t="n">
        <v>0</v>
      </c>
      <c r="C26" s="41" t="n">
        <v>372</v>
      </c>
      <c r="E26" s="27" t="n"/>
    </row>
    <row r="27">
      <c r="A27" s="27" t="inlineStr">
        <is>
          <t>보통예금/우리수금</t>
        </is>
      </c>
      <c r="B27" s="41" t="n">
        <v>0</v>
      </c>
      <c r="C27" s="41" t="n">
        <v>1842</v>
      </c>
      <c r="E27" s="27" t="n"/>
    </row>
    <row r="28">
      <c r="A28" s="27" t="inlineStr">
        <is>
          <t>보통예금/자원회수운영</t>
        </is>
      </c>
      <c r="B28" s="41" t="n">
        <v>0</v>
      </c>
      <c r="C28" s="41" t="n">
        <v>4731708</v>
      </c>
      <c r="E28" s="27" t="n"/>
    </row>
    <row r="29">
      <c r="A29" s="27" t="inlineStr">
        <is>
          <t>보통예금/하나</t>
        </is>
      </c>
      <c r="B29" s="41" t="n">
        <v>0</v>
      </c>
      <c r="C29" s="41" t="n">
        <v>507980</v>
      </c>
      <c r="E29" s="27" t="n"/>
    </row>
    <row r="30">
      <c r="A30" s="27" t="inlineStr">
        <is>
          <t>보통예금/하나수금</t>
        </is>
      </c>
      <c r="B30" s="41" t="n">
        <v>0</v>
      </c>
      <c r="C30" s="41" t="n">
        <v>371</v>
      </c>
      <c r="E30" s="27" t="n"/>
    </row>
    <row r="31">
      <c r="A31" s="27" t="inlineStr">
        <is>
          <t>보통예금 농협매립</t>
        </is>
      </c>
      <c r="B31" s="41" t="n">
        <v>0</v>
      </c>
      <c r="C31" s="41" t="n">
        <v>3630477</v>
      </c>
      <c r="E31" s="27" t="n"/>
    </row>
    <row r="32">
      <c r="A32" s="27" t="inlineStr">
        <is>
          <t>보통예금 탄소중립설비</t>
        </is>
      </c>
      <c r="B32" s="41" t="n">
        <v>0</v>
      </c>
      <c r="C32" s="41" t="n">
        <v>94200000</v>
      </c>
      <c r="E32" s="27" t="n"/>
    </row>
    <row r="33">
      <c r="A33" s="27" t="inlineStr">
        <is>
          <t>합계</t>
        </is>
      </c>
      <c r="B33" s="42">
        <f>SUM(B15:B32)</f>
        <v/>
      </c>
      <c r="C33" s="42">
        <f>SUM(C15:C32)</f>
        <v/>
      </c>
    </row>
    <row r="34"/>
    <row r="35">
      <c r="A35" s="30" t="inlineStr">
        <is>
          <t>단기금융자산의 내용&gt;</t>
        </is>
      </c>
    </row>
    <row r="36">
      <c r="A36" s="27" t="inlineStr">
        <is>
          <t>구분</t>
        </is>
      </c>
      <c r="B36" s="28" t="inlineStr">
        <is>
          <t>당기</t>
        </is>
      </c>
      <c r="C36" s="28" t="inlineStr">
        <is>
          <t>전기</t>
        </is>
      </c>
      <c r="E36" s="30" t="inlineStr">
        <is>
          <t>당기와 전기 분개장이나 계정별원장에서 가져올 수 있음</t>
        </is>
      </c>
    </row>
    <row r="37">
      <c r="A37" s="27" t="inlineStr">
        <is>
          <t>기은/기업부금</t>
        </is>
      </c>
      <c r="B37" s="41" t="n">
        <v>0</v>
      </c>
      <c r="C37" s="41" t="n">
        <v>420000000</v>
      </c>
      <c r="E37" s="27" t="n"/>
    </row>
    <row r="38">
      <c r="A38" s="27" t="inlineStr">
        <is>
          <t>기은/기업부금3</t>
        </is>
      </c>
      <c r="B38" s="41" t="n">
        <v>0</v>
      </c>
      <c r="C38" s="41" t="n">
        <v>180000000</v>
      </c>
    </row>
    <row r="39">
      <c r="A39" s="27" t="inlineStr">
        <is>
          <t>하나/정기적금</t>
        </is>
      </c>
      <c r="B39" s="41" t="n">
        <v>0</v>
      </c>
      <c r="C39" s="41" t="n">
        <v>400000000</v>
      </c>
    </row>
    <row r="40">
      <c r="A40" s="27" t="inlineStr">
        <is>
          <t>하나/정기적금2</t>
        </is>
      </c>
      <c r="B40" s="41" t="n">
        <v>0</v>
      </c>
      <c r="C40" s="41" t="n">
        <v>550000000</v>
      </c>
      <c r="E40" s="27" t="n"/>
    </row>
    <row r="41">
      <c r="A41" s="27" t="inlineStr">
        <is>
          <t>신한 정기예금</t>
        </is>
      </c>
      <c r="B41" s="41" t="n">
        <v>0</v>
      </c>
      <c r="C41" s="41" t="n">
        <v>2000000000</v>
      </c>
      <c r="E41" s="27" t="n"/>
    </row>
    <row r="42">
      <c r="A42" s="27" t="inlineStr">
        <is>
          <t>합계</t>
        </is>
      </c>
      <c r="B42" s="41">
        <f>SUM(B37:B41)</f>
        <v/>
      </c>
      <c r="C42" s="41">
        <f>SUM(C37:C41)</f>
        <v/>
      </c>
    </row>
    <row r="43">
      <c r="B43" s="30" t="n"/>
      <c r="C43" s="30" t="n"/>
    </row>
    <row r="44">
      <c r="A44" t="inlineStr">
        <is>
          <t>예금명세&gt;</t>
        </is>
      </c>
    </row>
    <row r="45">
      <c r="A45" t="inlineStr">
        <is>
          <t>구분</t>
        </is>
      </c>
      <c r="B45" t="inlineStr">
        <is>
          <t>금융기관</t>
        </is>
      </c>
      <c r="C45" t="inlineStr">
        <is>
          <t>계좌번호 (수기 입력)</t>
        </is>
      </c>
      <c r="D45" t="inlineStr">
        <is>
          <t>당기 기말잔액</t>
        </is>
      </c>
      <c r="E45" t="inlineStr">
        <is>
          <t>전기 기말잔액</t>
        </is>
      </c>
      <c r="F45" t="inlineStr">
        <is>
          <t>비고</t>
        </is>
      </c>
    </row>
    <row r="46">
      <c r="A46" t="inlineStr">
        <is>
          <t>당좌예금</t>
        </is>
      </c>
      <c r="D46" s="43" t="n">
        <v>155963118</v>
      </c>
      <c r="E46" s="43" t="n">
        <v>1402660216</v>
      </c>
    </row>
    <row r="47">
      <c r="A47" t="inlineStr">
        <is>
          <t>보통예금</t>
        </is>
      </c>
      <c r="D47" s="43" t="n">
        <v>5513181</v>
      </c>
      <c r="E47" s="43" t="n">
        <v>5503068</v>
      </c>
    </row>
    <row r="48">
      <c r="A48" t="inlineStr">
        <is>
          <t>보통예금/기은수금</t>
        </is>
      </c>
      <c r="B48" t="inlineStr">
        <is>
          <t>기은</t>
        </is>
      </c>
      <c r="D48" s="43" t="n">
        <v>2794000</v>
      </c>
      <c r="E48" s="43" t="n">
        <v>27770</v>
      </c>
    </row>
    <row r="49">
      <c r="A49" t="inlineStr">
        <is>
          <t>보통예금/하이패스</t>
        </is>
      </c>
      <c r="B49" t="inlineStr">
        <is>
          <t>하이패스</t>
        </is>
      </c>
      <c r="D49" s="43" t="n">
        <v>-1395782</v>
      </c>
      <c r="E49" s="43" t="n">
        <v>3381611</v>
      </c>
    </row>
    <row r="50">
      <c r="A50" t="inlineStr">
        <is>
          <t>보통예금/TMS보조금(수질)</t>
        </is>
      </c>
      <c r="B50" t="inlineStr">
        <is>
          <t>TMS보조금(수질)</t>
        </is>
      </c>
      <c r="D50" s="43" t="n">
        <v>2</v>
      </c>
      <c r="E50" s="43" t="n"/>
    </row>
    <row r="51">
      <c r="A51" t="inlineStr">
        <is>
          <t>합계</t>
        </is>
      </c>
      <c r="D51" s="43">
        <f>SUM(D46:D50)</f>
        <v/>
      </c>
      <c r="E51" s="43">
        <f>SUM(E46:E50)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병하 이</dc:creator>
  <dcterms:created xsi:type="dcterms:W3CDTF">2026-05-04T05:01:15Z</dcterms:created>
  <dcterms:modified xsi:type="dcterms:W3CDTF">2026-05-04T06:23:55Z</dcterms:modified>
  <cp:lastModifiedBy>병하 이</cp:lastModifiedBy>
</cp:coreProperties>
</file>