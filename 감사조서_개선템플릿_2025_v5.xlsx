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"/>
    </mc:Choice>
  </mc:AlternateContent>
  <xr:revisionPtr revIDLastSave="0" documentId="8_{B5C07048-C32C-406B-BCAD-721F5221D9FE}" xr6:coauthVersionLast="47" xr6:coauthVersionMax="47" xr10:uidLastSave="{00000000-0000-0000-0000-000000000000}"/>
  <bookViews>
    <workbookView xWindow="-110" yWindow="-110" windowWidth="25820" windowHeight="16220" firstSheet="3" activeTab="7" xr2:uid="{00000000-000D-0000-FFFF-FFFF00000000}"/>
  </bookViews>
  <sheets>
    <sheet name="기본사항" sheetId="1" r:id="rId1"/>
    <sheet name="목차" sheetId="2" r:id="rId2"/>
    <sheet name="장단기차입금" sheetId="3" r:id="rId3"/>
    <sheet name="매출" sheetId="4" r:id="rId4"/>
    <sheet name="판관비" sheetId="5" r:id="rId5"/>
    <sheet name="현예금" sheetId="6" r:id="rId6"/>
    <sheet name="유가증권" sheetId="7" r:id="rId7"/>
    <sheet name="매출채권" sheetId="8" r:id="rId8"/>
    <sheet name="기타유동자산" sheetId="9" r:id="rId9"/>
    <sheet name="재고자산" sheetId="10" r:id="rId10"/>
    <sheet name="유형자산" sheetId="11" r:id="rId11"/>
    <sheet name="무형자산" sheetId="12" r:id="rId12"/>
    <sheet name="기타비유동자산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3" l="1"/>
  <c r="G17" i="13"/>
  <c r="F17" i="13"/>
  <c r="E17" i="13"/>
  <c r="D17" i="13"/>
  <c r="C17" i="13"/>
  <c r="B17" i="13"/>
  <c r="E10" i="13"/>
  <c r="C7" i="13"/>
  <c r="A2" i="13"/>
  <c r="H18" i="12"/>
  <c r="G18" i="12"/>
  <c r="F18" i="12"/>
  <c r="E18" i="12"/>
  <c r="D18" i="12"/>
  <c r="C18" i="12"/>
  <c r="B18" i="12"/>
  <c r="E10" i="12"/>
  <c r="C7" i="12"/>
  <c r="A2" i="12"/>
  <c r="H22" i="11"/>
  <c r="G22" i="11"/>
  <c r="F22" i="11"/>
  <c r="E22" i="11"/>
  <c r="D22" i="11"/>
  <c r="C22" i="11"/>
  <c r="B22" i="11"/>
  <c r="E10" i="11"/>
  <c r="C7" i="11"/>
  <c r="A2" i="11"/>
  <c r="H19" i="10"/>
  <c r="G19" i="10"/>
  <c r="F19" i="10"/>
  <c r="E19" i="10"/>
  <c r="D19" i="10"/>
  <c r="C19" i="10"/>
  <c r="B19" i="10"/>
  <c r="E10" i="10"/>
  <c r="C7" i="10"/>
  <c r="A2" i="10"/>
  <c r="H18" i="9"/>
  <c r="G18" i="9"/>
  <c r="F18" i="9"/>
  <c r="E18" i="9"/>
  <c r="D18" i="9"/>
  <c r="C18" i="9"/>
  <c r="B18" i="9"/>
  <c r="E10" i="9"/>
  <c r="C7" i="9"/>
  <c r="A2" i="9"/>
  <c r="H17" i="8"/>
  <c r="G17" i="8"/>
  <c r="F17" i="8"/>
  <c r="E17" i="8"/>
  <c r="D17" i="8"/>
  <c r="C17" i="8"/>
  <c r="B17" i="8"/>
  <c r="E10" i="8"/>
  <c r="C7" i="8"/>
  <c r="A2" i="8"/>
  <c r="H19" i="7"/>
  <c r="G19" i="7"/>
  <c r="F19" i="7"/>
  <c r="E19" i="7"/>
  <c r="D19" i="7"/>
  <c r="C19" i="7"/>
  <c r="B19" i="7"/>
  <c r="E10" i="7"/>
  <c r="C7" i="7"/>
  <c r="A2" i="7"/>
  <c r="H19" i="6"/>
  <c r="G19" i="6"/>
  <c r="F19" i="6"/>
  <c r="E19" i="6"/>
  <c r="D19" i="6"/>
  <c r="C19" i="6"/>
  <c r="B19" i="6"/>
  <c r="E10" i="6"/>
  <c r="C7" i="6"/>
  <c r="A2" i="6"/>
  <c r="H21" i="5"/>
  <c r="G21" i="5"/>
  <c r="F21" i="5"/>
  <c r="E21" i="5"/>
  <c r="D21" i="5"/>
  <c r="C21" i="5"/>
  <c r="B21" i="5"/>
  <c r="E10" i="5"/>
  <c r="C7" i="5"/>
  <c r="A2" i="5"/>
  <c r="H17" i="4"/>
  <c r="G17" i="4"/>
  <c r="F17" i="4"/>
  <c r="E17" i="4"/>
  <c r="D17" i="4"/>
  <c r="C17" i="4"/>
  <c r="B17" i="4"/>
  <c r="E10" i="4"/>
  <c r="C7" i="4"/>
  <c r="A2" i="4"/>
  <c r="H17" i="3"/>
  <c r="G17" i="3"/>
  <c r="F17" i="3"/>
  <c r="E17" i="3"/>
  <c r="D17" i="3"/>
  <c r="C17" i="3"/>
  <c r="B17" i="3"/>
  <c r="E10" i="3"/>
  <c r="C7" i="3"/>
  <c r="A2" i="3"/>
  <c r="C13" i="2"/>
  <c r="C12" i="2"/>
  <c r="C11" i="2"/>
  <c r="C10" i="2"/>
  <c r="C9" i="2"/>
  <c r="C8" i="2"/>
  <c r="C7" i="2"/>
  <c r="A2" i="2"/>
</calcChain>
</file>

<file path=xl/sharedStrings.xml><?xml version="1.0" encoding="utf-8"?>
<sst xmlns="http://schemas.openxmlformats.org/spreadsheetml/2006/main" count="765" uniqueCount="339">
  <si>
    <t>감사조서 기본사항</t>
  </si>
  <si>
    <t>Basic Information of Working Papers</t>
  </si>
  <si>
    <t xml:space="preserve">  ※ 아래 항목을 입력하면 모든 감사조서에 자동으로 반영됩니다.</t>
  </si>
  <si>
    <t>항  목</t>
  </si>
  <si>
    <t>입력값</t>
  </si>
  <si>
    <t>비  고</t>
  </si>
  <si>
    <t>회사명</t>
  </si>
  <si>
    <t>주식회사 XXX</t>
  </si>
  <si>
    <t>피감사회사의 정확한 법인명을 입력하세요</t>
  </si>
  <si>
    <t>감사기간 시작일</t>
  </si>
  <si>
    <t>2025-01-01</t>
  </si>
  <si>
    <t>예: 2025-01-01</t>
  </si>
  <si>
    <t>감사기간 종료일</t>
  </si>
  <si>
    <t>2025-12-31</t>
  </si>
  <si>
    <t>예: 2025-12-31  ← 각 시트 결산일에 자동 반영</t>
  </si>
  <si>
    <t>▶ 셀 참조 정보 (각 시트에서 아래 셀을 참조합니다)</t>
  </si>
  <si>
    <t>기본사항!C8</t>
  </si>
  <si>
    <t>→  회사명</t>
  </si>
  <si>
    <t>기본사항!C9</t>
  </si>
  <si>
    <t>→  감사기간 시작일</t>
  </si>
  <si>
    <t>기본사항!C10</t>
  </si>
  <si>
    <t>→  감사기간 종료일  (결산일 / 당기 헤더에 자동 반영)</t>
  </si>
  <si>
    <t>감사조서 목차 (Index of Working Papers)</t>
  </si>
  <si>
    <t>결산일: 2025년 12월 31일</t>
  </si>
  <si>
    <t>조서번호</t>
  </si>
  <si>
    <t>계정과목</t>
  </si>
  <si>
    <t>담당자</t>
  </si>
  <si>
    <t>비고</t>
  </si>
  <si>
    <t>4201</t>
  </si>
  <si>
    <t>4301</t>
  </si>
  <si>
    <t>4401</t>
  </si>
  <si>
    <t>4501</t>
  </si>
  <si>
    <t>4601</t>
  </si>
  <si>
    <t>4701</t>
  </si>
  <si>
    <t>4801</t>
  </si>
  <si>
    <t xml:space="preserve">  ※ 색상 범례:  파란 글씨 = 수식/링크  │  보라 글씨 = 감사분석 체크항목  │  노란 배경 = 분석 포인트 섹션</t>
  </si>
  <si>
    <t>조서No.  4601</t>
  </si>
  <si>
    <t>장단기차입금</t>
  </si>
  <si>
    <t>LEAD SCHEDULE</t>
  </si>
  <si>
    <t>작성자</t>
  </si>
  <si>
    <t>검토자</t>
  </si>
  <si>
    <t>작성일</t>
  </si>
  <si>
    <t>검토일</t>
  </si>
  <si>
    <t>결산일</t>
  </si>
  <si>
    <t>전  기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</si>
  <si>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</si>
  <si>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</si>
  <si>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</si>
  <si>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</si>
  <si>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</si>
  <si>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</si>
  <si>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</si>
  <si>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</si>
  <si>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</si>
  <si>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</si>
  <si>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단기차입금</t>
  </si>
  <si>
    <t>4610</t>
  </si>
  <si>
    <t>유동성장기부채</t>
  </si>
  <si>
    <t>4620</t>
  </si>
  <si>
    <t>장기차입금</t>
  </si>
  <si>
    <t>4630</t>
  </si>
  <si>
    <t>사채</t>
  </si>
  <si>
    <t>4640</t>
  </si>
  <si>
    <t>합   계</t>
  </si>
  <si>
    <t>▶ 증감분석</t>
  </si>
  <si>
    <t>증감금액</t>
  </si>
  <si>
    <t>증감비율</t>
  </si>
  <si>
    <t>▶ 감사분석 포인트 (Audit Analysis Points)</t>
  </si>
  <si>
    <t xml:space="preserve">  ☐  잔액확인서 징구</t>
  </si>
  <si>
    <t>주요 금융기관으로부터 차입금 잔액확인서 징구 및 원장 대사</t>
  </si>
  <si>
    <t xml:space="preserve">  ☐  유동·비유동 분류</t>
  </si>
  <si>
    <t>만기일 기준 유동성 분류 적정성, 만기연장 약정 존재 여부 확인</t>
  </si>
  <si>
    <t xml:space="preserve">  ☐  이자비용 검증</t>
  </si>
  <si>
    <t>이자율 × 차입금 평잔으로 이자비용 추정 후 계상액과 비교</t>
  </si>
  <si>
    <t xml:space="preserve">  ☐  담보·보증 현황</t>
  </si>
  <si>
    <t>차입금 관련 담보제공 자산 및 지급보증 현황 파악, 주석 공시 충분성</t>
  </si>
  <si>
    <t xml:space="preserve">  ☐  특약사항(Covenant) 검토</t>
  </si>
  <si>
    <t>재무비율 유지의무 등 차입약정 위반 여부 및 기한이익상실 가능성</t>
  </si>
  <si>
    <t xml:space="preserve">  ☐  특수관계자 차입</t>
  </si>
  <si>
    <t>특수관계자 차입금 금리 및 조건 적정성, 시장이자율과 비교</t>
  </si>
  <si>
    <t xml:space="preserve">  ※ 본 감사조서는 「주식회사 등의 외부감사에 관한 법률」에 따라 작성되었습니다.</t>
  </si>
  <si>
    <t>조서No.  4701</t>
  </si>
  <si>
    <t>매출</t>
  </si>
  <si>
    <t>상품매출</t>
  </si>
  <si>
    <t>4710</t>
  </si>
  <si>
    <t>제품매출</t>
  </si>
  <si>
    <t>4720</t>
  </si>
  <si>
    <t>용역매출</t>
  </si>
  <si>
    <t>4730</t>
  </si>
  <si>
    <t>임대료수입</t>
  </si>
  <si>
    <t>4740</t>
  </si>
  <si>
    <t xml:space="preserve">  ☐  수익인식 시점 검토</t>
  </si>
  <si>
    <t>수행의무 이행 시점(인도기준/진행기준) 적정성, K-IFRS 1115 준수 여부</t>
  </si>
  <si>
    <t xml:space="preserve">  ☐  Cut-off 검토</t>
  </si>
  <si>
    <t>결산일 전후 매출의 기간 귀속 적정성, 선수수익 계상 여부</t>
  </si>
  <si>
    <t xml:space="preserve">  ☐  월별 추이 분석</t>
  </si>
  <si>
    <t>월별 매출 추이 분석, 계절성과 맞지 않는 급증·급감 원인 파악</t>
  </si>
  <si>
    <t xml:space="preserve">  ☐  반품·에누리 처리</t>
  </si>
  <si>
    <t>반품·할인·에누리의 매출 차감 또는 충당부채 계상 적정성</t>
  </si>
  <si>
    <t xml:space="preserve">  ☐  특수관계자 매출</t>
  </si>
  <si>
    <t>특수관계자 매출 금액·가격 적정성 및 독립거래 조건 비교</t>
  </si>
  <si>
    <t xml:space="preserve">  ☐  세금계산서 대사</t>
  </si>
  <si>
    <t>매출 원장과 세금계산서 합계 대사, 누락·이중 발행 여부</t>
  </si>
  <si>
    <t>조서No.  4801</t>
  </si>
  <si>
    <t>판매비및관리비</t>
  </si>
  <si>
    <t>급여</t>
  </si>
  <si>
    <t>4810</t>
  </si>
  <si>
    <t>퇴직급여</t>
  </si>
  <si>
    <t>4820</t>
  </si>
  <si>
    <t>복리후생비</t>
  </si>
  <si>
    <t>4830</t>
  </si>
  <si>
    <t>감가상각비</t>
  </si>
  <si>
    <t>4840</t>
  </si>
  <si>
    <t>지급임차료</t>
  </si>
  <si>
    <t>4850</t>
  </si>
  <si>
    <t>지급수수료</t>
  </si>
  <si>
    <t>4860</t>
  </si>
  <si>
    <t>광고선전비</t>
  </si>
  <si>
    <t>4870</t>
  </si>
  <si>
    <t>기타판관비</t>
  </si>
  <si>
    <t>4890</t>
  </si>
  <si>
    <t xml:space="preserve">  ☐  전기 대비 분석적 검토</t>
  </si>
  <si>
    <t>주요 비목별 금액 및 비율 전기 비교, 유의적 변동 원인 파악</t>
  </si>
  <si>
    <t xml:space="preserve">  ☐  급여 검증</t>
  </si>
  <si>
    <t>급여대장 vs 원천징수이행상황신고서 대사, 임원보수한도 초과 여부</t>
  </si>
  <si>
    <t xml:space="preserve">  ☐  퇴직급여 검증</t>
  </si>
  <si>
    <t>퇴직급여충당부채 설정액 적정성, 확정급여형/확정기여형 구분</t>
  </si>
  <si>
    <t xml:space="preserve">  ☐  자본적 지출 혼입 여부</t>
  </si>
  <si>
    <t>비용 처리된 항목 중 자산화 대상 지출 포함 여부 검토</t>
  </si>
  <si>
    <t xml:space="preserve">  ☐  접대비 한도 초과</t>
  </si>
  <si>
    <t>접대비 세법 한도 초과 여부 및 증빙 구비 현황</t>
  </si>
  <si>
    <t xml:space="preserve">  ☐  선급비용 계상</t>
  </si>
  <si>
    <t>기간 미도래 비용의 선급비용 처리 여부(보험료·임차료 등)</t>
  </si>
  <si>
    <t>조서No.  4101</t>
  </si>
  <si>
    <t>현금및현금성자산 · 장단기금융상품</t>
  </si>
  <si>
    <t>현금</t>
  </si>
  <si>
    <t>4110</t>
  </si>
  <si>
    <t>보통예금</t>
  </si>
  <si>
    <t>4120</t>
  </si>
  <si>
    <t>당좌예금</t>
  </si>
  <si>
    <t>4130</t>
  </si>
  <si>
    <t>현금성자산</t>
  </si>
  <si>
    <t>4140</t>
  </si>
  <si>
    <t>단기금융상품</t>
  </si>
  <si>
    <t>4150</t>
  </si>
  <si>
    <t>장기금융상품</t>
  </si>
  <si>
    <t>4160</t>
  </si>
  <si>
    <t>▶ 감사절차 (Audit Procedures)</t>
  </si>
  <si>
    <t>No.</t>
  </si>
  <si>
    <t>감사절차</t>
  </si>
  <si>
    <t>경영진 주장</t>
  </si>
  <si>
    <t>수행여부</t>
  </si>
  <si>
    <t>[총괄표 작성 및 전기 대비 검토]
당기말 잔액을 총계정원장과 대조하고 전기말 잔액은 전기감사보고서와 대조한다. 양연도간 유의적 변동사항의 원인을 파악한다.</t>
  </si>
  <si>
    <t>E, C, CL</t>
  </si>
  <si>
    <t>[현금 및 미사용수표 실사]
기말 현재 현금·미사용수표·어음을 직접 실사하여 장부잔액과 대조한다.</t>
  </si>
  <si>
    <t>E, C, RO</t>
  </si>
  <si>
    <t>[금융기관 잔액조회서 발송 및 회수]
기중 잔액이 없는 계좌 포함 전 금융기관에 조회서를 발송한다. 발송·회수는 감사인이 직접 수행하며, 차입금·담보·지급보증 등도 함께 확인한다.</t>
  </si>
  <si>
    <t>E, RO</t>
  </si>
  <si>
    <t>[사용제한 예금 및 장기성 예금 검토]
질권·담보 제공 예금, 사용제한 예금의 유동·비유동 분류 적정성을 확인한다. 장기성 예금의 비유동 분류 여부를 검토한다.</t>
  </si>
  <si>
    <t>CL</t>
  </si>
  <si>
    <t>[은행계정 간 자금이체(Kiting) 검토]
기말 전후 은행계정 간 자금이체를 확인하여 동일 기간 내 입·출금이 정확히 반영되었는지 검토한다. 은행계정조정표상 미결항목의 적정성을 확인한다.</t>
  </si>
  <si>
    <t>CL, V</t>
  </si>
  <si>
    <t>[이자수익 및 미수수익 연계 검토]
이자부 예금의 발생이자와 미수수익 계상 적정성을 확인하고 관련 손익계정과 연결하여 누락 여부를 검토한다.</t>
  </si>
  <si>
    <t>C, V, A</t>
  </si>
  <si>
    <t>[기간귀속(Cut-off) 검토]
기말 전후 현금·예금 거래의 기간 귀속 적정성을 검토한다.</t>
  </si>
  <si>
    <t>C, V</t>
  </si>
  <si>
    <t>[재무제표 공시사항 검토]
사용제한 예금, 담보제공 예금 등 공시사항 점검표에 따라 주석 기재 충분성을 확인한다.</t>
  </si>
  <si>
    <t>C, CL, U, P</t>
  </si>
  <si>
    <t>▶ 감사결론</t>
  </si>
  <si>
    <t>조서No.  4201</t>
  </si>
  <si>
    <t>유가증권 (유동·비유동)</t>
  </si>
  <si>
    <t>단기매매증권</t>
  </si>
  <si>
    <t>4210</t>
  </si>
  <si>
    <t>매도가능증권(유동)</t>
  </si>
  <si>
    <t>4220</t>
  </si>
  <si>
    <t>만기보유증권(유동)</t>
  </si>
  <si>
    <t>4230</t>
  </si>
  <si>
    <t>매도가능증권(비유동)</t>
  </si>
  <si>
    <t>4240</t>
  </si>
  <si>
    <t>만기보유증권(비유동)</t>
  </si>
  <si>
    <t>4250</t>
  </si>
  <si>
    <t>지분법적용투자주식</t>
  </si>
  <si>
    <t>4260</t>
  </si>
  <si>
    <t>[금융자산 총괄표 작성 및 전기 대비 검토]
당기말 잔액을 총계정원장과, 전기말 잔액은 전기감사보고서와 대조한다. 유의적 변동사항의 원인을 파악한다.</t>
  </si>
  <si>
    <t>[금융자산 실재성 확인]
직접 보유 금융자산은 실사하고, 타처 보관·담보 제공 금융자산은 보관자에게 직접 조회하거나 보관확인서를 입수한다. 유치권·저당권·담보제공 여부를 확인한다.</t>
  </si>
  <si>
    <t>[중요한 취득·처분 거래 검토]
기중 중요한 취득·처분 거래에 대해 거래증빙을 대사하여 기간귀속, 발생사실, 취득원가 및 처분손익의 적정성을 확인한다.</t>
  </si>
  <si>
    <t>O, CO, V</t>
  </si>
  <si>
    <t>[공정가치 평가 적정성 검토]
공시가격 금융자산은 독립적으로 입수한 공시가격과 대사한다. 평가기법 적용 금융자산은 공정가치 측정 모델의 적정성을 검토한다. 평가손익이 당기손익 또는 기타포괄손익으로 적절히 반영되었는지 확인한다.</t>
  </si>
  <si>
    <t>V</t>
  </si>
  <si>
    <t>[금융자산 분류 적정성 검토]
단기매매증권·매도가능증권·만기보유증권 등으로의 분류가 일반기업회계기준 제6장에 부합하는지 검토한다. 재분류가 있는 경우 그 근거와 미실현손익 처리 적정성을 확인한다.</t>
  </si>
  <si>
    <t>[손상차손 검토]
손상 대상 금융자산이 모두 파악되었는지 확인하고, 손상의 객관적 증거를 검토한다. 손상차손 평가의 적정성 및 손상 회복 시 회계처리를 검토한다.</t>
  </si>
  <si>
    <t>[배당금 및 이자수익 검토]
배당금은 지급받을 권리 확정 시점에 당기손익 인식 여부를 확인한다. 채무증권 이자수익은 유효이자율법 적용 여부를 검토한다.</t>
  </si>
  <si>
    <t>O, CO, A</t>
  </si>
  <si>
    <t>[특수관계자 거래 및 기말 전후 결산조작 검토]
특수관계자와의 금융자산 취득·처분 가액의 적정성을 확인한다. 기말 전후 취득·처분 및 환매조건부 처분에 의한 결산조작 가능성을 검토한다.</t>
  </si>
  <si>
    <t>E, V, CL</t>
  </si>
  <si>
    <t>[재무제표 공시사항 검토]
공시사항 점검표에 따라 금융자산 분류, 공정가치 측정, 담보제공 현황 등의 주석 기재 충분성을 확인한다.</t>
  </si>
  <si>
    <t>조서No.  4301</t>
  </si>
  <si>
    <t>매출채권 (장단기)</t>
  </si>
  <si>
    <t>외상매출금</t>
  </si>
  <si>
    <t>C310</t>
  </si>
  <si>
    <t>대손충당금_매출채권</t>
  </si>
  <si>
    <t>C311</t>
  </si>
  <si>
    <t>받을어음</t>
  </si>
  <si>
    <t>C320</t>
  </si>
  <si>
    <t>장기매출채권</t>
  </si>
  <si>
    <t>C330</t>
  </si>
  <si>
    <t>[총괄표 작성 및 전기 대비 검토]
당기말 잔액을 총계정원장과, 전기말 잔액은 전기감사보고서와 대조하고 양연도간 유의적 변동원인을 파악한다.</t>
  </si>
  <si>
    <t>[매출채권 명세서 검증]
거래처별 매출채권명세서를 입수하여 계산검증하고 보조부와 대조한다. 유의적·비경상적 항목을 스캔한다.</t>
  </si>
  <si>
    <t>[외상매출금 외부조회]
주요 거래처에 잔액조회서를 발송·회수한다. 조회 미회신분에 대해 대체절차를 수행한다.</t>
  </si>
  <si>
    <t>E, RO, V</t>
  </si>
  <si>
    <t>[장단기 분류 및 계정 재분류 검토]
일반 상거래 외 채권 포함 여부를 조사하고 장단기 구분 적정성을 확인한다.</t>
  </si>
  <si>
    <t>V, CL</t>
  </si>
  <si>
    <t>[대손충당금 적정성 검토]
연령분석표 입수 및 회수기간 분석을 실시한다. 합리적 기준에 의한 대손충당금 설정 여부와 전기와의 일관성을 확인한다.</t>
  </si>
  <si>
    <t>V, A</t>
  </si>
  <si>
    <t>[받을어음 실사 및 할인·양도 검토]
보관 중인 받을어음을 실사하고, 할인·배서양도·팩토링·담보제공 채권의 제거조건 충족 여부를 검토한다.</t>
  </si>
  <si>
    <t>E, RO, CL</t>
  </si>
  <si>
    <t>[Cut-off 검토]
기말 전후 제품인도 및 용역제공이 해당 기간에 적절히 반영되었는지 확인한다.</t>
  </si>
  <si>
    <t>RO, V</t>
  </si>
  <si>
    <t>[외화채권 환산 검토]
외화표시 매출채권의 기말 환율 적용 및 외화환산손익 계상 적정성을 검토한다.</t>
  </si>
  <si>
    <t>[특수관계자 거래 검토]
특수관계자 매출채권 금액·조건 적정성을 확인하고 Audit Guide 3500을 참고한다.</t>
  </si>
  <si>
    <t>E, CL</t>
  </si>
  <si>
    <t>[재무제표 공시사항 검토]
공시사항 점검표에 따라 대손충당금, 담보제공, 특수관계자 채권 등 주석 기재 충분성을 확인한다.</t>
  </si>
  <si>
    <t>조서No.  4401</t>
  </si>
  <si>
    <t>기타유동자산</t>
  </si>
  <si>
    <t>미수금</t>
  </si>
  <si>
    <t>C410</t>
  </si>
  <si>
    <t>미수수익</t>
  </si>
  <si>
    <t>C420</t>
  </si>
  <si>
    <t>선급금</t>
  </si>
  <si>
    <t>C430</t>
  </si>
  <si>
    <t>선급비용</t>
  </si>
  <si>
    <t>C440</t>
  </si>
  <si>
    <t>부가세대급금</t>
  </si>
  <si>
    <t>C450</t>
  </si>
  <si>
    <t>[총괄표 작성 및 전기 대비 검토]
당기말 잔액을 총계정원장과, 전기말 잔액은 전기감사보고서와 대조하고 유의적 변동원인을 파악한다.</t>
  </si>
  <si>
    <t>[계정별 명세서 검증]
미수금·미수수익·선급금·선급비용 등 각 계정별 명세서를 입수하여 계산검증하고 보조부와 대조한다.</t>
  </si>
  <si>
    <t>[주요 항목 증빙 대조]
주요 금액에 대해 관련 증빙서류와 대조하여 거래 발생 및 금액의 타당성을 확인한다.</t>
  </si>
  <si>
    <t>A, E, V</t>
  </si>
  <si>
    <t>[선급비용 기간 계산 적정성]
선급비용의 보험·임대차 등 계약 누락 없이 포함되었는지 확인하고 기간 계산의 정확성을 검증한다. 1년 이상 잔류 항목을 조사한다.</t>
  </si>
  <si>
    <t>C, CO</t>
  </si>
  <si>
    <t>[회수가능성 및 대손충당금]
회수불능채권의 대손처리 여부를 확인하고 대손충당금 설정의 타당성 및 전기 대비 일관성을 검토한다.</t>
  </si>
  <si>
    <t>[외부조회 수행]
주요 거래처에 대한 자산이 중요할 경우 외부 확인을 수행한다.</t>
  </si>
  <si>
    <t>A, E, C, RO</t>
  </si>
  <si>
    <t>[외화자산 환산 검토]
외화표시 자산의 기말 환율 적용 및 외화환산손익 계상 적정성을 검토한다.</t>
  </si>
  <si>
    <t>[특수관계자 거래 검토]
특수관계자와의 거래 금액·조건 적정성을 확인한다.</t>
  </si>
  <si>
    <t>[재무제표 공시사항 검토]
공시사항 점검표에 따라 주석 기재 충분성을 확인한다.</t>
  </si>
  <si>
    <t>조서No.  4501</t>
  </si>
  <si>
    <t>재고자산</t>
  </si>
  <si>
    <t>상품</t>
  </si>
  <si>
    <t>C510</t>
  </si>
  <si>
    <t>제품</t>
  </si>
  <si>
    <t>C520</t>
  </si>
  <si>
    <t>원재료</t>
  </si>
  <si>
    <t>C530</t>
  </si>
  <si>
    <t>재공품</t>
  </si>
  <si>
    <t>C540</t>
  </si>
  <si>
    <t>저장품</t>
  </si>
  <si>
    <t>C550</t>
  </si>
  <si>
    <t>재고자산평가충당금</t>
  </si>
  <si>
    <t>C560</t>
  </si>
  <si>
    <t>[재고자산 수불부 검증]
수불부를 계산검증하고 재무상태표·손익계산서·제조원가명세서 관련 계정과 연결한다.</t>
  </si>
  <si>
    <t>[재고자산 실사 입회]
실사입회 절차(E100)를 참조하여 수행한다. 실사집계표와 수불부 수량을 연결한다.</t>
  </si>
  <si>
    <t>[분석적 검토]
매출액 대비 재고비율, 재고증감율, 재고자산 회전율을 분석하고 비정상적 변동을 조사한다.</t>
  </si>
  <si>
    <t>E, C</t>
  </si>
  <si>
    <t>[단가 적정성 검토]
수불부 단가를 구입증빙과 대사하고, 전기 단가와 비교하여 비정상적 변동을 조사한다.</t>
  </si>
  <si>
    <t>[재고자산 평가(저가법) 검토]
파손·진부화·장기체화 재고의 순실현가능가액과 장부금액을 비교하고 평가손실 계상 적정성을 검토한다.</t>
  </si>
  <si>
    <t>[Cut-off 검토]
기말 전후 출고증·입고증을 매입보조부와 대조하여 기간귀속 적정성을 확인한다.</t>
  </si>
  <si>
    <t>CO</t>
  </si>
  <si>
    <t>[담보 제공 재고 확인]
담보 또는 양도담보로 제공된 재고자산 유무를 확인하고 주석 공시 여부를 검토한다.</t>
  </si>
  <si>
    <t>RO</t>
  </si>
  <si>
    <t>[특수관계자 거래 검토]
특수관계자와의 거래가격 타당성(부당한 고가·저가 여부)을 파악한다.</t>
  </si>
  <si>
    <t>[재무제표 공시사항 검토]
공시사항 점검표에 따라 재고자산 평가방법, 담보제공 현황 등 주석 기재 충분성을 확인한다.</t>
  </si>
  <si>
    <t>유형자산</t>
  </si>
  <si>
    <t>토지</t>
  </si>
  <si>
    <t>C710</t>
  </si>
  <si>
    <t>건물</t>
  </si>
  <si>
    <t>C720</t>
  </si>
  <si>
    <t>감가상각누계액_건물</t>
  </si>
  <si>
    <t>C721</t>
  </si>
  <si>
    <t>구축물</t>
  </si>
  <si>
    <t>C730</t>
  </si>
  <si>
    <t>기계장치</t>
  </si>
  <si>
    <t>C740</t>
  </si>
  <si>
    <t>감가상각누계액_기계</t>
  </si>
  <si>
    <t>C741</t>
  </si>
  <si>
    <t>차량운반구</t>
  </si>
  <si>
    <t>C750</t>
  </si>
  <si>
    <t>비품</t>
  </si>
  <si>
    <t>C760</t>
  </si>
  <si>
    <t>건설중인자산</t>
  </si>
  <si>
    <t>C770</t>
  </si>
  <si>
    <t>[총괄표 작성 및 전기 대비 검토]
유형자산 장부가액 변동요약표를 입수·분석하고 당기말은 총계정원장, 전기말은 전기감사보고서와 대조한다.</t>
  </si>
  <si>
    <t>[권리증서 확인 (실재성·소유권)]
등기부등본·등록원부 등을 획득하여 실재성, 소유권 및 담보제공 등 소유권 제한사항을 확인한다.</t>
  </si>
  <si>
    <t>[감가상각비 적정성 검토]
상각방법·내용연수·상각률의 계속 적용 여부를 검토하고 감가상각비를 재계산한다. 방법 변경 시 타당성과 재무제표 영향을 확인한다.</t>
  </si>
  <si>
    <t>[취득 자산 검증]
당기 취득 자산에 대해 계약서·세금계산서·등기부등본을 확인하고 소유권 귀속을 검토한다.</t>
  </si>
  <si>
    <t>[처분·폐기 검토]
처분명세서를 입수하여 처분가격 적정성을 검토하고 처분손익 등 관련 손익계정과 연결한다.</t>
  </si>
  <si>
    <t>A</t>
  </si>
  <si>
    <t>[손상차손 검토]
손상징후 자산에 대해 회수가능가액을 산정하고 손상차손 계상 및 회계처리 적정성을 검토한다.</t>
  </si>
  <si>
    <t>[건설중인 자산 검토]
당기 지출액, 취득 약정액, 차입원가 자본화 적정성을 검토하고 완공 자산의 대체 회계처리를 확인한다.</t>
  </si>
  <si>
    <t>A, V</t>
  </si>
  <si>
    <t>[수익적·자본적 지출 구분]
수선비 성격 지출의 자산화 여부 및 구분 기준의 타당성과 계속성을 검토한다.</t>
  </si>
  <si>
    <t>[특수관계자 거래 검토]
특수관계자와의 유형자산 거래 가격 적정성을 확인한다.</t>
  </si>
  <si>
    <t>[재무제표 공시사항 검토]
공시사항 점검표에 따라 담보제공 자산, 재평가 내역 등 주석 기재 충분성을 확인한다.</t>
  </si>
  <si>
    <t>무형자산</t>
  </si>
  <si>
    <t>영업권</t>
  </si>
  <si>
    <t>C810</t>
  </si>
  <si>
    <t>산업재산권</t>
  </si>
  <si>
    <t>C820</t>
  </si>
  <si>
    <t>개발비</t>
  </si>
  <si>
    <t>C830</t>
  </si>
  <si>
    <t>기타무형자산</t>
  </si>
  <si>
    <t>C840</t>
  </si>
  <si>
    <t>상각누계액</t>
  </si>
  <si>
    <t>C841</t>
  </si>
  <si>
    <t>[총괄표 작성 및 전기 대비 검토]
무형자산 장부가액 변동요약표를 입수·분석하고 당기말은 총계정원장, 전기말은 전기감사보고서와 대조한다.</t>
  </si>
  <si>
    <t>[명세서 검증 및 소유권 확인]
무형자산명세서를 계산검증하고 보조부와 대조한다. 등록증·계약서 등으로 소유권 및 제한사항을 확인한다.</t>
  </si>
  <si>
    <t>C, V, RO</t>
  </si>
  <si>
    <t>[상각비 적정성 검토]
상각방법·내용연수·잔존가액의 계속 적용 여부를 검토하고 상각비를 재계산한다. 비한정 내용연수 자산의 타당성을 검토한다.</t>
  </si>
  <si>
    <t>[처분 검토]
처분명세서를 입수하여 처분가격 적정성을 검토하고 관련 손익계정과 연결한다.</t>
  </si>
  <si>
    <t>E, V, A</t>
  </si>
  <si>
    <t>[손상차손 검토]
손상징후 무형자산에 대해 회수가능가액을 산정하고 손상차손 계상 및 회계처리 적정성을 검토한다.</t>
  </si>
  <si>
    <t>[자산 인식 요건 충족 여부]
후속적 지출이 자산 인식 요건에 해당하는지 검토하고, 과거 비용 처리된 지출이 자산화되지 않았는지 확인한다.</t>
  </si>
  <si>
    <t>[영업권·염가매수차익 검토]
사업결합 관련 영업권과 염가매수차익의 회계처리 적정성을 검토한다.(일반기업회계기준 제12장)</t>
  </si>
  <si>
    <t>[재무제표 공시사항 검토]
공시사항 점검표에 따라 상각방법, 내용연수, 손상차손 등 주석 기재 충분성을 확인한다.</t>
  </si>
  <si>
    <t>조서No.  4901</t>
  </si>
  <si>
    <t>기타비유동자산</t>
  </si>
  <si>
    <t>C910</t>
  </si>
  <si>
    <t>장기대여금</t>
  </si>
  <si>
    <t>C920</t>
  </si>
  <si>
    <t>보증금</t>
  </si>
  <si>
    <t>C930</t>
  </si>
  <si>
    <t>C940</t>
  </si>
  <si>
    <t>[명세서 검증]
기타비유동자산명세서를 입수하여 계산검증하고 보조부와 대조한다.</t>
  </si>
  <si>
    <t>[외부확인 수행]
주요 거래처에 대한 자산이 중요할 경우 외부 확인을 수행한다.</t>
  </si>
  <si>
    <t>A, E, RO</t>
  </si>
  <si>
    <t>E, C, V</t>
  </si>
  <si>
    <t>[회수가능성 및 대손충당금]
회수불능자산의 대손처리 여부를 확인하고 대손충당금 설정의 타당성 및 계속성을 검토한다.</t>
  </si>
  <si>
    <t>[현재가치 평가 적정성]
현재가치 평가 대상 자산의 할인율·할인차금 계산 적정성을 검증하고 관련 손익계정 반영 여부를 확인한다.</t>
  </si>
  <si>
    <t>[관련 손익계정 연계 검토]
기타비유동자산 관련 발생 손익계정이 적정하게 계상되었는지 확인한다.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</si>
</sst>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(#,##0\);&quot;-&quot;"/>
    <numFmt numFmtId="177" formatCode="0.0%"/>
    <numFmt numFmtId="178" formatCode="yyyy\.mm\.dd"/>
  </numFmts>
  <fonts count="25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i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u/>
      <sz val="10"/>
      <color rgb="FF0070C0"/>
      <name val="맑은 고딕"/>
      <family val="3"/>
      <charset val="129"/>
    </font>
    <font>
      <i/>
      <sz val="10"/>
      <color rgb="FFBDD7EE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b/>
      <sz val="12"/>
      <color rgb="FF0070C0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sz val="14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8F0FF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F3E5FF"/>
      </patternFill>
    </fill>
    <fill>
      <patternFill patternType="solid">
        <fgColor rgb="FFF8F8F8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FFB900"/>
      </left>
      <right style="medium">
        <color rgb="FFFFB900"/>
      </right>
      <top style="medium">
        <color rgb="FFFFB900"/>
      </top>
      <bottom style="medium">
        <color rgb="FFFFB900"/>
      </bottom>
      <diagonal/>
    </border>
    <border>
      <left/>
      <right/>
      <top style="thin">
        <color rgb="FFFFB900"/>
      </top>
      <bottom style="thin">
        <color rgb="FFFFB90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FFB900"/>
      </top>
      <bottom style="medium">
        <color rgb="FFFFB900"/>
      </bottom>
      <diagonal/>
    </border>
    <border>
      <left/>
      <right style="medium">
        <color rgb="FFFFB900"/>
      </right>
      <top style="medium">
        <color rgb="FFFFB900"/>
      </top>
      <bottom style="medium">
        <color rgb="FFFFB90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thin">
        <color rgb="FFFFB900"/>
      </top>
      <bottom style="thin">
        <color rgb="FFFFB9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 indent="1"/>
    </xf>
    <xf numFmtId="0" fontId="0" fillId="9" borderId="1" xfId="0" applyFill="1" applyBorder="1"/>
    <xf numFmtId="0" fontId="15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 inden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176" fontId="7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indent="1"/>
    </xf>
    <xf numFmtId="176" fontId="0" fillId="5" borderId="1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12" borderId="11" xfId="0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0" fillId="3" borderId="1" xfId="0" applyFill="1" applyBorder="1"/>
    <xf numFmtId="0" fontId="21" fillId="4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 wrapText="1" indent="1"/>
    </xf>
    <xf numFmtId="0" fontId="0" fillId="0" borderId="6" xfId="0" applyBorder="1"/>
    <xf numFmtId="0" fontId="9" fillId="9" borderId="1" xfId="0" applyFont="1" applyFill="1" applyBorder="1" applyAlignment="1">
      <alignment horizontal="left" vertical="center" indent="1"/>
    </xf>
    <xf numFmtId="0" fontId="0" fillId="0" borderId="5" xfId="0" applyBorder="1"/>
    <xf numFmtId="0" fontId="0" fillId="2" borderId="0" xfId="0" applyFill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8" fillId="11" borderId="12" xfId="0" applyFont="1" applyFill="1" applyBorder="1" applyAlignment="1">
      <alignment horizontal="left" vertical="center" indent="1"/>
    </xf>
    <xf numFmtId="0" fontId="0" fillId="0" borderId="4" xfId="0" applyBorder="1"/>
    <xf numFmtId="0" fontId="6" fillId="7" borderId="3" xfId="0" applyFont="1" applyFill="1" applyBorder="1" applyAlignment="1">
      <alignment horizontal="left" vertical="center" indent="1"/>
    </xf>
    <xf numFmtId="0" fontId="0" fillId="0" borderId="7" xfId="0" applyBorder="1"/>
    <xf numFmtId="0" fontId="0" fillId="0" borderId="8" xfId="0" applyBorder="1"/>
    <xf numFmtId="0" fontId="17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1" fillId="10" borderId="12" xfId="0" applyFont="1" applyFill="1" applyBorder="1" applyAlignment="1">
      <alignment horizontal="left" vertical="center" wrapText="1" indent="1"/>
    </xf>
    <xf numFmtId="0" fontId="13" fillId="3" borderId="0" xfId="0" applyFont="1" applyFill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right" vertical="center"/>
    </xf>
    <xf numFmtId="0" fontId="0" fillId="5" borderId="1" xfId="0" applyFill="1" applyBorder="1"/>
    <xf numFmtId="178" fontId="2" fillId="3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14" borderId="1" xfId="0" applyFill="1" applyBorder="1" applyAlignment="1">
      <alignment horizontal="left" vertical="center" wrapText="1" indent="1"/>
    </xf>
    <xf numFmtId="0" fontId="22" fillId="13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8" fillId="14" borderId="1" xfId="0" applyFont="1" applyFill="1" applyBorder="1" applyAlignment="1">
      <alignment horizontal="left" vertical="top" wrapText="1" indent="1"/>
    </xf>
    <xf numFmtId="0" fontId="8" fillId="9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center" indent="1"/>
    </xf>
    <xf numFmtId="0" fontId="0" fillId="9" borderId="1" xfId="0" applyFill="1" applyBorder="1" applyAlignment="1">
      <alignment horizontal="left" vertical="center" wrapText="1" indent="1"/>
    </xf>
    <xf numFmtId="0" fontId="0" fillId="2" borderId="1" xfId="0" applyFill="1" applyBorder="1"/>
    <xf numFmtId="178" fontId="15" fillId="5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workbookViewId="0">
      <selection activeCell="C22" sqref="C22"/>
    </sheetView>
  </sheetViews>
  <sheetFormatPr defaultRowHeight="17" x14ac:dyDescent="0.45"/>
  <cols>
    <col min="1" max="1" width="4" customWidth="1"/>
    <col min="2" max="2" width="22" customWidth="1"/>
    <col min="3" max="3" width="28" customWidth="1"/>
    <col min="4" max="5" width="20" customWidth="1"/>
  </cols>
  <sheetData>
    <row r="1" spans="1:5" ht="8" customHeight="1" x14ac:dyDescent="0.45"/>
    <row r="2" spans="1:5" ht="36" customHeight="1" x14ac:dyDescent="0.45">
      <c r="A2" s="40" t="s">
        <v>0</v>
      </c>
      <c r="B2" s="38"/>
      <c r="C2" s="38"/>
      <c r="D2" s="38"/>
      <c r="E2" s="38"/>
    </row>
    <row r="3" spans="1:5" ht="22" customHeight="1" x14ac:dyDescent="0.45">
      <c r="A3" s="46" t="s">
        <v>1</v>
      </c>
      <c r="B3" s="38"/>
      <c r="C3" s="38"/>
      <c r="D3" s="38"/>
      <c r="E3" s="38"/>
    </row>
    <row r="4" spans="1:5" ht="10" customHeight="1" x14ac:dyDescent="0.45">
      <c r="A4" s="37"/>
      <c r="B4" s="38"/>
      <c r="C4" s="38"/>
      <c r="D4" s="38"/>
      <c r="E4" s="38"/>
    </row>
    <row r="5" spans="1:5" ht="24" customHeight="1" x14ac:dyDescent="0.45">
      <c r="A5" s="41" t="s">
        <v>2</v>
      </c>
      <c r="B5" s="42"/>
      <c r="C5" s="42"/>
      <c r="D5" s="42"/>
      <c r="E5" s="42"/>
    </row>
    <row r="6" spans="1:5" ht="10" customHeight="1" x14ac:dyDescent="0.45"/>
    <row r="7" spans="1:5" ht="24" customHeight="1" x14ac:dyDescent="0.45">
      <c r="A7" s="1"/>
      <c r="B7" s="2" t="s">
        <v>3</v>
      </c>
      <c r="C7" s="2" t="s">
        <v>4</v>
      </c>
      <c r="D7" s="39" t="s">
        <v>5</v>
      </c>
      <c r="E7" s="34"/>
    </row>
    <row r="8" spans="1:5" ht="30" customHeight="1" x14ac:dyDescent="0.45">
      <c r="A8" s="3"/>
      <c r="B8" s="24" t="s">
        <v>6</v>
      </c>
      <c r="C8" s="25" t="s">
        <v>7</v>
      </c>
      <c r="D8" s="33" t="s">
        <v>8</v>
      </c>
      <c r="E8" s="34"/>
    </row>
    <row r="9" spans="1:5" ht="30" customHeight="1" x14ac:dyDescent="0.45">
      <c r="A9" s="3"/>
      <c r="B9" s="24" t="s">
        <v>9</v>
      </c>
      <c r="C9" s="25" t="s">
        <v>10</v>
      </c>
      <c r="D9" s="33" t="s">
        <v>11</v>
      </c>
      <c r="E9" s="34"/>
    </row>
    <row r="10" spans="1:5" ht="30" customHeight="1" x14ac:dyDescent="0.45">
      <c r="A10" s="3"/>
      <c r="B10" s="24" t="s">
        <v>12</v>
      </c>
      <c r="C10" s="25" t="s">
        <v>13</v>
      </c>
      <c r="D10" s="33" t="s">
        <v>14</v>
      </c>
      <c r="E10" s="34"/>
    </row>
    <row r="11" spans="1:5" ht="20" customHeight="1" x14ac:dyDescent="0.45"/>
    <row r="12" spans="1:5" ht="10" customHeight="1" x14ac:dyDescent="0.45"/>
    <row r="13" spans="1:5" ht="24" customHeight="1" x14ac:dyDescent="0.45">
      <c r="A13" s="43" t="s">
        <v>15</v>
      </c>
      <c r="B13" s="44"/>
      <c r="C13" s="44"/>
      <c r="D13" s="44"/>
      <c r="E13" s="45"/>
    </row>
    <row r="14" spans="1:5" ht="22" customHeight="1" x14ac:dyDescent="0.45">
      <c r="A14" s="3"/>
      <c r="B14" s="4" t="s">
        <v>16</v>
      </c>
      <c r="C14" s="35" t="s">
        <v>17</v>
      </c>
      <c r="D14" s="36"/>
      <c r="E14" s="34"/>
    </row>
    <row r="15" spans="1:5" ht="22" customHeight="1" x14ac:dyDescent="0.45">
      <c r="A15" s="3"/>
      <c r="B15" s="4" t="s">
        <v>18</v>
      </c>
      <c r="C15" s="35" t="s">
        <v>19</v>
      </c>
      <c r="D15" s="36"/>
      <c r="E15" s="34"/>
    </row>
    <row r="16" spans="1:5" ht="22" customHeight="1" x14ac:dyDescent="0.45">
      <c r="A16" s="3"/>
      <c r="B16" s="4" t="s">
        <v>20</v>
      </c>
      <c r="C16" s="35" t="s">
        <v>21</v>
      </c>
      <c r="D16" s="36"/>
      <c r="E16" s="34"/>
    </row>
    <row r="17" ht="20" customHeight="1" x14ac:dyDescent="0.45"/>
    <row r="18" ht="20" customHeight="1" x14ac:dyDescent="0.45"/>
    <row r="19" ht="20" customHeight="1" x14ac:dyDescent="0.45"/>
    <row r="20" ht="20" customHeight="1" x14ac:dyDescent="0.45"/>
    <row r="21" ht="20" customHeight="1" x14ac:dyDescent="0.45"/>
    <row r="22" ht="20" customHeight="1" x14ac:dyDescent="0.45"/>
    <row r="23" ht="20" customHeight="1" x14ac:dyDescent="0.45"/>
    <row r="24" ht="20" customHeight="1" x14ac:dyDescent="0.45"/>
  </sheetData>
  <mergeCells count="12">
    <mergeCell ref="A2:E2"/>
    <mergeCell ref="A5:E5"/>
    <mergeCell ref="A13:E13"/>
    <mergeCell ref="D9:E9"/>
    <mergeCell ref="C15:E15"/>
    <mergeCell ref="A3:E3"/>
    <mergeCell ref="D8:E8"/>
    <mergeCell ref="C16:E16"/>
    <mergeCell ref="A4:E4"/>
    <mergeCell ref="C14:E14"/>
    <mergeCell ref="D7:E7"/>
    <mergeCell ref="D10:E10"/>
  </mergeCells>
  <phoneticPr fontId="2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showGridLines="0" workbookViewId="0"/>
  </sheetViews>
  <sheetFormatPr defaultRowHeight="17" x14ac:dyDescent="0.45"/>
  <cols>
    <col min="1" max="1" width="5" customWidth="1"/>
    <col min="2" max="2" width="8" customWidth="1"/>
    <col min="3" max="3" width="28" customWidth="1"/>
    <col min="4" max="4" width="12" customWidth="1"/>
    <col min="5" max="5" width="35" customWidth="1"/>
  </cols>
  <sheetData>
    <row r="1" spans="1:5" ht="8" customHeight="1" x14ac:dyDescent="0.45"/>
    <row r="2" spans="1:5" ht="30" customHeight="1" x14ac:dyDescent="0.45">
      <c r="A2" s="48" t="str">
        <f>기본사항!C8</f>
        <v>주식회사 XXX</v>
      </c>
      <c r="B2" s="38"/>
      <c r="C2" s="38"/>
      <c r="D2" s="38"/>
      <c r="E2" s="38"/>
    </row>
    <row r="3" spans="1:5" ht="25" customHeight="1" x14ac:dyDescent="0.45">
      <c r="A3" s="50" t="s">
        <v>22</v>
      </c>
      <c r="B3" s="38"/>
      <c r="C3" s="38"/>
      <c r="D3" s="38"/>
      <c r="E3" s="38"/>
    </row>
    <row r="4" spans="1:5" ht="18" customHeight="1" x14ac:dyDescent="0.45">
      <c r="A4" s="47" t="s">
        <v>23</v>
      </c>
      <c r="B4" s="38"/>
      <c r="C4" s="38"/>
      <c r="D4" s="38"/>
      <c r="E4" s="38"/>
    </row>
    <row r="5" spans="1:5" ht="8" customHeight="1" x14ac:dyDescent="0.45">
      <c r="A5" s="37"/>
      <c r="B5" s="38"/>
      <c r="C5" s="38"/>
      <c r="D5" s="38"/>
      <c r="E5" s="38"/>
    </row>
    <row r="6" spans="1:5" ht="22" customHeight="1" x14ac:dyDescent="0.45">
      <c r="A6" s="1"/>
      <c r="B6" s="2" t="s">
        <v>24</v>
      </c>
      <c r="C6" s="2" t="s">
        <v>25</v>
      </c>
      <c r="D6" s="2" t="s">
        <v>26</v>
      </c>
      <c r="E6" s="2" t="s">
        <v>27</v>
      </c>
    </row>
    <row r="7" spans="1:5" ht="22" customHeight="1" x14ac:dyDescent="0.45">
      <c r="A7" s="3"/>
      <c r="B7" s="4" t="s">
        <v>28</v>
      </c>
      <c r="C7" s="5" t="str">
        <f>HYPERLINK("#현예금!A1","현금및현금성자산")</f>
        <v>현금및현금성자산</v>
      </c>
      <c r="D7" s="6"/>
      <c r="E7" s="7"/>
    </row>
    <row r="8" spans="1:5" ht="22" customHeight="1" x14ac:dyDescent="0.45">
      <c r="A8" s="8"/>
      <c r="B8" s="9" t="s">
        <v>29</v>
      </c>
      <c r="C8" s="10" t="str">
        <f>HYPERLINK("#매출채권!A1","매출채권")</f>
        <v>매출채권</v>
      </c>
      <c r="D8" s="11"/>
      <c r="E8" s="12"/>
    </row>
    <row r="9" spans="1:5" ht="22" customHeight="1" x14ac:dyDescent="0.45">
      <c r="A9" s="3"/>
      <c r="B9" s="4" t="s">
        <v>30</v>
      </c>
      <c r="C9" s="5" t="str">
        <f>HYPERLINK("#재고자산!A1","재고자산")</f>
        <v>재고자산</v>
      </c>
      <c r="D9" s="6"/>
      <c r="E9" s="7"/>
    </row>
    <row r="10" spans="1:5" ht="22" customHeight="1" x14ac:dyDescent="0.45">
      <c r="A10" s="8"/>
      <c r="B10" s="9" t="s">
        <v>31</v>
      </c>
      <c r="C10" s="10" t="str">
        <f>HYPERLINK("#유형자산!A1","유형자산")</f>
        <v>유형자산</v>
      </c>
      <c r="D10" s="11"/>
      <c r="E10" s="12"/>
    </row>
    <row r="11" spans="1:5" ht="22" customHeight="1" x14ac:dyDescent="0.45">
      <c r="A11" s="3"/>
      <c r="B11" s="4" t="s">
        <v>32</v>
      </c>
      <c r="C11" s="5" t="str">
        <f>HYPERLINK("#장단기차입금!A1","장단기차입금")</f>
        <v>장단기차입금</v>
      </c>
      <c r="D11" s="6"/>
      <c r="E11" s="7"/>
    </row>
    <row r="12" spans="1:5" ht="22" customHeight="1" x14ac:dyDescent="0.45">
      <c r="A12" s="8"/>
      <c r="B12" s="9" t="s">
        <v>33</v>
      </c>
      <c r="C12" s="10" t="str">
        <f>HYPERLINK("#매출!A1","매출")</f>
        <v>매출</v>
      </c>
      <c r="D12" s="11"/>
      <c r="E12" s="12"/>
    </row>
    <row r="13" spans="1:5" ht="22" customHeight="1" x14ac:dyDescent="0.45">
      <c r="A13" s="3"/>
      <c r="B13" s="4" t="s">
        <v>34</v>
      </c>
      <c r="C13" s="5" t="str">
        <f>HYPERLINK("#판관비!A1","판매비및관리비")</f>
        <v>판매비및관리비</v>
      </c>
      <c r="D13" s="6"/>
      <c r="E13" s="7"/>
    </row>
    <row r="14" spans="1:5" ht="18" customHeight="1" x14ac:dyDescent="0.45"/>
    <row r="15" spans="1:5" ht="18" customHeight="1" x14ac:dyDescent="0.45"/>
    <row r="16" spans="1:5" ht="30" customHeight="1" x14ac:dyDescent="0.45">
      <c r="A16" s="49" t="s">
        <v>35</v>
      </c>
      <c r="B16" s="42"/>
      <c r="C16" s="42"/>
      <c r="D16" s="42"/>
      <c r="E16" s="42"/>
    </row>
    <row r="17" ht="18" customHeight="1" x14ac:dyDescent="0.45"/>
    <row r="18" ht="18" customHeight="1" x14ac:dyDescent="0.45"/>
    <row r="19" ht="18" customHeight="1" x14ac:dyDescent="0.45"/>
    <row r="20" ht="18" customHeight="1" x14ac:dyDescent="0.45"/>
    <row r="21" ht="18" customHeight="1" x14ac:dyDescent="0.45"/>
    <row r="22" ht="18" customHeight="1" x14ac:dyDescent="0.45"/>
    <row r="23" ht="18" customHeight="1" x14ac:dyDescent="0.45"/>
    <row r="24" ht="18" customHeight="1" x14ac:dyDescent="0.45"/>
    <row r="25" ht="18" customHeight="1" x14ac:dyDescent="0.45"/>
    <row r="26" ht="18" customHeight="1" x14ac:dyDescent="0.45"/>
    <row r="27" ht="18" customHeight="1" x14ac:dyDescent="0.45"/>
    <row r="28" ht="18" customHeight="1" x14ac:dyDescent="0.45"/>
    <row r="29" ht="18" customHeight="1" x14ac:dyDescent="0.45"/>
    <row r="30" ht="18" customHeight="1" x14ac:dyDescent="0.45"/>
    <row r="31" ht="18" customHeight="1" x14ac:dyDescent="0.45"/>
    <row r="32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</sheetData>
  <mergeCells count="5">
    <mergeCell ref="A4:E4"/>
    <mergeCell ref="A2:E2"/>
    <mergeCell ref="A16:E16"/>
    <mergeCell ref="A5:E5"/>
    <mergeCell ref="A3:E3"/>
  </mergeCells>
  <phoneticPr fontId="2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showGridLines="0" workbookViewId="0">
      <selection sqref="A1:J1"/>
    </sheetView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36</v>
      </c>
      <c r="H2" s="38"/>
      <c r="I2" s="38"/>
      <c r="J2" s="38"/>
    </row>
    <row r="3" spans="1:10" ht="30" customHeight="1" x14ac:dyDescent="0.45">
      <c r="A3" s="40" t="s">
        <v>37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4"/>
      <c r="C5" s="52"/>
      <c r="D5" s="34"/>
      <c r="E5" s="52" t="s">
        <v>40</v>
      </c>
      <c r="F5" s="34"/>
      <c r="G5" s="52"/>
      <c r="H5" s="36"/>
      <c r="I5" s="36"/>
      <c r="J5" s="34"/>
    </row>
    <row r="6" spans="1:10" ht="20" customHeight="1" x14ac:dyDescent="0.45">
      <c r="A6" s="52" t="s">
        <v>41</v>
      </c>
      <c r="B6" s="34"/>
      <c r="C6" s="52"/>
      <c r="D6" s="34"/>
      <c r="E6" s="52" t="s">
        <v>42</v>
      </c>
      <c r="F6" s="34"/>
      <c r="G6" s="52"/>
      <c r="H6" s="36"/>
      <c r="I6" s="36"/>
      <c r="J6" s="34"/>
    </row>
    <row r="7" spans="1:10" ht="20" customHeight="1" x14ac:dyDescent="0.45">
      <c r="A7" s="13" t="s">
        <v>43</v>
      </c>
      <c r="B7" s="26"/>
      <c r="C7" s="64" t="str">
        <f>기본사항!C10</f>
        <v>2025-12-31</v>
      </c>
      <c r="D7" s="34"/>
      <c r="E7" s="13"/>
      <c r="F7" s="26"/>
      <c r="G7" s="13"/>
      <c r="H7" s="27"/>
      <c r="I7" s="27"/>
      <c r="J7" s="26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6"/>
      <c r="D10" s="34"/>
      <c r="E10" s="63" t="str">
        <f>기본사항!C10</f>
        <v>2025-12-31</v>
      </c>
      <c r="F10" s="36"/>
      <c r="G10" s="36"/>
      <c r="H10" s="34"/>
      <c r="I10" s="59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55</v>
      </c>
      <c r="B12" s="16"/>
      <c r="C12" s="16"/>
      <c r="D12" s="16"/>
      <c r="E12" s="16"/>
      <c r="F12" s="16"/>
      <c r="G12" s="16"/>
      <c r="H12" s="16"/>
      <c r="I12" s="17" t="s">
        <v>56</v>
      </c>
      <c r="J12" s="18"/>
    </row>
    <row r="13" spans="1:10" ht="20" customHeight="1" x14ac:dyDescent="0.45">
      <c r="A13" s="15" t="s">
        <v>57</v>
      </c>
      <c r="B13" s="16"/>
      <c r="C13" s="16"/>
      <c r="D13" s="16"/>
      <c r="E13" s="16"/>
      <c r="F13" s="16"/>
      <c r="G13" s="16"/>
      <c r="H13" s="16"/>
      <c r="I13" s="17" t="s">
        <v>58</v>
      </c>
      <c r="J13" s="18"/>
    </row>
    <row r="14" spans="1:10" ht="20" customHeight="1" x14ac:dyDescent="0.45">
      <c r="A14" s="15" t="s">
        <v>59</v>
      </c>
      <c r="B14" s="16"/>
      <c r="C14" s="16"/>
      <c r="D14" s="16"/>
      <c r="E14" s="16"/>
      <c r="F14" s="16"/>
      <c r="G14" s="16"/>
      <c r="H14" s="16"/>
      <c r="I14" s="17" t="s">
        <v>60</v>
      </c>
      <c r="J14" s="18"/>
    </row>
    <row r="15" spans="1:10" ht="20" customHeight="1" x14ac:dyDescent="0.45">
      <c r="A15" s="15" t="s">
        <v>61</v>
      </c>
      <c r="B15" s="16"/>
      <c r="C15" s="16"/>
      <c r="D15" s="16"/>
      <c r="E15" s="16"/>
      <c r="F15" s="16"/>
      <c r="G15" s="16"/>
      <c r="H15" s="16"/>
      <c r="I15" s="17" t="s">
        <v>62</v>
      </c>
      <c r="J15" s="18"/>
    </row>
    <row r="16" spans="1:10" ht="6" customHeight="1" x14ac:dyDescent="0.45"/>
    <row r="17" spans="1:10" ht="22" customHeight="1" x14ac:dyDescent="0.45">
      <c r="A17" s="19" t="s">
        <v>63</v>
      </c>
      <c r="B17" s="20">
        <f t="shared" ref="B17:H17" si="0">SUM(B12:B15)</f>
        <v>0</v>
      </c>
      <c r="C17" s="20">
        <f t="shared" si="0"/>
        <v>0</v>
      </c>
      <c r="D17" s="20">
        <f t="shared" si="0"/>
        <v>0</v>
      </c>
      <c r="E17" s="20">
        <f t="shared" si="0"/>
        <v>0</v>
      </c>
      <c r="F17" s="20">
        <f t="shared" si="0"/>
        <v>0</v>
      </c>
      <c r="G17" s="20">
        <f t="shared" si="0"/>
        <v>0</v>
      </c>
      <c r="H17" s="20">
        <f t="shared" si="0"/>
        <v>0</v>
      </c>
    </row>
    <row r="18" spans="1:10" ht="18" customHeight="1" x14ac:dyDescent="0.45"/>
    <row r="19" spans="1:10" ht="22" customHeight="1" x14ac:dyDescent="0.45">
      <c r="A19" s="56" t="s">
        <v>64</v>
      </c>
      <c r="B19" s="57"/>
      <c r="C19" s="57"/>
      <c r="D19" s="57"/>
      <c r="E19" s="57"/>
      <c r="F19" s="57"/>
      <c r="G19" s="57"/>
      <c r="H19" s="57"/>
      <c r="I19" s="57"/>
      <c r="J19" s="58"/>
    </row>
    <row r="20" spans="1:10" ht="20" customHeight="1" x14ac:dyDescent="0.45">
      <c r="A20" s="14" t="s">
        <v>45</v>
      </c>
      <c r="B20" s="14" t="s">
        <v>65</v>
      </c>
      <c r="C20" s="14" t="s">
        <v>66</v>
      </c>
      <c r="D20" s="14" t="s">
        <v>5</v>
      </c>
      <c r="E20" s="65"/>
      <c r="F20" s="36"/>
      <c r="G20" s="36"/>
      <c r="H20" s="36"/>
      <c r="I20" s="36"/>
      <c r="J20" s="34"/>
    </row>
    <row r="21" spans="1:10" ht="20" customHeight="1" x14ac:dyDescent="0.45">
      <c r="A21" s="21" t="s">
        <v>55</v>
      </c>
      <c r="B21" s="22"/>
      <c r="C21" s="23"/>
      <c r="D21" s="3"/>
      <c r="E21" s="62"/>
      <c r="F21" s="36"/>
      <c r="G21" s="36"/>
      <c r="H21" s="36"/>
      <c r="I21" s="36"/>
      <c r="J21" s="34"/>
    </row>
    <row r="22" spans="1:10" ht="20" customHeight="1" x14ac:dyDescent="0.45">
      <c r="A22" s="21" t="s">
        <v>57</v>
      </c>
      <c r="B22" s="22"/>
      <c r="C22" s="23"/>
      <c r="D22" s="3"/>
      <c r="E22" s="62"/>
      <c r="F22" s="36"/>
      <c r="G22" s="36"/>
      <c r="H22" s="36"/>
      <c r="I22" s="36"/>
      <c r="J22" s="34"/>
    </row>
    <row r="23" spans="1:10" ht="20" customHeight="1" x14ac:dyDescent="0.45">
      <c r="A23" s="21" t="s">
        <v>59</v>
      </c>
      <c r="B23" s="22"/>
      <c r="C23" s="23"/>
      <c r="D23" s="3"/>
      <c r="E23" s="62"/>
      <c r="F23" s="36"/>
      <c r="G23" s="36"/>
      <c r="H23" s="36"/>
      <c r="I23" s="36"/>
      <c r="J23" s="34"/>
    </row>
    <row r="24" spans="1:10" ht="20" customHeight="1" x14ac:dyDescent="0.45">
      <c r="A24" s="21" t="s">
        <v>61</v>
      </c>
      <c r="B24" s="22"/>
      <c r="C24" s="23"/>
      <c r="D24" s="3"/>
      <c r="E24" s="62"/>
      <c r="F24" s="36"/>
      <c r="G24" s="36"/>
      <c r="H24" s="36"/>
      <c r="I24" s="36"/>
      <c r="J24" s="34"/>
    </row>
    <row r="25" spans="1:10" ht="18" customHeight="1" x14ac:dyDescent="0.45"/>
    <row r="26" spans="1:10" ht="18" customHeight="1" x14ac:dyDescent="0.45"/>
    <row r="27" spans="1:10" ht="22" customHeight="1" x14ac:dyDescent="0.45">
      <c r="A27" s="43" t="s">
        <v>67</v>
      </c>
      <c r="B27" s="44"/>
      <c r="C27" s="44"/>
      <c r="D27" s="44"/>
      <c r="E27" s="44"/>
      <c r="F27" s="44"/>
      <c r="G27" s="44"/>
      <c r="H27" s="44"/>
      <c r="I27" s="44"/>
      <c r="J27" s="45"/>
    </row>
    <row r="28" spans="1:10" ht="42" customHeight="1" x14ac:dyDescent="0.45">
      <c r="A28" s="51" t="s">
        <v>68</v>
      </c>
      <c r="B28" s="34"/>
      <c r="C28" s="53" t="s">
        <v>69</v>
      </c>
      <c r="D28" s="36"/>
      <c r="E28" s="36"/>
      <c r="F28" s="36"/>
      <c r="G28" s="36"/>
      <c r="H28" s="36"/>
      <c r="I28" s="36"/>
      <c r="J28" s="34"/>
    </row>
    <row r="29" spans="1:10" ht="42" customHeight="1" x14ac:dyDescent="0.45">
      <c r="A29" s="51" t="s">
        <v>70</v>
      </c>
      <c r="B29" s="34"/>
      <c r="C29" s="53" t="s">
        <v>71</v>
      </c>
      <c r="D29" s="36"/>
      <c r="E29" s="36"/>
      <c r="F29" s="36"/>
      <c r="G29" s="36"/>
      <c r="H29" s="36"/>
      <c r="I29" s="36"/>
      <c r="J29" s="34"/>
    </row>
    <row r="30" spans="1:10" ht="42" customHeight="1" x14ac:dyDescent="0.45">
      <c r="A30" s="51" t="s">
        <v>72</v>
      </c>
      <c r="B30" s="34"/>
      <c r="C30" s="53" t="s">
        <v>73</v>
      </c>
      <c r="D30" s="36"/>
      <c r="E30" s="36"/>
      <c r="F30" s="36"/>
      <c r="G30" s="36"/>
      <c r="H30" s="36"/>
      <c r="I30" s="36"/>
      <c r="J30" s="34"/>
    </row>
    <row r="31" spans="1:10" ht="42" customHeight="1" x14ac:dyDescent="0.45">
      <c r="A31" s="51" t="s">
        <v>74</v>
      </c>
      <c r="B31" s="34"/>
      <c r="C31" s="53" t="s">
        <v>75</v>
      </c>
      <c r="D31" s="36"/>
      <c r="E31" s="36"/>
      <c r="F31" s="36"/>
      <c r="G31" s="36"/>
      <c r="H31" s="36"/>
      <c r="I31" s="36"/>
      <c r="J31" s="34"/>
    </row>
    <row r="32" spans="1:10" ht="42" customHeight="1" x14ac:dyDescent="0.45">
      <c r="A32" s="51" t="s">
        <v>76</v>
      </c>
      <c r="B32" s="34"/>
      <c r="C32" s="53" t="s">
        <v>77</v>
      </c>
      <c r="D32" s="36"/>
      <c r="E32" s="36"/>
      <c r="F32" s="36"/>
      <c r="G32" s="36"/>
      <c r="H32" s="36"/>
      <c r="I32" s="36"/>
      <c r="J32" s="34"/>
    </row>
    <row r="33" spans="1:10" ht="42" customHeight="1" x14ac:dyDescent="0.45">
      <c r="A33" s="51" t="s">
        <v>78</v>
      </c>
      <c r="B33" s="34"/>
      <c r="C33" s="53" t="s">
        <v>79</v>
      </c>
      <c r="D33" s="36"/>
      <c r="E33" s="36"/>
      <c r="F33" s="36"/>
      <c r="G33" s="36"/>
      <c r="H33" s="36"/>
      <c r="I33" s="36"/>
      <c r="J33" s="34"/>
    </row>
    <row r="34" spans="1:10" ht="18" customHeight="1" x14ac:dyDescent="0.45"/>
    <row r="35" spans="1:10" ht="22" customHeight="1" x14ac:dyDescent="0.45">
      <c r="A35" s="54" t="s">
        <v>80</v>
      </c>
      <c r="B35" s="38"/>
      <c r="C35" s="38"/>
      <c r="D35" s="38"/>
      <c r="E35" s="38"/>
      <c r="F35" s="38"/>
      <c r="G35" s="38"/>
      <c r="H35" s="38"/>
      <c r="I35" s="38"/>
      <c r="J35" s="38"/>
    </row>
    <row r="36" spans="1:10" ht="18" customHeight="1" x14ac:dyDescent="0.45"/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38">
    <mergeCell ref="A1:J1"/>
    <mergeCell ref="E6:F6"/>
    <mergeCell ref="E22:J22"/>
    <mergeCell ref="A33:B33"/>
    <mergeCell ref="A5:B5"/>
    <mergeCell ref="A32:B32"/>
    <mergeCell ref="E10:H10"/>
    <mergeCell ref="E21:J21"/>
    <mergeCell ref="G6:J6"/>
    <mergeCell ref="E24:J24"/>
    <mergeCell ref="A29:B29"/>
    <mergeCell ref="C7:D7"/>
    <mergeCell ref="I10:J10"/>
    <mergeCell ref="A27:J27"/>
    <mergeCell ref="C32:J32"/>
    <mergeCell ref="A3:J3"/>
    <mergeCell ref="A2:F2"/>
    <mergeCell ref="C29:J29"/>
    <mergeCell ref="A9:J9"/>
    <mergeCell ref="G2:J2"/>
    <mergeCell ref="C31:J31"/>
    <mergeCell ref="E23:J23"/>
    <mergeCell ref="A28:B28"/>
    <mergeCell ref="C28:J28"/>
    <mergeCell ref="E20:J20"/>
    <mergeCell ref="G5:J5"/>
    <mergeCell ref="C5:D5"/>
    <mergeCell ref="E5:F5"/>
    <mergeCell ref="A35:J35"/>
    <mergeCell ref="A4:J4"/>
    <mergeCell ref="A6:B6"/>
    <mergeCell ref="A19:J19"/>
    <mergeCell ref="B10:D10"/>
    <mergeCell ref="A31:B31"/>
    <mergeCell ref="A30:B30"/>
    <mergeCell ref="C6:D6"/>
    <mergeCell ref="C30:J30"/>
    <mergeCell ref="C33:J33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81</v>
      </c>
      <c r="H2" s="38"/>
      <c r="I2" s="38"/>
      <c r="J2" s="38"/>
    </row>
    <row r="3" spans="1:10" ht="30" customHeight="1" x14ac:dyDescent="0.45">
      <c r="A3" s="40" t="s">
        <v>82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4"/>
      <c r="C5" s="52"/>
      <c r="D5" s="34"/>
      <c r="E5" s="52" t="s">
        <v>40</v>
      </c>
      <c r="F5" s="34"/>
      <c r="G5" s="52"/>
      <c r="H5" s="36"/>
      <c r="I5" s="36"/>
      <c r="J5" s="34"/>
    </row>
    <row r="6" spans="1:10" ht="20" customHeight="1" x14ac:dyDescent="0.45">
      <c r="A6" s="52" t="s">
        <v>41</v>
      </c>
      <c r="B6" s="34"/>
      <c r="C6" s="52"/>
      <c r="D6" s="34"/>
      <c r="E6" s="52" t="s">
        <v>42</v>
      </c>
      <c r="F6" s="34"/>
      <c r="G6" s="52"/>
      <c r="H6" s="36"/>
      <c r="I6" s="36"/>
      <c r="J6" s="34"/>
    </row>
    <row r="7" spans="1:10" ht="20" customHeight="1" x14ac:dyDescent="0.45">
      <c r="A7" s="13" t="s">
        <v>43</v>
      </c>
      <c r="B7" s="26"/>
      <c r="C7" s="64" t="str">
        <f>기본사항!C10</f>
        <v>2025-12-31</v>
      </c>
      <c r="D7" s="34"/>
      <c r="E7" s="13"/>
      <c r="F7" s="26"/>
      <c r="G7" s="13"/>
      <c r="H7" s="27"/>
      <c r="I7" s="27"/>
      <c r="J7" s="26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6"/>
      <c r="D10" s="34"/>
      <c r="E10" s="63" t="str">
        <f>기본사항!C10</f>
        <v>2025-12-31</v>
      </c>
      <c r="F10" s="36"/>
      <c r="G10" s="36"/>
      <c r="H10" s="34"/>
      <c r="I10" s="59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83</v>
      </c>
      <c r="B12" s="16"/>
      <c r="C12" s="16"/>
      <c r="D12" s="16"/>
      <c r="E12" s="16"/>
      <c r="F12" s="16"/>
      <c r="G12" s="16"/>
      <c r="H12" s="16"/>
      <c r="I12" s="17" t="s">
        <v>84</v>
      </c>
      <c r="J12" s="18"/>
    </row>
    <row r="13" spans="1:10" ht="20" customHeight="1" x14ac:dyDescent="0.45">
      <c r="A13" s="15" t="s">
        <v>85</v>
      </c>
      <c r="B13" s="16"/>
      <c r="C13" s="16"/>
      <c r="D13" s="16"/>
      <c r="E13" s="16"/>
      <c r="F13" s="16"/>
      <c r="G13" s="16"/>
      <c r="H13" s="16"/>
      <c r="I13" s="17" t="s">
        <v>86</v>
      </c>
      <c r="J13" s="18"/>
    </row>
    <row r="14" spans="1:10" ht="20" customHeight="1" x14ac:dyDescent="0.45">
      <c r="A14" s="15" t="s">
        <v>87</v>
      </c>
      <c r="B14" s="16"/>
      <c r="C14" s="16"/>
      <c r="D14" s="16"/>
      <c r="E14" s="16"/>
      <c r="F14" s="16"/>
      <c r="G14" s="16"/>
      <c r="H14" s="16"/>
      <c r="I14" s="17" t="s">
        <v>88</v>
      </c>
      <c r="J14" s="18"/>
    </row>
    <row r="15" spans="1:10" ht="20" customHeight="1" x14ac:dyDescent="0.45">
      <c r="A15" s="15" t="s">
        <v>89</v>
      </c>
      <c r="B15" s="16"/>
      <c r="C15" s="16"/>
      <c r="D15" s="16"/>
      <c r="E15" s="16"/>
      <c r="F15" s="16"/>
      <c r="G15" s="16"/>
      <c r="H15" s="16"/>
      <c r="I15" s="17" t="s">
        <v>90</v>
      </c>
      <c r="J15" s="18"/>
    </row>
    <row r="16" spans="1:10" ht="6" customHeight="1" x14ac:dyDescent="0.45"/>
    <row r="17" spans="1:10" ht="22" customHeight="1" x14ac:dyDescent="0.45">
      <c r="A17" s="19" t="s">
        <v>63</v>
      </c>
      <c r="B17" s="20">
        <f t="shared" ref="B17:H17" si="0">SUM(B12:B15)</f>
        <v>0</v>
      </c>
      <c r="C17" s="20">
        <f t="shared" si="0"/>
        <v>0</v>
      </c>
      <c r="D17" s="20">
        <f t="shared" si="0"/>
        <v>0</v>
      </c>
      <c r="E17" s="20">
        <f t="shared" si="0"/>
        <v>0</v>
      </c>
      <c r="F17" s="20">
        <f t="shared" si="0"/>
        <v>0</v>
      </c>
      <c r="G17" s="20">
        <f t="shared" si="0"/>
        <v>0</v>
      </c>
      <c r="H17" s="20">
        <f t="shared" si="0"/>
        <v>0</v>
      </c>
    </row>
    <row r="18" spans="1:10" ht="18" customHeight="1" x14ac:dyDescent="0.45"/>
    <row r="19" spans="1:10" ht="22" customHeight="1" x14ac:dyDescent="0.45">
      <c r="A19" s="56" t="s">
        <v>64</v>
      </c>
      <c r="B19" s="57"/>
      <c r="C19" s="57"/>
      <c r="D19" s="57"/>
      <c r="E19" s="57"/>
      <c r="F19" s="57"/>
      <c r="G19" s="57"/>
      <c r="H19" s="57"/>
      <c r="I19" s="57"/>
      <c r="J19" s="58"/>
    </row>
    <row r="20" spans="1:10" ht="20" customHeight="1" x14ac:dyDescent="0.45">
      <c r="A20" s="14" t="s">
        <v>45</v>
      </c>
      <c r="B20" s="14" t="s">
        <v>65</v>
      </c>
      <c r="C20" s="14" t="s">
        <v>66</v>
      </c>
      <c r="D20" s="14" t="s">
        <v>5</v>
      </c>
      <c r="E20" s="65"/>
      <c r="F20" s="36"/>
      <c r="G20" s="36"/>
      <c r="H20" s="36"/>
      <c r="I20" s="36"/>
      <c r="J20" s="34"/>
    </row>
    <row r="21" spans="1:10" ht="20" customHeight="1" x14ac:dyDescent="0.45">
      <c r="A21" s="21" t="s">
        <v>83</v>
      </c>
      <c r="B21" s="22"/>
      <c r="C21" s="23"/>
      <c r="D21" s="3"/>
      <c r="E21" s="62"/>
      <c r="F21" s="36"/>
      <c r="G21" s="36"/>
      <c r="H21" s="36"/>
      <c r="I21" s="36"/>
      <c r="J21" s="34"/>
    </row>
    <row r="22" spans="1:10" ht="20" customHeight="1" x14ac:dyDescent="0.45">
      <c r="A22" s="21" t="s">
        <v>85</v>
      </c>
      <c r="B22" s="22"/>
      <c r="C22" s="23"/>
      <c r="D22" s="3"/>
      <c r="E22" s="62"/>
      <c r="F22" s="36"/>
      <c r="G22" s="36"/>
      <c r="H22" s="36"/>
      <c r="I22" s="36"/>
      <c r="J22" s="34"/>
    </row>
    <row r="23" spans="1:10" ht="20" customHeight="1" x14ac:dyDescent="0.45">
      <c r="A23" s="21" t="s">
        <v>87</v>
      </c>
      <c r="B23" s="22"/>
      <c r="C23" s="23"/>
      <c r="D23" s="3"/>
      <c r="E23" s="62"/>
      <c r="F23" s="36"/>
      <c r="G23" s="36"/>
      <c r="H23" s="36"/>
      <c r="I23" s="36"/>
      <c r="J23" s="34"/>
    </row>
    <row r="24" spans="1:10" ht="20" customHeight="1" x14ac:dyDescent="0.45">
      <c r="A24" s="21" t="s">
        <v>89</v>
      </c>
      <c r="B24" s="22"/>
      <c r="C24" s="23"/>
      <c r="D24" s="3"/>
      <c r="E24" s="62"/>
      <c r="F24" s="36"/>
      <c r="G24" s="36"/>
      <c r="H24" s="36"/>
      <c r="I24" s="36"/>
      <c r="J24" s="34"/>
    </row>
    <row r="25" spans="1:10" ht="18" customHeight="1" x14ac:dyDescent="0.45"/>
    <row r="26" spans="1:10" ht="18" customHeight="1" x14ac:dyDescent="0.45"/>
    <row r="27" spans="1:10" ht="22" customHeight="1" x14ac:dyDescent="0.45">
      <c r="A27" s="43" t="s">
        <v>67</v>
      </c>
      <c r="B27" s="44"/>
      <c r="C27" s="44"/>
      <c r="D27" s="44"/>
      <c r="E27" s="44"/>
      <c r="F27" s="44"/>
      <c r="G27" s="44"/>
      <c r="H27" s="44"/>
      <c r="I27" s="44"/>
      <c r="J27" s="45"/>
    </row>
    <row r="28" spans="1:10" ht="42" customHeight="1" x14ac:dyDescent="0.45">
      <c r="A28" s="51" t="s">
        <v>91</v>
      </c>
      <c r="B28" s="34"/>
      <c r="C28" s="53" t="s">
        <v>92</v>
      </c>
      <c r="D28" s="36"/>
      <c r="E28" s="36"/>
      <c r="F28" s="36"/>
      <c r="G28" s="36"/>
      <c r="H28" s="36"/>
      <c r="I28" s="36"/>
      <c r="J28" s="34"/>
    </row>
    <row r="29" spans="1:10" ht="42" customHeight="1" x14ac:dyDescent="0.45">
      <c r="A29" s="51" t="s">
        <v>93</v>
      </c>
      <c r="B29" s="34"/>
      <c r="C29" s="53" t="s">
        <v>94</v>
      </c>
      <c r="D29" s="36"/>
      <c r="E29" s="36"/>
      <c r="F29" s="36"/>
      <c r="G29" s="36"/>
      <c r="H29" s="36"/>
      <c r="I29" s="36"/>
      <c r="J29" s="34"/>
    </row>
    <row r="30" spans="1:10" ht="42" customHeight="1" x14ac:dyDescent="0.45">
      <c r="A30" s="51" t="s">
        <v>95</v>
      </c>
      <c r="B30" s="34"/>
      <c r="C30" s="53" t="s">
        <v>96</v>
      </c>
      <c r="D30" s="36"/>
      <c r="E30" s="36"/>
      <c r="F30" s="36"/>
      <c r="G30" s="36"/>
      <c r="H30" s="36"/>
      <c r="I30" s="36"/>
      <c r="J30" s="34"/>
    </row>
    <row r="31" spans="1:10" ht="42" customHeight="1" x14ac:dyDescent="0.45">
      <c r="A31" s="51" t="s">
        <v>97</v>
      </c>
      <c r="B31" s="34"/>
      <c r="C31" s="53" t="s">
        <v>98</v>
      </c>
      <c r="D31" s="36"/>
      <c r="E31" s="36"/>
      <c r="F31" s="36"/>
      <c r="G31" s="36"/>
      <c r="H31" s="36"/>
      <c r="I31" s="36"/>
      <c r="J31" s="34"/>
    </row>
    <row r="32" spans="1:10" ht="42" customHeight="1" x14ac:dyDescent="0.45">
      <c r="A32" s="51" t="s">
        <v>99</v>
      </c>
      <c r="B32" s="34"/>
      <c r="C32" s="53" t="s">
        <v>100</v>
      </c>
      <c r="D32" s="36"/>
      <c r="E32" s="36"/>
      <c r="F32" s="36"/>
      <c r="G32" s="36"/>
      <c r="H32" s="36"/>
      <c r="I32" s="36"/>
      <c r="J32" s="34"/>
    </row>
    <row r="33" spans="1:10" ht="42" customHeight="1" x14ac:dyDescent="0.45">
      <c r="A33" s="51" t="s">
        <v>101</v>
      </c>
      <c r="B33" s="34"/>
      <c r="C33" s="53" t="s">
        <v>102</v>
      </c>
      <c r="D33" s="36"/>
      <c r="E33" s="36"/>
      <c r="F33" s="36"/>
      <c r="G33" s="36"/>
      <c r="H33" s="36"/>
      <c r="I33" s="36"/>
      <c r="J33" s="34"/>
    </row>
    <row r="34" spans="1:10" ht="18" customHeight="1" x14ac:dyDescent="0.45"/>
    <row r="35" spans="1:10" ht="22" customHeight="1" x14ac:dyDescent="0.45">
      <c r="A35" s="54" t="s">
        <v>80</v>
      </c>
      <c r="B35" s="38"/>
      <c r="C35" s="38"/>
      <c r="D35" s="38"/>
      <c r="E35" s="38"/>
      <c r="F35" s="38"/>
      <c r="G35" s="38"/>
      <c r="H35" s="38"/>
      <c r="I35" s="38"/>
      <c r="J35" s="38"/>
    </row>
    <row r="36" spans="1:10" ht="18" customHeight="1" x14ac:dyDescent="0.45"/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38">
    <mergeCell ref="A1:J1"/>
    <mergeCell ref="E6:F6"/>
    <mergeCell ref="E22:J22"/>
    <mergeCell ref="A33:B33"/>
    <mergeCell ref="A5:B5"/>
    <mergeCell ref="A32:B32"/>
    <mergeCell ref="E10:H10"/>
    <mergeCell ref="E21:J21"/>
    <mergeCell ref="G6:J6"/>
    <mergeCell ref="E24:J24"/>
    <mergeCell ref="A29:B29"/>
    <mergeCell ref="C7:D7"/>
    <mergeCell ref="I10:J10"/>
    <mergeCell ref="A27:J27"/>
    <mergeCell ref="C32:J32"/>
    <mergeCell ref="A3:J3"/>
    <mergeCell ref="A2:F2"/>
    <mergeCell ref="C29:J29"/>
    <mergeCell ref="A9:J9"/>
    <mergeCell ref="G2:J2"/>
    <mergeCell ref="C31:J31"/>
    <mergeCell ref="E23:J23"/>
    <mergeCell ref="A28:B28"/>
    <mergeCell ref="C28:J28"/>
    <mergeCell ref="E20:J20"/>
    <mergeCell ref="G5:J5"/>
    <mergeCell ref="C5:D5"/>
    <mergeCell ref="E5:F5"/>
    <mergeCell ref="A35:J35"/>
    <mergeCell ref="A4:J4"/>
    <mergeCell ref="A6:B6"/>
    <mergeCell ref="A19:J19"/>
    <mergeCell ref="B10:D10"/>
    <mergeCell ref="A31:B31"/>
    <mergeCell ref="A30:B30"/>
    <mergeCell ref="C6:D6"/>
    <mergeCell ref="C30:J30"/>
    <mergeCell ref="C33:J33"/>
  </mergeCells>
  <phoneticPr fontId="2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103</v>
      </c>
      <c r="H2" s="38"/>
      <c r="I2" s="38"/>
      <c r="J2" s="38"/>
    </row>
    <row r="3" spans="1:10" ht="30" customHeight="1" x14ac:dyDescent="0.45">
      <c r="A3" s="40" t="s">
        <v>104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4"/>
      <c r="C5" s="52"/>
      <c r="D5" s="34"/>
      <c r="E5" s="52" t="s">
        <v>40</v>
      </c>
      <c r="F5" s="34"/>
      <c r="G5" s="52"/>
      <c r="H5" s="36"/>
      <c r="I5" s="36"/>
      <c r="J5" s="34"/>
    </row>
    <row r="6" spans="1:10" ht="20" customHeight="1" x14ac:dyDescent="0.45">
      <c r="A6" s="52" t="s">
        <v>41</v>
      </c>
      <c r="B6" s="34"/>
      <c r="C6" s="52"/>
      <c r="D6" s="34"/>
      <c r="E6" s="52" t="s">
        <v>42</v>
      </c>
      <c r="F6" s="34"/>
      <c r="G6" s="52"/>
      <c r="H6" s="36"/>
      <c r="I6" s="36"/>
      <c r="J6" s="34"/>
    </row>
    <row r="7" spans="1:10" ht="20" customHeight="1" x14ac:dyDescent="0.45">
      <c r="A7" s="13" t="s">
        <v>43</v>
      </c>
      <c r="B7" s="26"/>
      <c r="C7" s="64" t="str">
        <f>기본사항!C10</f>
        <v>2025-12-31</v>
      </c>
      <c r="D7" s="34"/>
      <c r="E7" s="13"/>
      <c r="F7" s="26"/>
      <c r="G7" s="13"/>
      <c r="H7" s="27"/>
      <c r="I7" s="27"/>
      <c r="J7" s="26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6"/>
      <c r="D10" s="34"/>
      <c r="E10" s="63" t="str">
        <f>기본사항!C10</f>
        <v>2025-12-31</v>
      </c>
      <c r="F10" s="36"/>
      <c r="G10" s="36"/>
      <c r="H10" s="34"/>
      <c r="I10" s="59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105</v>
      </c>
      <c r="B12" s="16"/>
      <c r="C12" s="16"/>
      <c r="D12" s="16"/>
      <c r="E12" s="16"/>
      <c r="F12" s="16"/>
      <c r="G12" s="16"/>
      <c r="H12" s="16"/>
      <c r="I12" s="17" t="s">
        <v>106</v>
      </c>
      <c r="J12" s="18"/>
    </row>
    <row r="13" spans="1:10" ht="20" customHeight="1" x14ac:dyDescent="0.45">
      <c r="A13" s="15" t="s">
        <v>107</v>
      </c>
      <c r="B13" s="16"/>
      <c r="C13" s="16"/>
      <c r="D13" s="16"/>
      <c r="E13" s="16"/>
      <c r="F13" s="16"/>
      <c r="G13" s="16"/>
      <c r="H13" s="16"/>
      <c r="I13" s="17" t="s">
        <v>108</v>
      </c>
      <c r="J13" s="18"/>
    </row>
    <row r="14" spans="1:10" ht="20" customHeight="1" x14ac:dyDescent="0.45">
      <c r="A14" s="15" t="s">
        <v>109</v>
      </c>
      <c r="B14" s="16"/>
      <c r="C14" s="16"/>
      <c r="D14" s="16"/>
      <c r="E14" s="16"/>
      <c r="F14" s="16"/>
      <c r="G14" s="16"/>
      <c r="H14" s="16"/>
      <c r="I14" s="17" t="s">
        <v>110</v>
      </c>
      <c r="J14" s="18"/>
    </row>
    <row r="15" spans="1:10" ht="20" customHeight="1" x14ac:dyDescent="0.45">
      <c r="A15" s="15" t="s">
        <v>111</v>
      </c>
      <c r="B15" s="16"/>
      <c r="C15" s="16"/>
      <c r="D15" s="16"/>
      <c r="E15" s="16"/>
      <c r="F15" s="16"/>
      <c r="G15" s="16"/>
      <c r="H15" s="16"/>
      <c r="I15" s="17" t="s">
        <v>112</v>
      </c>
      <c r="J15" s="18"/>
    </row>
    <row r="16" spans="1:10" ht="20" customHeight="1" x14ac:dyDescent="0.45">
      <c r="A16" s="15" t="s">
        <v>113</v>
      </c>
      <c r="B16" s="16"/>
      <c r="C16" s="16"/>
      <c r="D16" s="16"/>
      <c r="E16" s="16"/>
      <c r="F16" s="16"/>
      <c r="G16" s="16"/>
      <c r="H16" s="16"/>
      <c r="I16" s="17" t="s">
        <v>114</v>
      </c>
      <c r="J16" s="18"/>
    </row>
    <row r="17" spans="1:10" ht="20" customHeight="1" x14ac:dyDescent="0.45">
      <c r="A17" s="15" t="s">
        <v>115</v>
      </c>
      <c r="B17" s="16"/>
      <c r="C17" s="16"/>
      <c r="D17" s="16"/>
      <c r="E17" s="16"/>
      <c r="F17" s="16"/>
      <c r="G17" s="16"/>
      <c r="H17" s="16"/>
      <c r="I17" s="17" t="s">
        <v>116</v>
      </c>
      <c r="J17" s="18"/>
    </row>
    <row r="18" spans="1:10" ht="20" customHeight="1" x14ac:dyDescent="0.45">
      <c r="A18" s="15" t="s">
        <v>117</v>
      </c>
      <c r="B18" s="16"/>
      <c r="C18" s="16"/>
      <c r="D18" s="16"/>
      <c r="E18" s="16"/>
      <c r="F18" s="16"/>
      <c r="G18" s="16"/>
      <c r="H18" s="16"/>
      <c r="I18" s="17" t="s">
        <v>118</v>
      </c>
      <c r="J18" s="18"/>
    </row>
    <row r="19" spans="1:10" ht="20" customHeight="1" x14ac:dyDescent="0.45">
      <c r="A19" s="15" t="s">
        <v>119</v>
      </c>
      <c r="B19" s="16"/>
      <c r="C19" s="16"/>
      <c r="D19" s="16"/>
      <c r="E19" s="16"/>
      <c r="F19" s="16"/>
      <c r="G19" s="16"/>
      <c r="H19" s="16"/>
      <c r="I19" s="17" t="s">
        <v>120</v>
      </c>
      <c r="J19" s="18"/>
    </row>
    <row r="20" spans="1:10" ht="6" customHeight="1" x14ac:dyDescent="0.45"/>
    <row r="21" spans="1:10" ht="22" customHeight="1" x14ac:dyDescent="0.45">
      <c r="A21" s="19" t="s">
        <v>63</v>
      </c>
      <c r="B21" s="20">
        <f t="shared" ref="B21:H21" si="0">SUM(B12:B19)</f>
        <v>0</v>
      </c>
      <c r="C21" s="20">
        <f t="shared" si="0"/>
        <v>0</v>
      </c>
      <c r="D21" s="20">
        <f t="shared" si="0"/>
        <v>0</v>
      </c>
      <c r="E21" s="20">
        <f t="shared" si="0"/>
        <v>0</v>
      </c>
      <c r="F21" s="20">
        <f t="shared" si="0"/>
        <v>0</v>
      </c>
      <c r="G21" s="20">
        <f t="shared" si="0"/>
        <v>0</v>
      </c>
      <c r="H21" s="20">
        <f t="shared" si="0"/>
        <v>0</v>
      </c>
    </row>
    <row r="22" spans="1:10" ht="18" customHeight="1" x14ac:dyDescent="0.45"/>
    <row r="23" spans="1:10" ht="22" customHeight="1" x14ac:dyDescent="0.45">
      <c r="A23" s="56" t="s">
        <v>64</v>
      </c>
      <c r="B23" s="57"/>
      <c r="C23" s="57"/>
      <c r="D23" s="57"/>
      <c r="E23" s="57"/>
      <c r="F23" s="57"/>
      <c r="G23" s="57"/>
      <c r="H23" s="57"/>
      <c r="I23" s="57"/>
      <c r="J23" s="58"/>
    </row>
    <row r="24" spans="1:10" ht="20" customHeight="1" x14ac:dyDescent="0.45">
      <c r="A24" s="14" t="s">
        <v>45</v>
      </c>
      <c r="B24" s="14" t="s">
        <v>65</v>
      </c>
      <c r="C24" s="14" t="s">
        <v>66</v>
      </c>
      <c r="D24" s="14" t="s">
        <v>5</v>
      </c>
      <c r="E24" s="65"/>
      <c r="F24" s="36"/>
      <c r="G24" s="36"/>
      <c r="H24" s="36"/>
      <c r="I24" s="36"/>
      <c r="J24" s="34"/>
    </row>
    <row r="25" spans="1:10" ht="20" customHeight="1" x14ac:dyDescent="0.45">
      <c r="A25" s="21" t="s">
        <v>105</v>
      </c>
      <c r="B25" s="22"/>
      <c r="C25" s="23"/>
      <c r="D25" s="3"/>
      <c r="E25" s="62"/>
      <c r="F25" s="36"/>
      <c r="G25" s="36"/>
      <c r="H25" s="36"/>
      <c r="I25" s="36"/>
      <c r="J25" s="34"/>
    </row>
    <row r="26" spans="1:10" ht="20" customHeight="1" x14ac:dyDescent="0.45">
      <c r="A26" s="21" t="s">
        <v>107</v>
      </c>
      <c r="B26" s="22"/>
      <c r="C26" s="23"/>
      <c r="D26" s="3"/>
      <c r="E26" s="62"/>
      <c r="F26" s="36"/>
      <c r="G26" s="36"/>
      <c r="H26" s="36"/>
      <c r="I26" s="36"/>
      <c r="J26" s="34"/>
    </row>
    <row r="27" spans="1:10" ht="20" customHeight="1" x14ac:dyDescent="0.45">
      <c r="A27" s="21" t="s">
        <v>109</v>
      </c>
      <c r="B27" s="22"/>
      <c r="C27" s="23"/>
      <c r="D27" s="3"/>
      <c r="E27" s="62"/>
      <c r="F27" s="36"/>
      <c r="G27" s="36"/>
      <c r="H27" s="36"/>
      <c r="I27" s="36"/>
      <c r="J27" s="34"/>
    </row>
    <row r="28" spans="1:10" ht="20" customHeight="1" x14ac:dyDescent="0.45">
      <c r="A28" s="21" t="s">
        <v>111</v>
      </c>
      <c r="B28" s="22"/>
      <c r="C28" s="23"/>
      <c r="D28" s="3"/>
      <c r="E28" s="62"/>
      <c r="F28" s="36"/>
      <c r="G28" s="36"/>
      <c r="H28" s="36"/>
      <c r="I28" s="36"/>
      <c r="J28" s="34"/>
    </row>
    <row r="29" spans="1:10" ht="20" customHeight="1" x14ac:dyDescent="0.45">
      <c r="A29" s="21" t="s">
        <v>113</v>
      </c>
      <c r="B29" s="22"/>
      <c r="C29" s="23"/>
      <c r="D29" s="3"/>
      <c r="E29" s="62"/>
      <c r="F29" s="36"/>
      <c r="G29" s="36"/>
      <c r="H29" s="36"/>
      <c r="I29" s="36"/>
      <c r="J29" s="34"/>
    </row>
    <row r="30" spans="1:10" ht="20" customHeight="1" x14ac:dyDescent="0.45">
      <c r="A30" s="21" t="s">
        <v>115</v>
      </c>
      <c r="B30" s="22"/>
      <c r="C30" s="23"/>
      <c r="D30" s="3"/>
      <c r="E30" s="62"/>
      <c r="F30" s="36"/>
      <c r="G30" s="36"/>
      <c r="H30" s="36"/>
      <c r="I30" s="36"/>
      <c r="J30" s="34"/>
    </row>
    <row r="31" spans="1:10" ht="20" customHeight="1" x14ac:dyDescent="0.45">
      <c r="A31" s="21" t="s">
        <v>117</v>
      </c>
      <c r="B31" s="22"/>
      <c r="C31" s="23"/>
      <c r="D31" s="3"/>
      <c r="E31" s="62"/>
      <c r="F31" s="36"/>
      <c r="G31" s="36"/>
      <c r="H31" s="36"/>
      <c r="I31" s="36"/>
      <c r="J31" s="34"/>
    </row>
    <row r="32" spans="1:10" ht="20" customHeight="1" x14ac:dyDescent="0.45">
      <c r="A32" s="21" t="s">
        <v>119</v>
      </c>
      <c r="B32" s="22"/>
      <c r="C32" s="23"/>
      <c r="D32" s="3"/>
      <c r="E32" s="62"/>
      <c r="F32" s="36"/>
      <c r="G32" s="36"/>
      <c r="H32" s="36"/>
      <c r="I32" s="36"/>
      <c r="J32" s="34"/>
    </row>
    <row r="33" spans="1:10" ht="18" customHeight="1" x14ac:dyDescent="0.45"/>
    <row r="34" spans="1:10" ht="18" customHeight="1" x14ac:dyDescent="0.45"/>
    <row r="35" spans="1:10" ht="22" customHeight="1" x14ac:dyDescent="0.45">
      <c r="A35" s="43" t="s">
        <v>67</v>
      </c>
      <c r="B35" s="44"/>
      <c r="C35" s="44"/>
      <c r="D35" s="44"/>
      <c r="E35" s="44"/>
      <c r="F35" s="44"/>
      <c r="G35" s="44"/>
      <c r="H35" s="44"/>
      <c r="I35" s="44"/>
      <c r="J35" s="45"/>
    </row>
    <row r="36" spans="1:10" ht="42" customHeight="1" x14ac:dyDescent="0.45">
      <c r="A36" s="51" t="s">
        <v>121</v>
      </c>
      <c r="B36" s="34"/>
      <c r="C36" s="53" t="s">
        <v>122</v>
      </c>
      <c r="D36" s="36"/>
      <c r="E36" s="36"/>
      <c r="F36" s="36"/>
      <c r="G36" s="36"/>
      <c r="H36" s="36"/>
      <c r="I36" s="36"/>
      <c r="J36" s="34"/>
    </row>
    <row r="37" spans="1:10" ht="42" customHeight="1" x14ac:dyDescent="0.45">
      <c r="A37" s="51" t="s">
        <v>123</v>
      </c>
      <c r="B37" s="34"/>
      <c r="C37" s="53" t="s">
        <v>124</v>
      </c>
      <c r="D37" s="36"/>
      <c r="E37" s="36"/>
      <c r="F37" s="36"/>
      <c r="G37" s="36"/>
      <c r="H37" s="36"/>
      <c r="I37" s="36"/>
      <c r="J37" s="34"/>
    </row>
    <row r="38" spans="1:10" ht="42" customHeight="1" x14ac:dyDescent="0.45">
      <c r="A38" s="51" t="s">
        <v>125</v>
      </c>
      <c r="B38" s="34"/>
      <c r="C38" s="53" t="s">
        <v>126</v>
      </c>
      <c r="D38" s="36"/>
      <c r="E38" s="36"/>
      <c r="F38" s="36"/>
      <c r="G38" s="36"/>
      <c r="H38" s="36"/>
      <c r="I38" s="36"/>
      <c r="J38" s="34"/>
    </row>
    <row r="39" spans="1:10" ht="42" customHeight="1" x14ac:dyDescent="0.45">
      <c r="A39" s="51" t="s">
        <v>127</v>
      </c>
      <c r="B39" s="34"/>
      <c r="C39" s="53" t="s">
        <v>128</v>
      </c>
      <c r="D39" s="36"/>
      <c r="E39" s="36"/>
      <c r="F39" s="36"/>
      <c r="G39" s="36"/>
      <c r="H39" s="36"/>
      <c r="I39" s="36"/>
      <c r="J39" s="34"/>
    </row>
    <row r="40" spans="1:10" ht="42" customHeight="1" x14ac:dyDescent="0.45">
      <c r="A40" s="51" t="s">
        <v>129</v>
      </c>
      <c r="B40" s="34"/>
      <c r="C40" s="53" t="s">
        <v>130</v>
      </c>
      <c r="D40" s="36"/>
      <c r="E40" s="36"/>
      <c r="F40" s="36"/>
      <c r="G40" s="36"/>
      <c r="H40" s="36"/>
      <c r="I40" s="36"/>
      <c r="J40" s="34"/>
    </row>
    <row r="41" spans="1:10" ht="42" customHeight="1" x14ac:dyDescent="0.45">
      <c r="A41" s="51" t="s">
        <v>131</v>
      </c>
      <c r="B41" s="34"/>
      <c r="C41" s="53" t="s">
        <v>132</v>
      </c>
      <c r="D41" s="36"/>
      <c r="E41" s="36"/>
      <c r="F41" s="36"/>
      <c r="G41" s="36"/>
      <c r="H41" s="36"/>
      <c r="I41" s="36"/>
      <c r="J41" s="34"/>
    </row>
    <row r="42" spans="1:10" ht="18" customHeight="1" x14ac:dyDescent="0.45"/>
    <row r="43" spans="1:10" ht="22" customHeight="1" x14ac:dyDescent="0.45">
      <c r="A43" s="54" t="s">
        <v>80</v>
      </c>
      <c r="B43" s="38"/>
      <c r="C43" s="38"/>
      <c r="D43" s="38"/>
      <c r="E43" s="38"/>
      <c r="F43" s="38"/>
      <c r="G43" s="38"/>
      <c r="H43" s="38"/>
      <c r="I43" s="38"/>
      <c r="J43" s="38"/>
    </row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42">
    <mergeCell ref="A1:J1"/>
    <mergeCell ref="E6:F6"/>
    <mergeCell ref="E32:J32"/>
    <mergeCell ref="A5:B5"/>
    <mergeCell ref="C36:J36"/>
    <mergeCell ref="E10:H10"/>
    <mergeCell ref="G6:J6"/>
    <mergeCell ref="C7:D7"/>
    <mergeCell ref="E24:J24"/>
    <mergeCell ref="I10:J10"/>
    <mergeCell ref="A3:J3"/>
    <mergeCell ref="G5:J5"/>
    <mergeCell ref="E29:J29"/>
    <mergeCell ref="A2:F2"/>
    <mergeCell ref="A41:B41"/>
    <mergeCell ref="A9:J9"/>
    <mergeCell ref="E27:J27"/>
    <mergeCell ref="A37:B37"/>
    <mergeCell ref="G2:J2"/>
    <mergeCell ref="C41:J41"/>
    <mergeCell ref="E26:J26"/>
    <mergeCell ref="C40:J40"/>
    <mergeCell ref="E25:J25"/>
    <mergeCell ref="C39:J39"/>
    <mergeCell ref="A38:B38"/>
    <mergeCell ref="C38:J38"/>
    <mergeCell ref="C37:J37"/>
    <mergeCell ref="A39:B39"/>
    <mergeCell ref="A40:B40"/>
    <mergeCell ref="E31:J31"/>
    <mergeCell ref="A4:J4"/>
    <mergeCell ref="A35:J35"/>
    <mergeCell ref="A36:B36"/>
    <mergeCell ref="A43:J43"/>
    <mergeCell ref="E30:J30"/>
    <mergeCell ref="A6:B6"/>
    <mergeCell ref="B10:D10"/>
    <mergeCell ref="A23:J23"/>
    <mergeCell ref="C6:D6"/>
    <mergeCell ref="E28:J28"/>
    <mergeCell ref="C5:D5"/>
    <mergeCell ref="E5:F5"/>
  </mergeCells>
  <phoneticPr fontId="2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9"/>
  <sheetViews>
    <sheetView showGridLines="0" workbookViewId="0"/>
  </sheetViews>
  <sheetFormatPr defaultRowHeight="17" x14ac:dyDescent="0.45"/>
  <cols>
    <col min="1" max="1" width="5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133</v>
      </c>
      <c r="H2" s="38"/>
      <c r="I2" s="38"/>
      <c r="J2" s="38"/>
    </row>
    <row r="3" spans="1:10" ht="30" customHeight="1" x14ac:dyDescent="0.45">
      <c r="A3" s="40" t="s">
        <v>134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4"/>
      <c r="C5" s="62"/>
      <c r="D5" s="34"/>
      <c r="E5" s="52" t="s">
        <v>40</v>
      </c>
      <c r="F5" s="34"/>
      <c r="G5" s="62"/>
      <c r="H5" s="36"/>
      <c r="I5" s="36"/>
      <c r="J5" s="34"/>
    </row>
    <row r="6" spans="1:10" ht="20" customHeight="1" x14ac:dyDescent="0.45">
      <c r="A6" s="52" t="s">
        <v>41</v>
      </c>
      <c r="B6" s="34"/>
      <c r="C6" s="62"/>
      <c r="D6" s="34"/>
      <c r="E6" s="52" t="s">
        <v>42</v>
      </c>
      <c r="F6" s="34"/>
      <c r="G6" s="62"/>
      <c r="H6" s="36"/>
      <c r="I6" s="36"/>
      <c r="J6" s="34"/>
    </row>
    <row r="7" spans="1:10" ht="20" customHeight="1" x14ac:dyDescent="0.45">
      <c r="A7" s="52" t="s">
        <v>43</v>
      </c>
      <c r="B7" s="34"/>
      <c r="C7" s="74" t="str">
        <f>기본사항!C10</f>
        <v>2025-12-31</v>
      </c>
      <c r="D7" s="34"/>
      <c r="E7" s="62"/>
      <c r="F7" s="34"/>
      <c r="G7" s="62"/>
      <c r="H7" s="36"/>
      <c r="I7" s="36"/>
      <c r="J7" s="34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6"/>
      <c r="D10" s="34"/>
      <c r="E10" s="63" t="str">
        <f>기본사항!C10</f>
        <v>2025-12-31</v>
      </c>
      <c r="F10" s="36"/>
      <c r="G10" s="36"/>
      <c r="H10" s="34"/>
      <c r="I10" s="59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135</v>
      </c>
      <c r="B12" s="16"/>
      <c r="C12" s="16"/>
      <c r="D12" s="16"/>
      <c r="E12" s="16"/>
      <c r="F12" s="16"/>
      <c r="G12" s="16"/>
      <c r="H12" s="16"/>
      <c r="I12" s="17" t="s">
        <v>136</v>
      </c>
      <c r="J12" s="18"/>
    </row>
    <row r="13" spans="1:10" ht="20" customHeight="1" x14ac:dyDescent="0.45">
      <c r="A13" s="15" t="s">
        <v>137</v>
      </c>
      <c r="B13" s="16"/>
      <c r="C13" s="16"/>
      <c r="D13" s="16"/>
      <c r="E13" s="16"/>
      <c r="F13" s="16"/>
      <c r="G13" s="16"/>
      <c r="H13" s="16"/>
      <c r="I13" s="17" t="s">
        <v>138</v>
      </c>
      <c r="J13" s="18"/>
    </row>
    <row r="14" spans="1:10" ht="20" customHeight="1" x14ac:dyDescent="0.45">
      <c r="A14" s="15" t="s">
        <v>139</v>
      </c>
      <c r="B14" s="16"/>
      <c r="C14" s="16"/>
      <c r="D14" s="16"/>
      <c r="E14" s="16"/>
      <c r="F14" s="16"/>
      <c r="G14" s="16"/>
      <c r="H14" s="16"/>
      <c r="I14" s="17" t="s">
        <v>140</v>
      </c>
      <c r="J14" s="18"/>
    </row>
    <row r="15" spans="1:10" ht="20" customHeight="1" x14ac:dyDescent="0.45">
      <c r="A15" s="15" t="s">
        <v>141</v>
      </c>
      <c r="B15" s="16"/>
      <c r="C15" s="16"/>
      <c r="D15" s="16"/>
      <c r="E15" s="16"/>
      <c r="F15" s="16"/>
      <c r="G15" s="16"/>
      <c r="H15" s="16"/>
      <c r="I15" s="17" t="s">
        <v>142</v>
      </c>
      <c r="J15" s="18"/>
    </row>
    <row r="16" spans="1:10" ht="20" customHeight="1" x14ac:dyDescent="0.45">
      <c r="A16" s="15" t="s">
        <v>143</v>
      </c>
      <c r="B16" s="16"/>
      <c r="C16" s="16"/>
      <c r="D16" s="16"/>
      <c r="E16" s="16"/>
      <c r="F16" s="16"/>
      <c r="G16" s="16"/>
      <c r="H16" s="16"/>
      <c r="I16" s="17" t="s">
        <v>144</v>
      </c>
      <c r="J16" s="18"/>
    </row>
    <row r="17" spans="1:10" ht="20" customHeight="1" x14ac:dyDescent="0.45">
      <c r="A17" s="15" t="s">
        <v>145</v>
      </c>
      <c r="B17" s="16"/>
      <c r="C17" s="16"/>
      <c r="D17" s="16"/>
      <c r="E17" s="16"/>
      <c r="F17" s="16"/>
      <c r="G17" s="16"/>
      <c r="H17" s="16"/>
      <c r="I17" s="17" t="s">
        <v>146</v>
      </c>
      <c r="J17" s="18"/>
    </row>
    <row r="18" spans="1:10" ht="6" customHeight="1" x14ac:dyDescent="0.45"/>
    <row r="19" spans="1:10" ht="22" customHeight="1" x14ac:dyDescent="0.45">
      <c r="A19" s="19" t="s">
        <v>63</v>
      </c>
      <c r="B19" s="20">
        <f t="shared" ref="B19:H19" si="0">SUM(B12:B17)</f>
        <v>0</v>
      </c>
      <c r="C19" s="20">
        <f t="shared" si="0"/>
        <v>0</v>
      </c>
      <c r="D19" s="20">
        <f t="shared" si="0"/>
        <v>0</v>
      </c>
      <c r="E19" s="20">
        <f t="shared" si="0"/>
        <v>0</v>
      </c>
      <c r="F19" s="20">
        <f t="shared" si="0"/>
        <v>0</v>
      </c>
      <c r="G19" s="20">
        <f t="shared" si="0"/>
        <v>0</v>
      </c>
      <c r="H19" s="20">
        <f t="shared" si="0"/>
        <v>0</v>
      </c>
    </row>
    <row r="20" spans="1:10" ht="18" customHeight="1" x14ac:dyDescent="0.45"/>
    <row r="21" spans="1:10" ht="22" customHeight="1" x14ac:dyDescent="0.45">
      <c r="A21" s="56" t="s">
        <v>64</v>
      </c>
      <c r="B21" s="57"/>
      <c r="C21" s="57"/>
      <c r="D21" s="57"/>
      <c r="E21" s="57"/>
      <c r="F21" s="57"/>
      <c r="G21" s="57"/>
      <c r="H21" s="57"/>
      <c r="I21" s="57"/>
      <c r="J21" s="58"/>
    </row>
    <row r="22" spans="1:10" ht="20" customHeight="1" x14ac:dyDescent="0.45">
      <c r="A22" s="14" t="s">
        <v>45</v>
      </c>
      <c r="B22" s="14" t="s">
        <v>65</v>
      </c>
      <c r="C22" s="14" t="s">
        <v>66</v>
      </c>
      <c r="D22" s="14" t="s">
        <v>5</v>
      </c>
      <c r="E22" s="73"/>
      <c r="F22" s="36"/>
      <c r="G22" s="36"/>
      <c r="H22" s="36"/>
      <c r="I22" s="36"/>
      <c r="J22" s="34"/>
    </row>
    <row r="23" spans="1:10" ht="20" customHeight="1" x14ac:dyDescent="0.45">
      <c r="A23" s="21" t="s">
        <v>135</v>
      </c>
      <c r="B23" s="22"/>
      <c r="C23" s="23"/>
      <c r="D23" s="3"/>
      <c r="E23" s="62"/>
      <c r="F23" s="36"/>
      <c r="G23" s="36"/>
      <c r="H23" s="36"/>
      <c r="I23" s="36"/>
      <c r="J23" s="34"/>
    </row>
    <row r="24" spans="1:10" ht="20" customHeight="1" x14ac:dyDescent="0.45">
      <c r="A24" s="21" t="s">
        <v>137</v>
      </c>
      <c r="B24" s="22"/>
      <c r="C24" s="23"/>
      <c r="D24" s="3"/>
      <c r="E24" s="62"/>
      <c r="F24" s="36"/>
      <c r="G24" s="36"/>
      <c r="H24" s="36"/>
      <c r="I24" s="36"/>
      <c r="J24" s="34"/>
    </row>
    <row r="25" spans="1:10" ht="20" customHeight="1" x14ac:dyDescent="0.45">
      <c r="A25" s="21" t="s">
        <v>139</v>
      </c>
      <c r="B25" s="22"/>
      <c r="C25" s="23"/>
      <c r="D25" s="3"/>
      <c r="E25" s="62"/>
      <c r="F25" s="36"/>
      <c r="G25" s="36"/>
      <c r="H25" s="36"/>
      <c r="I25" s="36"/>
      <c r="J25" s="34"/>
    </row>
    <row r="26" spans="1:10" ht="20" customHeight="1" x14ac:dyDescent="0.45">
      <c r="A26" s="21" t="s">
        <v>141</v>
      </c>
      <c r="B26" s="22"/>
      <c r="C26" s="23"/>
      <c r="D26" s="3"/>
      <c r="E26" s="62"/>
      <c r="F26" s="36"/>
      <c r="G26" s="36"/>
      <c r="H26" s="36"/>
      <c r="I26" s="36"/>
      <c r="J26" s="34"/>
    </row>
    <row r="27" spans="1:10" ht="20" customHeight="1" x14ac:dyDescent="0.45">
      <c r="A27" s="21" t="s">
        <v>143</v>
      </c>
      <c r="B27" s="22"/>
      <c r="C27" s="23"/>
      <c r="D27" s="3"/>
      <c r="E27" s="62"/>
      <c r="F27" s="36"/>
      <c r="G27" s="36"/>
      <c r="H27" s="36"/>
      <c r="I27" s="36"/>
      <c r="J27" s="34"/>
    </row>
    <row r="28" spans="1:10" ht="20" customHeight="1" x14ac:dyDescent="0.45">
      <c r="A28" s="21" t="s">
        <v>145</v>
      </c>
      <c r="B28" s="22"/>
      <c r="C28" s="23"/>
      <c r="D28" s="3"/>
      <c r="E28" s="62"/>
      <c r="F28" s="36"/>
      <c r="G28" s="36"/>
      <c r="H28" s="36"/>
      <c r="I28" s="36"/>
      <c r="J28" s="34"/>
    </row>
    <row r="29" spans="1:10" ht="18" customHeight="1" x14ac:dyDescent="0.45"/>
    <row r="30" spans="1:10" ht="18" customHeight="1" x14ac:dyDescent="0.45"/>
    <row r="31" spans="1:10" ht="24" customHeight="1" x14ac:dyDescent="0.45">
      <c r="A31" s="71" t="s">
        <v>147</v>
      </c>
      <c r="B31" s="57"/>
      <c r="C31" s="57"/>
      <c r="D31" s="57"/>
      <c r="E31" s="57"/>
      <c r="F31" s="57"/>
      <c r="G31" s="57"/>
      <c r="H31" s="57"/>
      <c r="I31" s="57"/>
      <c r="J31" s="58"/>
    </row>
    <row r="32" spans="1:10" ht="20" customHeight="1" x14ac:dyDescent="0.45">
      <c r="A32" s="13" t="s">
        <v>148</v>
      </c>
      <c r="B32" s="52" t="s">
        <v>149</v>
      </c>
      <c r="C32" s="36"/>
      <c r="D32" s="34"/>
      <c r="E32" s="52" t="s">
        <v>150</v>
      </c>
      <c r="F32" s="34"/>
      <c r="G32" s="13" t="s">
        <v>151</v>
      </c>
      <c r="H32" s="13" t="s">
        <v>24</v>
      </c>
      <c r="I32" s="52" t="s">
        <v>5</v>
      </c>
      <c r="J32" s="34"/>
    </row>
    <row r="33" spans="1:10" ht="48" customHeight="1" x14ac:dyDescent="0.45">
      <c r="A33" s="29">
        <v>1</v>
      </c>
      <c r="B33" s="70" t="s">
        <v>152</v>
      </c>
      <c r="C33" s="36"/>
      <c r="D33" s="34"/>
      <c r="E33" s="67" t="s">
        <v>153</v>
      </c>
      <c r="F33" s="34"/>
      <c r="G33" s="30"/>
      <c r="H33" s="11"/>
      <c r="I33" s="72"/>
      <c r="J33" s="34"/>
    </row>
    <row r="34" spans="1:10" ht="48" customHeight="1" x14ac:dyDescent="0.45">
      <c r="A34" s="29">
        <v>2</v>
      </c>
      <c r="B34" s="69" t="s">
        <v>154</v>
      </c>
      <c r="C34" s="36"/>
      <c r="D34" s="34"/>
      <c r="E34" s="67" t="s">
        <v>155</v>
      </c>
      <c r="F34" s="34"/>
      <c r="G34" s="31"/>
      <c r="H34" s="32"/>
      <c r="I34" s="66"/>
      <c r="J34" s="34"/>
    </row>
    <row r="35" spans="1:10" ht="48" customHeight="1" x14ac:dyDescent="0.45">
      <c r="A35" s="29">
        <v>3</v>
      </c>
      <c r="B35" s="70" t="s">
        <v>156</v>
      </c>
      <c r="C35" s="36"/>
      <c r="D35" s="34"/>
      <c r="E35" s="67" t="s">
        <v>157</v>
      </c>
      <c r="F35" s="34"/>
      <c r="G35" s="30"/>
      <c r="H35" s="11"/>
      <c r="I35" s="72"/>
      <c r="J35" s="34"/>
    </row>
    <row r="36" spans="1:10" ht="48" customHeight="1" x14ac:dyDescent="0.45">
      <c r="A36" s="29">
        <v>4</v>
      </c>
      <c r="B36" s="69" t="s">
        <v>158</v>
      </c>
      <c r="C36" s="36"/>
      <c r="D36" s="34"/>
      <c r="E36" s="67" t="s">
        <v>159</v>
      </c>
      <c r="F36" s="34"/>
      <c r="G36" s="31"/>
      <c r="H36" s="32"/>
      <c r="I36" s="66"/>
      <c r="J36" s="34"/>
    </row>
    <row r="37" spans="1:10" ht="48" customHeight="1" x14ac:dyDescent="0.45">
      <c r="A37" s="29">
        <v>5</v>
      </c>
      <c r="B37" s="70" t="s">
        <v>160</v>
      </c>
      <c r="C37" s="36"/>
      <c r="D37" s="34"/>
      <c r="E37" s="67" t="s">
        <v>161</v>
      </c>
      <c r="F37" s="34"/>
      <c r="G37" s="30"/>
      <c r="H37" s="11"/>
      <c r="I37" s="72"/>
      <c r="J37" s="34"/>
    </row>
    <row r="38" spans="1:10" ht="48" customHeight="1" x14ac:dyDescent="0.45">
      <c r="A38" s="29">
        <v>6</v>
      </c>
      <c r="B38" s="69" t="s">
        <v>162</v>
      </c>
      <c r="C38" s="36"/>
      <c r="D38" s="34"/>
      <c r="E38" s="67" t="s">
        <v>163</v>
      </c>
      <c r="F38" s="34"/>
      <c r="G38" s="31"/>
      <c r="H38" s="32"/>
      <c r="I38" s="66"/>
      <c r="J38" s="34"/>
    </row>
    <row r="39" spans="1:10" ht="48" customHeight="1" x14ac:dyDescent="0.45">
      <c r="A39" s="29">
        <v>7</v>
      </c>
      <c r="B39" s="70" t="s">
        <v>164</v>
      </c>
      <c r="C39" s="36"/>
      <c r="D39" s="34"/>
      <c r="E39" s="67" t="s">
        <v>165</v>
      </c>
      <c r="F39" s="34"/>
      <c r="G39" s="30"/>
      <c r="H39" s="11"/>
      <c r="I39" s="72"/>
      <c r="J39" s="34"/>
    </row>
    <row r="40" spans="1:10" ht="48" customHeight="1" x14ac:dyDescent="0.45">
      <c r="A40" s="29">
        <v>8</v>
      </c>
      <c r="B40" s="69" t="s">
        <v>166</v>
      </c>
      <c r="C40" s="36"/>
      <c r="D40" s="34"/>
      <c r="E40" s="67" t="s">
        <v>167</v>
      </c>
      <c r="F40" s="34"/>
      <c r="G40" s="31"/>
      <c r="H40" s="32"/>
      <c r="I40" s="66"/>
      <c r="J40" s="34"/>
    </row>
    <row r="41" spans="1:10" ht="18" customHeight="1" x14ac:dyDescent="0.45"/>
    <row r="42" spans="1:10" ht="22" customHeight="1" x14ac:dyDescent="0.45">
      <c r="A42" s="56" t="s">
        <v>168</v>
      </c>
      <c r="B42" s="57"/>
      <c r="C42" s="57"/>
      <c r="D42" s="57"/>
      <c r="E42" s="57"/>
      <c r="F42" s="57"/>
      <c r="G42" s="57"/>
      <c r="H42" s="57"/>
      <c r="I42" s="57"/>
      <c r="J42" s="58"/>
    </row>
    <row r="43" spans="1:10" ht="24" customHeight="1" x14ac:dyDescent="0.45">
      <c r="A43" s="68"/>
      <c r="B43" s="36"/>
      <c r="C43" s="36"/>
      <c r="D43" s="36"/>
      <c r="E43" s="36"/>
      <c r="F43" s="36"/>
      <c r="G43" s="36"/>
      <c r="H43" s="36"/>
      <c r="I43" s="36"/>
      <c r="J43" s="34"/>
    </row>
    <row r="44" spans="1:10" ht="24" customHeight="1" x14ac:dyDescent="0.45">
      <c r="A44" s="68"/>
      <c r="B44" s="36"/>
      <c r="C44" s="36"/>
      <c r="D44" s="36"/>
      <c r="E44" s="36"/>
      <c r="F44" s="36"/>
      <c r="G44" s="36"/>
      <c r="H44" s="36"/>
      <c r="I44" s="36"/>
      <c r="J44" s="34"/>
    </row>
    <row r="45" spans="1:10" ht="24" customHeight="1" x14ac:dyDescent="0.45">
      <c r="A45" s="68"/>
      <c r="B45" s="36"/>
      <c r="C45" s="36"/>
      <c r="D45" s="36"/>
      <c r="E45" s="36"/>
      <c r="F45" s="36"/>
      <c r="G45" s="36"/>
      <c r="H45" s="36"/>
      <c r="I45" s="36"/>
      <c r="J45" s="34"/>
    </row>
    <row r="46" spans="1:10" ht="18" customHeight="1" x14ac:dyDescent="0.45"/>
    <row r="47" spans="1:10" ht="18" customHeight="1" x14ac:dyDescent="0.45">
      <c r="A47" s="54" t="s">
        <v>80</v>
      </c>
      <c r="B47" s="38"/>
      <c r="C47" s="38"/>
      <c r="D47" s="38"/>
      <c r="E47" s="38"/>
      <c r="F47" s="38"/>
      <c r="G47" s="38"/>
      <c r="H47" s="38"/>
      <c r="I47" s="38"/>
      <c r="J47" s="38"/>
    </row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2">
    <mergeCell ref="A3:J3"/>
    <mergeCell ref="A21:J21"/>
    <mergeCell ref="E23:J23"/>
    <mergeCell ref="E37:F37"/>
    <mergeCell ref="B39:D39"/>
    <mergeCell ref="G5:J5"/>
    <mergeCell ref="A1:J1"/>
    <mergeCell ref="E34:F34"/>
    <mergeCell ref="E6:F6"/>
    <mergeCell ref="B36:D36"/>
    <mergeCell ref="A45:J45"/>
    <mergeCell ref="E22:J22"/>
    <mergeCell ref="B32:D32"/>
    <mergeCell ref="B35:D35"/>
    <mergeCell ref="A5:B5"/>
    <mergeCell ref="I33:J33"/>
    <mergeCell ref="G7:J7"/>
    <mergeCell ref="E36:F36"/>
    <mergeCell ref="I39:J39"/>
    <mergeCell ref="E10:H10"/>
    <mergeCell ref="G6:J6"/>
    <mergeCell ref="I35:J35"/>
    <mergeCell ref="A2:F2"/>
    <mergeCell ref="E35:F35"/>
    <mergeCell ref="A44:J44"/>
    <mergeCell ref="B37:D37"/>
    <mergeCell ref="A31:J31"/>
    <mergeCell ref="A7:B7"/>
    <mergeCell ref="E38:F38"/>
    <mergeCell ref="I32:J32"/>
    <mergeCell ref="A9:J9"/>
    <mergeCell ref="E27:J27"/>
    <mergeCell ref="B40:D40"/>
    <mergeCell ref="G2:J2"/>
    <mergeCell ref="I37:J37"/>
    <mergeCell ref="E26:J26"/>
    <mergeCell ref="E40:F40"/>
    <mergeCell ref="E25:J25"/>
    <mergeCell ref="C5:D5"/>
    <mergeCell ref="A42:J42"/>
    <mergeCell ref="E5:F5"/>
    <mergeCell ref="A4:J4"/>
    <mergeCell ref="A43:J43"/>
    <mergeCell ref="I36:J36"/>
    <mergeCell ref="E39:F39"/>
    <mergeCell ref="A6:B6"/>
    <mergeCell ref="B38:D38"/>
    <mergeCell ref="B34:D34"/>
    <mergeCell ref="B10:D10"/>
    <mergeCell ref="B33:D33"/>
    <mergeCell ref="C7:D7"/>
    <mergeCell ref="E24:J24"/>
    <mergeCell ref="E32:F32"/>
    <mergeCell ref="E7:F7"/>
    <mergeCell ref="A47:J47"/>
    <mergeCell ref="I34:J34"/>
    <mergeCell ref="C6:D6"/>
    <mergeCell ref="E28:J28"/>
    <mergeCell ref="E33:F33"/>
    <mergeCell ref="I38:J38"/>
    <mergeCell ref="I10:J10"/>
    <mergeCell ref="I40:J40"/>
  </mergeCells>
  <phoneticPr fontId="24" type="noConversion"/>
  <dataValidations count="1">
    <dataValidation type="list" allowBlank="1" promptTitle="수행여부" prompt="수행여부를 선택하세요" sqref="G33 G34 G35 G36 G37 G38 G39 G40" xr:uid="{00000000-0002-0000-0500-000000000000}">
      <formula1>"완료,해당없음,미수행,진행중"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9"/>
  <sheetViews>
    <sheetView showGridLines="0" workbookViewId="0"/>
  </sheetViews>
  <sheetFormatPr defaultRowHeight="17" x14ac:dyDescent="0.45"/>
  <cols>
    <col min="1" max="1" width="5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169</v>
      </c>
      <c r="H2" s="38"/>
      <c r="I2" s="38"/>
      <c r="J2" s="38"/>
    </row>
    <row r="3" spans="1:10" ht="30" customHeight="1" x14ac:dyDescent="0.45">
      <c r="A3" s="40" t="s">
        <v>170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4"/>
      <c r="C5" s="62"/>
      <c r="D5" s="34"/>
      <c r="E5" s="52" t="s">
        <v>40</v>
      </c>
      <c r="F5" s="34"/>
      <c r="G5" s="62"/>
      <c r="H5" s="36"/>
      <c r="I5" s="36"/>
      <c r="J5" s="34"/>
    </row>
    <row r="6" spans="1:10" ht="20" customHeight="1" x14ac:dyDescent="0.45">
      <c r="A6" s="52" t="s">
        <v>41</v>
      </c>
      <c r="B6" s="34"/>
      <c r="C6" s="62"/>
      <c r="D6" s="34"/>
      <c r="E6" s="52" t="s">
        <v>42</v>
      </c>
      <c r="F6" s="34"/>
      <c r="G6" s="62"/>
      <c r="H6" s="36"/>
      <c r="I6" s="36"/>
      <c r="J6" s="34"/>
    </row>
    <row r="7" spans="1:10" ht="20" customHeight="1" x14ac:dyDescent="0.45">
      <c r="A7" s="52" t="s">
        <v>43</v>
      </c>
      <c r="B7" s="34"/>
      <c r="C7" s="74" t="str">
        <f>기본사항!C10</f>
        <v>2025-12-31</v>
      </c>
      <c r="D7" s="34"/>
      <c r="E7" s="62"/>
      <c r="F7" s="34"/>
      <c r="G7" s="62"/>
      <c r="H7" s="36"/>
      <c r="I7" s="36"/>
      <c r="J7" s="34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6"/>
      <c r="D10" s="34"/>
      <c r="E10" s="63" t="str">
        <f>기본사항!C10</f>
        <v>2025-12-31</v>
      </c>
      <c r="F10" s="36"/>
      <c r="G10" s="36"/>
      <c r="H10" s="34"/>
      <c r="I10" s="59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171</v>
      </c>
      <c r="B12" s="16"/>
      <c r="C12" s="16"/>
      <c r="D12" s="16"/>
      <c r="E12" s="16"/>
      <c r="F12" s="16"/>
      <c r="G12" s="16"/>
      <c r="H12" s="16"/>
      <c r="I12" s="17" t="s">
        <v>172</v>
      </c>
      <c r="J12" s="18"/>
    </row>
    <row r="13" spans="1:10" ht="20" customHeight="1" x14ac:dyDescent="0.45">
      <c r="A13" s="15" t="s">
        <v>173</v>
      </c>
      <c r="B13" s="16"/>
      <c r="C13" s="16"/>
      <c r="D13" s="16"/>
      <c r="E13" s="16"/>
      <c r="F13" s="16"/>
      <c r="G13" s="16"/>
      <c r="H13" s="16"/>
      <c r="I13" s="17" t="s">
        <v>174</v>
      </c>
      <c r="J13" s="18"/>
    </row>
    <row r="14" spans="1:10" ht="20" customHeight="1" x14ac:dyDescent="0.45">
      <c r="A14" s="15" t="s">
        <v>175</v>
      </c>
      <c r="B14" s="16"/>
      <c r="C14" s="16"/>
      <c r="D14" s="16"/>
      <c r="E14" s="16"/>
      <c r="F14" s="16"/>
      <c r="G14" s="16"/>
      <c r="H14" s="16"/>
      <c r="I14" s="17" t="s">
        <v>176</v>
      </c>
      <c r="J14" s="18"/>
    </row>
    <row r="15" spans="1:10" ht="20" customHeight="1" x14ac:dyDescent="0.45">
      <c r="A15" s="15" t="s">
        <v>177</v>
      </c>
      <c r="B15" s="16"/>
      <c r="C15" s="16"/>
      <c r="D15" s="16"/>
      <c r="E15" s="16"/>
      <c r="F15" s="16"/>
      <c r="G15" s="16"/>
      <c r="H15" s="16"/>
      <c r="I15" s="17" t="s">
        <v>178</v>
      </c>
      <c r="J15" s="18"/>
    </row>
    <row r="16" spans="1:10" ht="20" customHeight="1" x14ac:dyDescent="0.45">
      <c r="A16" s="15" t="s">
        <v>179</v>
      </c>
      <c r="B16" s="16"/>
      <c r="C16" s="16"/>
      <c r="D16" s="16"/>
      <c r="E16" s="16"/>
      <c r="F16" s="16"/>
      <c r="G16" s="16"/>
      <c r="H16" s="16"/>
      <c r="I16" s="17" t="s">
        <v>180</v>
      </c>
      <c r="J16" s="18"/>
    </row>
    <row r="17" spans="1:10" ht="20" customHeight="1" x14ac:dyDescent="0.45">
      <c r="A17" s="15" t="s">
        <v>181</v>
      </c>
      <c r="B17" s="16"/>
      <c r="C17" s="16"/>
      <c r="D17" s="16"/>
      <c r="E17" s="16"/>
      <c r="F17" s="16"/>
      <c r="G17" s="16"/>
      <c r="H17" s="16"/>
      <c r="I17" s="17" t="s">
        <v>182</v>
      </c>
      <c r="J17" s="18"/>
    </row>
    <row r="18" spans="1:10" ht="6" customHeight="1" x14ac:dyDescent="0.45"/>
    <row r="19" spans="1:10" ht="22" customHeight="1" x14ac:dyDescent="0.45">
      <c r="A19" s="19" t="s">
        <v>63</v>
      </c>
      <c r="B19" s="20">
        <f t="shared" ref="B19:H19" si="0">SUM(B12:B17)</f>
        <v>0</v>
      </c>
      <c r="C19" s="20">
        <f t="shared" si="0"/>
        <v>0</v>
      </c>
      <c r="D19" s="20">
        <f t="shared" si="0"/>
        <v>0</v>
      </c>
      <c r="E19" s="20">
        <f t="shared" si="0"/>
        <v>0</v>
      </c>
      <c r="F19" s="20">
        <f t="shared" si="0"/>
        <v>0</v>
      </c>
      <c r="G19" s="20">
        <f t="shared" si="0"/>
        <v>0</v>
      </c>
      <c r="H19" s="20">
        <f t="shared" si="0"/>
        <v>0</v>
      </c>
    </row>
    <row r="20" spans="1:10" ht="18" customHeight="1" x14ac:dyDescent="0.45"/>
    <row r="21" spans="1:10" ht="22" customHeight="1" x14ac:dyDescent="0.45">
      <c r="A21" s="56" t="s">
        <v>64</v>
      </c>
      <c r="B21" s="57"/>
      <c r="C21" s="57"/>
      <c r="D21" s="57"/>
      <c r="E21" s="57"/>
      <c r="F21" s="57"/>
      <c r="G21" s="57"/>
      <c r="H21" s="57"/>
      <c r="I21" s="57"/>
      <c r="J21" s="58"/>
    </row>
    <row r="22" spans="1:10" ht="20" customHeight="1" x14ac:dyDescent="0.45">
      <c r="A22" s="14" t="s">
        <v>45</v>
      </c>
      <c r="B22" s="14" t="s">
        <v>65</v>
      </c>
      <c r="C22" s="14" t="s">
        <v>66</v>
      </c>
      <c r="D22" s="14" t="s">
        <v>5</v>
      </c>
      <c r="E22" s="73"/>
      <c r="F22" s="36"/>
      <c r="G22" s="36"/>
      <c r="H22" s="36"/>
      <c r="I22" s="36"/>
      <c r="J22" s="34"/>
    </row>
    <row r="23" spans="1:10" ht="20" customHeight="1" x14ac:dyDescent="0.45">
      <c r="A23" s="21" t="s">
        <v>171</v>
      </c>
      <c r="B23" s="22"/>
      <c r="C23" s="23"/>
      <c r="D23" s="3"/>
      <c r="E23" s="62"/>
      <c r="F23" s="36"/>
      <c r="G23" s="36"/>
      <c r="H23" s="36"/>
      <c r="I23" s="36"/>
      <c r="J23" s="34"/>
    </row>
    <row r="24" spans="1:10" ht="20" customHeight="1" x14ac:dyDescent="0.45">
      <c r="A24" s="21" t="s">
        <v>173</v>
      </c>
      <c r="B24" s="22"/>
      <c r="C24" s="23"/>
      <c r="D24" s="3"/>
      <c r="E24" s="62"/>
      <c r="F24" s="36"/>
      <c r="G24" s="36"/>
      <c r="H24" s="36"/>
      <c r="I24" s="36"/>
      <c r="J24" s="34"/>
    </row>
    <row r="25" spans="1:10" ht="20" customHeight="1" x14ac:dyDescent="0.45">
      <c r="A25" s="21" t="s">
        <v>175</v>
      </c>
      <c r="B25" s="22"/>
      <c r="C25" s="23"/>
      <c r="D25" s="3"/>
      <c r="E25" s="62"/>
      <c r="F25" s="36"/>
      <c r="G25" s="36"/>
      <c r="H25" s="36"/>
      <c r="I25" s="36"/>
      <c r="J25" s="34"/>
    </row>
    <row r="26" spans="1:10" ht="20" customHeight="1" x14ac:dyDescent="0.45">
      <c r="A26" s="21" t="s">
        <v>177</v>
      </c>
      <c r="B26" s="22"/>
      <c r="C26" s="23"/>
      <c r="D26" s="3"/>
      <c r="E26" s="62"/>
      <c r="F26" s="36"/>
      <c r="G26" s="36"/>
      <c r="H26" s="36"/>
      <c r="I26" s="36"/>
      <c r="J26" s="34"/>
    </row>
    <row r="27" spans="1:10" ht="20" customHeight="1" x14ac:dyDescent="0.45">
      <c r="A27" s="21" t="s">
        <v>179</v>
      </c>
      <c r="B27" s="22"/>
      <c r="C27" s="23"/>
      <c r="D27" s="3"/>
      <c r="E27" s="62"/>
      <c r="F27" s="36"/>
      <c r="G27" s="36"/>
      <c r="H27" s="36"/>
      <c r="I27" s="36"/>
      <c r="J27" s="34"/>
    </row>
    <row r="28" spans="1:10" ht="20" customHeight="1" x14ac:dyDescent="0.45">
      <c r="A28" s="21" t="s">
        <v>181</v>
      </c>
      <c r="B28" s="22"/>
      <c r="C28" s="23"/>
      <c r="D28" s="3"/>
      <c r="E28" s="62"/>
      <c r="F28" s="36"/>
      <c r="G28" s="36"/>
      <c r="H28" s="36"/>
      <c r="I28" s="36"/>
      <c r="J28" s="34"/>
    </row>
    <row r="29" spans="1:10" ht="18" customHeight="1" x14ac:dyDescent="0.45"/>
    <row r="30" spans="1:10" ht="18" customHeight="1" x14ac:dyDescent="0.45"/>
    <row r="31" spans="1:10" ht="24" customHeight="1" x14ac:dyDescent="0.45">
      <c r="A31" s="71" t="s">
        <v>147</v>
      </c>
      <c r="B31" s="57"/>
      <c r="C31" s="57"/>
      <c r="D31" s="57"/>
      <c r="E31" s="57"/>
      <c r="F31" s="57"/>
      <c r="G31" s="57"/>
      <c r="H31" s="57"/>
      <c r="I31" s="57"/>
      <c r="J31" s="58"/>
    </row>
    <row r="32" spans="1:10" ht="20" customHeight="1" x14ac:dyDescent="0.45">
      <c r="A32" s="13" t="s">
        <v>148</v>
      </c>
      <c r="B32" s="52" t="s">
        <v>149</v>
      </c>
      <c r="C32" s="36"/>
      <c r="D32" s="34"/>
      <c r="E32" s="52" t="s">
        <v>150</v>
      </c>
      <c r="F32" s="34"/>
      <c r="G32" s="13" t="s">
        <v>151</v>
      </c>
      <c r="H32" s="13" t="s">
        <v>24</v>
      </c>
      <c r="I32" s="52" t="s">
        <v>5</v>
      </c>
      <c r="J32" s="34"/>
    </row>
    <row r="33" spans="1:10" ht="48" customHeight="1" x14ac:dyDescent="0.45">
      <c r="A33" s="29">
        <v>1</v>
      </c>
      <c r="B33" s="70" t="s">
        <v>183</v>
      </c>
      <c r="C33" s="36"/>
      <c r="D33" s="34"/>
      <c r="E33" s="67" t="s">
        <v>153</v>
      </c>
      <c r="F33" s="34"/>
      <c r="G33" s="30"/>
      <c r="H33" s="11"/>
      <c r="I33" s="72"/>
      <c r="J33" s="34"/>
    </row>
    <row r="34" spans="1:10" ht="48" customHeight="1" x14ac:dyDescent="0.45">
      <c r="A34" s="29">
        <v>2</v>
      </c>
      <c r="B34" s="69" t="s">
        <v>184</v>
      </c>
      <c r="C34" s="36"/>
      <c r="D34" s="34"/>
      <c r="E34" s="67" t="s">
        <v>157</v>
      </c>
      <c r="F34" s="34"/>
      <c r="G34" s="31"/>
      <c r="H34" s="32"/>
      <c r="I34" s="66"/>
      <c r="J34" s="34"/>
    </row>
    <row r="35" spans="1:10" ht="48" customHeight="1" x14ac:dyDescent="0.45">
      <c r="A35" s="29">
        <v>3</v>
      </c>
      <c r="B35" s="70" t="s">
        <v>185</v>
      </c>
      <c r="C35" s="36"/>
      <c r="D35" s="34"/>
      <c r="E35" s="67" t="s">
        <v>186</v>
      </c>
      <c r="F35" s="34"/>
      <c r="G35" s="30"/>
      <c r="H35" s="11"/>
      <c r="I35" s="72"/>
      <c r="J35" s="34"/>
    </row>
    <row r="36" spans="1:10" ht="48" customHeight="1" x14ac:dyDescent="0.45">
      <c r="A36" s="29">
        <v>4</v>
      </c>
      <c r="B36" s="69" t="s">
        <v>187</v>
      </c>
      <c r="C36" s="36"/>
      <c r="D36" s="34"/>
      <c r="E36" s="67" t="s">
        <v>188</v>
      </c>
      <c r="F36" s="34"/>
      <c r="G36" s="31"/>
      <c r="H36" s="32"/>
      <c r="I36" s="66"/>
      <c r="J36" s="34"/>
    </row>
    <row r="37" spans="1:10" ht="48" customHeight="1" x14ac:dyDescent="0.45">
      <c r="A37" s="29">
        <v>5</v>
      </c>
      <c r="B37" s="70" t="s">
        <v>189</v>
      </c>
      <c r="C37" s="36"/>
      <c r="D37" s="34"/>
      <c r="E37" s="67" t="s">
        <v>159</v>
      </c>
      <c r="F37" s="34"/>
      <c r="G37" s="30"/>
      <c r="H37" s="11"/>
      <c r="I37" s="72"/>
      <c r="J37" s="34"/>
    </row>
    <row r="38" spans="1:10" ht="48" customHeight="1" x14ac:dyDescent="0.45">
      <c r="A38" s="29">
        <v>6</v>
      </c>
      <c r="B38" s="69" t="s">
        <v>190</v>
      </c>
      <c r="C38" s="36"/>
      <c r="D38" s="34"/>
      <c r="E38" s="67" t="s">
        <v>188</v>
      </c>
      <c r="F38" s="34"/>
      <c r="G38" s="31"/>
      <c r="H38" s="32"/>
      <c r="I38" s="66"/>
      <c r="J38" s="34"/>
    </row>
    <row r="39" spans="1:10" ht="48" customHeight="1" x14ac:dyDescent="0.45">
      <c r="A39" s="29">
        <v>7</v>
      </c>
      <c r="B39" s="70" t="s">
        <v>191</v>
      </c>
      <c r="C39" s="36"/>
      <c r="D39" s="34"/>
      <c r="E39" s="67" t="s">
        <v>192</v>
      </c>
      <c r="F39" s="34"/>
      <c r="G39" s="30"/>
      <c r="H39" s="11"/>
      <c r="I39" s="72"/>
      <c r="J39" s="34"/>
    </row>
    <row r="40" spans="1:10" ht="48" customHeight="1" x14ac:dyDescent="0.45">
      <c r="A40" s="29">
        <v>8</v>
      </c>
      <c r="B40" s="69" t="s">
        <v>193</v>
      </c>
      <c r="C40" s="36"/>
      <c r="D40" s="34"/>
      <c r="E40" s="67" t="s">
        <v>194</v>
      </c>
      <c r="F40" s="34"/>
      <c r="G40" s="31"/>
      <c r="H40" s="32"/>
      <c r="I40" s="66"/>
      <c r="J40" s="34"/>
    </row>
    <row r="41" spans="1:10" ht="48" customHeight="1" x14ac:dyDescent="0.45">
      <c r="A41" s="29">
        <v>9</v>
      </c>
      <c r="B41" s="70" t="s">
        <v>195</v>
      </c>
      <c r="C41" s="36"/>
      <c r="D41" s="34"/>
      <c r="E41" s="67" t="s">
        <v>167</v>
      </c>
      <c r="F41" s="34"/>
      <c r="G41" s="30"/>
      <c r="H41" s="11"/>
      <c r="I41" s="72"/>
      <c r="J41" s="34"/>
    </row>
    <row r="42" spans="1:10" ht="18" customHeight="1" x14ac:dyDescent="0.45"/>
    <row r="43" spans="1:10" ht="22" customHeight="1" x14ac:dyDescent="0.45">
      <c r="A43" s="56" t="s">
        <v>168</v>
      </c>
      <c r="B43" s="57"/>
      <c r="C43" s="57"/>
      <c r="D43" s="57"/>
      <c r="E43" s="57"/>
      <c r="F43" s="57"/>
      <c r="G43" s="57"/>
      <c r="H43" s="57"/>
      <c r="I43" s="57"/>
      <c r="J43" s="58"/>
    </row>
    <row r="44" spans="1:10" ht="24" customHeight="1" x14ac:dyDescent="0.45">
      <c r="A44" s="68"/>
      <c r="B44" s="36"/>
      <c r="C44" s="36"/>
      <c r="D44" s="36"/>
      <c r="E44" s="36"/>
      <c r="F44" s="36"/>
      <c r="G44" s="36"/>
      <c r="H44" s="36"/>
      <c r="I44" s="36"/>
      <c r="J44" s="34"/>
    </row>
    <row r="45" spans="1:10" ht="24" customHeight="1" x14ac:dyDescent="0.45">
      <c r="A45" s="68"/>
      <c r="B45" s="36"/>
      <c r="C45" s="36"/>
      <c r="D45" s="36"/>
      <c r="E45" s="36"/>
      <c r="F45" s="36"/>
      <c r="G45" s="36"/>
      <c r="H45" s="36"/>
      <c r="I45" s="36"/>
      <c r="J45" s="34"/>
    </row>
    <row r="46" spans="1:10" ht="24" customHeight="1" x14ac:dyDescent="0.45">
      <c r="A46" s="68"/>
      <c r="B46" s="36"/>
      <c r="C46" s="36"/>
      <c r="D46" s="36"/>
      <c r="E46" s="36"/>
      <c r="F46" s="36"/>
      <c r="G46" s="36"/>
      <c r="H46" s="36"/>
      <c r="I46" s="36"/>
      <c r="J46" s="34"/>
    </row>
    <row r="47" spans="1:10" ht="18" customHeight="1" x14ac:dyDescent="0.45"/>
    <row r="48" spans="1:10" ht="18" customHeight="1" x14ac:dyDescent="0.45">
      <c r="A48" s="54" t="s">
        <v>80</v>
      </c>
      <c r="B48" s="38"/>
      <c r="C48" s="38"/>
      <c r="D48" s="38"/>
      <c r="E48" s="38"/>
      <c r="F48" s="38"/>
      <c r="G48" s="38"/>
      <c r="H48" s="38"/>
      <c r="I48" s="38"/>
      <c r="J48" s="38"/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5">
    <mergeCell ref="A3:J3"/>
    <mergeCell ref="A21:J21"/>
    <mergeCell ref="E23:J23"/>
    <mergeCell ref="E37:F37"/>
    <mergeCell ref="B39:D39"/>
    <mergeCell ref="G5:J5"/>
    <mergeCell ref="A46:J46"/>
    <mergeCell ref="C7:D7"/>
    <mergeCell ref="E24:J24"/>
    <mergeCell ref="E32:F32"/>
    <mergeCell ref="E7:F7"/>
    <mergeCell ref="I38:J38"/>
    <mergeCell ref="I10:J10"/>
    <mergeCell ref="E41:F41"/>
    <mergeCell ref="I40:J40"/>
    <mergeCell ref="A48:J48"/>
    <mergeCell ref="E40:F40"/>
    <mergeCell ref="E25:J25"/>
    <mergeCell ref="B33:D33"/>
    <mergeCell ref="A1:J1"/>
    <mergeCell ref="E34:F34"/>
    <mergeCell ref="E6:F6"/>
    <mergeCell ref="B36:D36"/>
    <mergeCell ref="A45:J45"/>
    <mergeCell ref="E22:J22"/>
    <mergeCell ref="B41:D41"/>
    <mergeCell ref="B32:D32"/>
    <mergeCell ref="B35:D35"/>
    <mergeCell ref="A5:B5"/>
    <mergeCell ref="I33:J33"/>
    <mergeCell ref="G7:J7"/>
    <mergeCell ref="A2:F2"/>
    <mergeCell ref="E35:F35"/>
    <mergeCell ref="A44:J44"/>
    <mergeCell ref="B37:D37"/>
    <mergeCell ref="A31:J31"/>
    <mergeCell ref="A7:B7"/>
    <mergeCell ref="E38:F38"/>
    <mergeCell ref="I32:J32"/>
    <mergeCell ref="A9:J9"/>
    <mergeCell ref="E27:J27"/>
    <mergeCell ref="I41:J41"/>
    <mergeCell ref="B40:D40"/>
    <mergeCell ref="G2:J2"/>
    <mergeCell ref="I37:J37"/>
    <mergeCell ref="E26:J26"/>
    <mergeCell ref="E36:F36"/>
    <mergeCell ref="A4:J4"/>
    <mergeCell ref="A43:J43"/>
    <mergeCell ref="I36:J36"/>
    <mergeCell ref="E39:F39"/>
    <mergeCell ref="A6:B6"/>
    <mergeCell ref="B38:D38"/>
    <mergeCell ref="B34:D34"/>
    <mergeCell ref="B10:D10"/>
    <mergeCell ref="I39:J39"/>
    <mergeCell ref="E10:H10"/>
    <mergeCell ref="G6:J6"/>
    <mergeCell ref="I35:J35"/>
    <mergeCell ref="I34:J34"/>
    <mergeCell ref="C6:D6"/>
    <mergeCell ref="E28:J28"/>
    <mergeCell ref="E33:F33"/>
    <mergeCell ref="C5:D5"/>
    <mergeCell ref="E5:F5"/>
  </mergeCells>
  <phoneticPr fontId="24" type="noConversion"/>
  <dataValidations count="1">
    <dataValidation type="list" allowBlank="1" promptTitle="수행여부" prompt="수행여부를 선택하세요" sqref="G33 G34 G35 G36 G37 G38 G39 G40 G41" xr:uid="{00000000-0002-0000-0600-000000000000}">
      <formula1>"완료,해당없음,미수행,진행중"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9"/>
  <sheetViews>
    <sheetView showGridLines="0" tabSelected="1" topLeftCell="A20" workbookViewId="0">
      <selection sqref="A1:J1"/>
    </sheetView>
  </sheetViews>
  <sheetFormatPr defaultRowHeight="17" x14ac:dyDescent="0.45"/>
  <cols>
    <col min="1" max="1" width="24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196</v>
      </c>
      <c r="H2" s="38"/>
      <c r="I2" s="38"/>
      <c r="J2" s="38"/>
    </row>
    <row r="3" spans="1:10" ht="30" customHeight="1" x14ac:dyDescent="0.45">
      <c r="A3" s="40" t="s">
        <v>197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8"/>
      <c r="C5" s="62"/>
      <c r="D5" s="38"/>
      <c r="E5" s="52" t="s">
        <v>40</v>
      </c>
      <c r="F5" s="38"/>
      <c r="G5" s="62"/>
      <c r="H5" s="38"/>
      <c r="I5" s="38"/>
      <c r="J5" s="38"/>
    </row>
    <row r="6" spans="1:10" ht="20" customHeight="1" x14ac:dyDescent="0.45">
      <c r="A6" s="52" t="s">
        <v>41</v>
      </c>
      <c r="B6" s="38"/>
      <c r="C6" s="62"/>
      <c r="D6" s="38"/>
      <c r="E6" s="52" t="s">
        <v>42</v>
      </c>
      <c r="F6" s="38"/>
      <c r="G6" s="62"/>
      <c r="H6" s="38"/>
      <c r="I6" s="38"/>
      <c r="J6" s="38"/>
    </row>
    <row r="7" spans="1:10" ht="20" customHeight="1" x14ac:dyDescent="0.45">
      <c r="A7" s="52" t="s">
        <v>43</v>
      </c>
      <c r="B7" s="38"/>
      <c r="C7" s="74" t="str">
        <f>기본사항!C10</f>
        <v>2025-12-31</v>
      </c>
      <c r="D7" s="38"/>
      <c r="E7" s="62"/>
      <c r="F7" s="38"/>
      <c r="G7" s="62"/>
      <c r="H7" s="38"/>
      <c r="I7" s="38"/>
      <c r="J7" s="38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8"/>
      <c r="D10" s="38"/>
      <c r="E10" s="63" t="str">
        <f>기본사항!C10</f>
        <v>2025-12-31</v>
      </c>
      <c r="F10" s="38"/>
      <c r="G10" s="38"/>
      <c r="H10" s="38"/>
      <c r="I10" s="59" t="s">
        <v>5</v>
      </c>
      <c r="J10" s="38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198</v>
      </c>
      <c r="B12" s="16"/>
      <c r="C12" s="16"/>
      <c r="D12" s="16"/>
      <c r="E12" s="16"/>
      <c r="F12" s="16"/>
      <c r="G12" s="16"/>
      <c r="H12" s="16"/>
      <c r="I12" s="17" t="s">
        <v>199</v>
      </c>
      <c r="J12" s="18"/>
    </row>
    <row r="13" spans="1:10" ht="20" customHeight="1" x14ac:dyDescent="0.45">
      <c r="A13" s="15" t="s">
        <v>200</v>
      </c>
      <c r="B13" s="16"/>
      <c r="C13" s="16"/>
      <c r="D13" s="16"/>
      <c r="E13" s="16"/>
      <c r="F13" s="16"/>
      <c r="G13" s="16"/>
      <c r="H13" s="16"/>
      <c r="I13" s="17" t="s">
        <v>201</v>
      </c>
      <c r="J13" s="18"/>
    </row>
    <row r="14" spans="1:10" ht="20" customHeight="1" x14ac:dyDescent="0.45">
      <c r="A14" s="15" t="s">
        <v>202</v>
      </c>
      <c r="B14" s="16"/>
      <c r="C14" s="16"/>
      <c r="D14" s="16"/>
      <c r="E14" s="16"/>
      <c r="F14" s="16"/>
      <c r="G14" s="16"/>
      <c r="H14" s="16"/>
      <c r="I14" s="17" t="s">
        <v>203</v>
      </c>
      <c r="J14" s="18"/>
    </row>
    <row r="15" spans="1:10" ht="20" customHeight="1" x14ac:dyDescent="0.45">
      <c r="A15" s="15" t="s">
        <v>204</v>
      </c>
      <c r="B15" s="16"/>
      <c r="C15" s="16"/>
      <c r="D15" s="16"/>
      <c r="E15" s="16"/>
      <c r="F15" s="16"/>
      <c r="G15" s="16"/>
      <c r="H15" s="16"/>
      <c r="I15" s="17" t="s">
        <v>205</v>
      </c>
      <c r="J15" s="18"/>
    </row>
    <row r="16" spans="1:10" ht="6" customHeight="1" x14ac:dyDescent="0.45"/>
    <row r="17" spans="1:10" ht="22" customHeight="1" x14ac:dyDescent="0.45">
      <c r="A17" s="19" t="s">
        <v>63</v>
      </c>
      <c r="B17" s="20">
        <f t="shared" ref="B17:H17" si="0">SUM(B12:B15)</f>
        <v>0</v>
      </c>
      <c r="C17" s="20">
        <f t="shared" si="0"/>
        <v>0</v>
      </c>
      <c r="D17" s="20">
        <f t="shared" si="0"/>
        <v>0</v>
      </c>
      <c r="E17" s="20">
        <f t="shared" si="0"/>
        <v>0</v>
      </c>
      <c r="F17" s="20">
        <f t="shared" si="0"/>
        <v>0</v>
      </c>
      <c r="G17" s="20">
        <f t="shared" si="0"/>
        <v>0</v>
      </c>
      <c r="H17" s="20">
        <f t="shared" si="0"/>
        <v>0</v>
      </c>
    </row>
    <row r="18" spans="1:10" ht="18" customHeight="1" x14ac:dyDescent="0.45"/>
    <row r="19" spans="1:10" ht="22" customHeight="1" x14ac:dyDescent="0.45">
      <c r="A19" s="56" t="s">
        <v>64</v>
      </c>
      <c r="B19" s="38"/>
      <c r="C19" s="38"/>
      <c r="D19" s="38"/>
      <c r="E19" s="38"/>
      <c r="F19" s="38"/>
      <c r="G19" s="38"/>
      <c r="H19" s="38"/>
      <c r="I19" s="38"/>
      <c r="J19" s="38"/>
    </row>
    <row r="20" spans="1:10" ht="20" customHeight="1" x14ac:dyDescent="0.45">
      <c r="A20" s="14" t="s">
        <v>45</v>
      </c>
      <c r="B20" s="14" t="s">
        <v>65</v>
      </c>
      <c r="C20" s="14" t="s">
        <v>66</v>
      </c>
      <c r="D20" s="14" t="s">
        <v>5</v>
      </c>
      <c r="E20" s="73"/>
      <c r="F20" s="38"/>
      <c r="G20" s="38"/>
      <c r="H20" s="38"/>
      <c r="I20" s="38"/>
      <c r="J20" s="38"/>
    </row>
    <row r="21" spans="1:10" ht="20" customHeight="1" x14ac:dyDescent="0.45">
      <c r="A21" s="21" t="s">
        <v>198</v>
      </c>
      <c r="B21" s="22"/>
      <c r="C21" s="23"/>
      <c r="D21" s="3"/>
      <c r="E21" s="62"/>
      <c r="F21" s="62"/>
      <c r="G21" s="62"/>
      <c r="H21" s="62"/>
      <c r="I21" s="62"/>
      <c r="J21" s="62"/>
    </row>
    <row r="22" spans="1:10" ht="20" customHeight="1" x14ac:dyDescent="0.45">
      <c r="A22" s="21" t="s">
        <v>200</v>
      </c>
      <c r="B22" s="22"/>
      <c r="C22" s="23"/>
      <c r="D22" s="3"/>
      <c r="E22" s="62"/>
      <c r="F22" s="62"/>
      <c r="G22" s="62"/>
      <c r="H22" s="62"/>
      <c r="I22" s="62"/>
      <c r="J22" s="62"/>
    </row>
    <row r="23" spans="1:10" ht="20" customHeight="1" x14ac:dyDescent="0.45">
      <c r="A23" s="21" t="s">
        <v>202</v>
      </c>
      <c r="B23" s="22"/>
      <c r="C23" s="23"/>
      <c r="D23" s="3"/>
      <c r="E23" s="62"/>
      <c r="F23" s="62"/>
      <c r="G23" s="62"/>
      <c r="H23" s="62"/>
      <c r="I23" s="62"/>
      <c r="J23" s="62"/>
    </row>
    <row r="24" spans="1:10" ht="20" customHeight="1" x14ac:dyDescent="0.45">
      <c r="A24" s="21" t="s">
        <v>204</v>
      </c>
      <c r="B24" s="22"/>
      <c r="C24" s="23"/>
      <c r="D24" s="3"/>
      <c r="E24" s="62"/>
      <c r="F24" s="62"/>
      <c r="G24" s="62"/>
      <c r="H24" s="62"/>
      <c r="I24" s="62"/>
      <c r="J24" s="62"/>
    </row>
    <row r="25" spans="1:10" ht="18" customHeight="1" x14ac:dyDescent="0.45"/>
    <row r="26" spans="1:10" ht="18" customHeight="1" x14ac:dyDescent="0.45"/>
    <row r="27" spans="1:10" ht="24" customHeight="1" x14ac:dyDescent="0.45">
      <c r="A27" s="71" t="s">
        <v>147</v>
      </c>
      <c r="B27" s="38"/>
      <c r="C27" s="38"/>
      <c r="D27" s="38"/>
      <c r="E27" s="38"/>
      <c r="F27" s="38"/>
      <c r="G27" s="38"/>
      <c r="H27" s="38"/>
      <c r="I27" s="38"/>
      <c r="J27" s="38"/>
    </row>
    <row r="28" spans="1:10" ht="20" customHeight="1" x14ac:dyDescent="0.45">
      <c r="A28" s="13" t="s">
        <v>148</v>
      </c>
      <c r="B28" s="52" t="s">
        <v>149</v>
      </c>
      <c r="C28" s="38"/>
      <c r="D28" s="38"/>
      <c r="E28" s="52" t="s">
        <v>150</v>
      </c>
      <c r="F28" s="38"/>
      <c r="G28" s="13" t="s">
        <v>151</v>
      </c>
      <c r="H28" s="13" t="s">
        <v>24</v>
      </c>
      <c r="I28" s="52" t="s">
        <v>5</v>
      </c>
      <c r="J28" s="38"/>
    </row>
    <row r="29" spans="1:10" ht="48" customHeight="1" x14ac:dyDescent="0.45">
      <c r="A29" s="29">
        <v>1</v>
      </c>
      <c r="B29" s="70" t="s">
        <v>206</v>
      </c>
      <c r="C29" s="38"/>
      <c r="D29" s="38"/>
      <c r="E29" s="67" t="s">
        <v>153</v>
      </c>
      <c r="F29" s="38"/>
      <c r="G29" s="11"/>
      <c r="H29" s="11"/>
      <c r="I29" s="72"/>
      <c r="J29" s="38"/>
    </row>
    <row r="30" spans="1:10" ht="48" customHeight="1" x14ac:dyDescent="0.45">
      <c r="A30" s="29">
        <v>2</v>
      </c>
      <c r="B30" s="69" t="s">
        <v>207</v>
      </c>
      <c r="C30" s="38"/>
      <c r="D30" s="38"/>
      <c r="E30" s="67" t="s">
        <v>165</v>
      </c>
      <c r="F30" s="38"/>
      <c r="G30" s="32"/>
      <c r="H30" s="32"/>
      <c r="I30" s="66"/>
      <c r="J30" s="38"/>
    </row>
    <row r="31" spans="1:10" ht="48" customHeight="1" x14ac:dyDescent="0.45">
      <c r="A31" s="29">
        <v>3</v>
      </c>
      <c r="B31" s="70" t="s">
        <v>208</v>
      </c>
      <c r="C31" s="38"/>
      <c r="D31" s="38"/>
      <c r="E31" s="67" t="s">
        <v>209</v>
      </c>
      <c r="F31" s="38"/>
      <c r="G31" s="11"/>
      <c r="H31" s="11"/>
      <c r="I31" s="72"/>
      <c r="J31" s="38"/>
    </row>
    <row r="32" spans="1:10" ht="48" customHeight="1" x14ac:dyDescent="0.45">
      <c r="A32" s="29">
        <v>4</v>
      </c>
      <c r="B32" s="69" t="s">
        <v>210</v>
      </c>
      <c r="C32" s="38"/>
      <c r="D32" s="38"/>
      <c r="E32" s="67" t="s">
        <v>211</v>
      </c>
      <c r="F32" s="38"/>
      <c r="G32" s="32"/>
      <c r="H32" s="32"/>
      <c r="I32" s="66"/>
      <c r="J32" s="38"/>
    </row>
    <row r="33" spans="1:10" ht="48" customHeight="1" x14ac:dyDescent="0.45">
      <c r="A33" s="29">
        <v>5</v>
      </c>
      <c r="B33" s="70" t="s">
        <v>212</v>
      </c>
      <c r="C33" s="38"/>
      <c r="D33" s="38"/>
      <c r="E33" s="67" t="s">
        <v>213</v>
      </c>
      <c r="F33" s="38"/>
      <c r="G33" s="11"/>
      <c r="H33" s="11"/>
      <c r="I33" s="72"/>
      <c r="J33" s="38"/>
    </row>
    <row r="34" spans="1:10" ht="48" customHeight="1" x14ac:dyDescent="0.45">
      <c r="A34" s="29">
        <v>6</v>
      </c>
      <c r="B34" s="69" t="s">
        <v>214</v>
      </c>
      <c r="C34" s="38"/>
      <c r="D34" s="38"/>
      <c r="E34" s="67" t="s">
        <v>215</v>
      </c>
      <c r="F34" s="38"/>
      <c r="G34" s="32"/>
      <c r="H34" s="32"/>
      <c r="I34" s="66"/>
      <c r="J34" s="38"/>
    </row>
    <row r="35" spans="1:10" ht="48" customHeight="1" x14ac:dyDescent="0.45">
      <c r="A35" s="29">
        <v>7</v>
      </c>
      <c r="B35" s="70" t="s">
        <v>216</v>
      </c>
      <c r="C35" s="38"/>
      <c r="D35" s="38"/>
      <c r="E35" s="67" t="s">
        <v>217</v>
      </c>
      <c r="F35" s="38"/>
      <c r="G35" s="11"/>
      <c r="H35" s="11"/>
      <c r="I35" s="72"/>
      <c r="J35" s="38"/>
    </row>
    <row r="36" spans="1:10" ht="48" customHeight="1" x14ac:dyDescent="0.45">
      <c r="A36" s="29">
        <v>8</v>
      </c>
      <c r="B36" s="69" t="s">
        <v>218</v>
      </c>
      <c r="C36" s="38"/>
      <c r="D36" s="38"/>
      <c r="E36" s="67" t="s">
        <v>213</v>
      </c>
      <c r="F36" s="38"/>
      <c r="G36" s="32"/>
      <c r="H36" s="32"/>
      <c r="I36" s="66"/>
      <c r="J36" s="38"/>
    </row>
    <row r="37" spans="1:10" ht="48" customHeight="1" x14ac:dyDescent="0.45">
      <c r="A37" s="29">
        <v>9</v>
      </c>
      <c r="B37" s="70" t="s">
        <v>219</v>
      </c>
      <c r="C37" s="38"/>
      <c r="D37" s="38"/>
      <c r="E37" s="67" t="s">
        <v>220</v>
      </c>
      <c r="F37" s="38"/>
      <c r="G37" s="11"/>
      <c r="H37" s="11"/>
      <c r="I37" s="72"/>
      <c r="J37" s="38"/>
    </row>
    <row r="38" spans="1:10" ht="48" customHeight="1" x14ac:dyDescent="0.45">
      <c r="A38" s="29">
        <v>10</v>
      </c>
      <c r="B38" s="69" t="s">
        <v>221</v>
      </c>
      <c r="C38" s="38"/>
      <c r="D38" s="38"/>
      <c r="E38" s="67" t="s">
        <v>167</v>
      </c>
      <c r="F38" s="38"/>
      <c r="G38" s="32"/>
      <c r="H38" s="32"/>
      <c r="I38" s="66"/>
      <c r="J38" s="38"/>
    </row>
    <row r="39" spans="1:10" ht="18" customHeight="1" x14ac:dyDescent="0.45"/>
    <row r="40" spans="1:10" ht="22" customHeight="1" x14ac:dyDescent="0.45">
      <c r="A40" s="56" t="s">
        <v>168</v>
      </c>
      <c r="B40" s="38"/>
      <c r="C40" s="38"/>
      <c r="D40" s="38"/>
      <c r="E40" s="38"/>
      <c r="F40" s="38"/>
      <c r="G40" s="38"/>
      <c r="H40" s="38"/>
      <c r="I40" s="38"/>
      <c r="J40" s="38"/>
    </row>
    <row r="41" spans="1:10" ht="24" customHeight="1" x14ac:dyDescent="0.45">
      <c r="A41" s="68"/>
      <c r="B41" s="38"/>
      <c r="C41" s="38"/>
      <c r="D41" s="38"/>
      <c r="E41" s="38"/>
      <c r="F41" s="38"/>
      <c r="G41" s="38"/>
      <c r="H41" s="38"/>
      <c r="I41" s="38"/>
      <c r="J41" s="38"/>
    </row>
    <row r="42" spans="1:10" ht="24" customHeight="1" x14ac:dyDescent="0.45">
      <c r="A42" s="68"/>
      <c r="B42" s="38"/>
      <c r="C42" s="38"/>
      <c r="D42" s="38"/>
      <c r="E42" s="38"/>
      <c r="F42" s="38"/>
      <c r="G42" s="38"/>
      <c r="H42" s="38"/>
      <c r="I42" s="38"/>
      <c r="J42" s="38"/>
    </row>
    <row r="43" spans="1:10" ht="24" customHeight="1" x14ac:dyDescent="0.45">
      <c r="A43" s="68"/>
      <c r="B43" s="38"/>
      <c r="C43" s="38"/>
      <c r="D43" s="38"/>
      <c r="E43" s="38"/>
      <c r="F43" s="38"/>
      <c r="G43" s="38"/>
      <c r="H43" s="38"/>
      <c r="I43" s="38"/>
      <c r="J43" s="38"/>
    </row>
    <row r="44" spans="1:10" ht="18" customHeight="1" x14ac:dyDescent="0.45"/>
    <row r="45" spans="1:10" ht="18" customHeight="1" x14ac:dyDescent="0.45">
      <c r="A45" s="54" t="s">
        <v>80</v>
      </c>
      <c r="B45" s="38"/>
      <c r="C45" s="38"/>
      <c r="D45" s="38"/>
      <c r="E45" s="38"/>
      <c r="F45" s="38"/>
      <c r="G45" s="38"/>
      <c r="H45" s="38"/>
      <c r="I45" s="38"/>
      <c r="J45" s="38"/>
    </row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6">
    <mergeCell ref="I38:J38"/>
    <mergeCell ref="A3:J3"/>
    <mergeCell ref="E23:J23"/>
    <mergeCell ref="E37:F37"/>
    <mergeCell ref="I31:J31"/>
    <mergeCell ref="E20:J20"/>
    <mergeCell ref="G5:J5"/>
    <mergeCell ref="A1:J1"/>
    <mergeCell ref="A45:J45"/>
    <mergeCell ref="E6:F6"/>
    <mergeCell ref="E30:F30"/>
    <mergeCell ref="B36:D36"/>
    <mergeCell ref="E22:J22"/>
    <mergeCell ref="B32:D32"/>
    <mergeCell ref="B35:D35"/>
    <mergeCell ref="A5:B5"/>
    <mergeCell ref="I33:J33"/>
    <mergeCell ref="G7:J7"/>
    <mergeCell ref="E36:F36"/>
    <mergeCell ref="E10:H10"/>
    <mergeCell ref="E21:J21"/>
    <mergeCell ref="A41:J41"/>
    <mergeCell ref="G6:J6"/>
    <mergeCell ref="A2:F2"/>
    <mergeCell ref="B28:D28"/>
    <mergeCell ref="E35:F35"/>
    <mergeCell ref="B37:D37"/>
    <mergeCell ref="E38:F38"/>
    <mergeCell ref="A7:B7"/>
    <mergeCell ref="E29:F29"/>
    <mergeCell ref="A9:J9"/>
    <mergeCell ref="E28:F28"/>
    <mergeCell ref="G2:J2"/>
    <mergeCell ref="B30:D30"/>
    <mergeCell ref="I37:J37"/>
    <mergeCell ref="I28:J28"/>
    <mergeCell ref="E31:F31"/>
    <mergeCell ref="B33:D33"/>
    <mergeCell ref="E34:F34"/>
    <mergeCell ref="A42:J42"/>
    <mergeCell ref="E5:F5"/>
    <mergeCell ref="A4:J4"/>
    <mergeCell ref="A43:J43"/>
    <mergeCell ref="I36:J36"/>
    <mergeCell ref="B29:D29"/>
    <mergeCell ref="A6:B6"/>
    <mergeCell ref="B38:D38"/>
    <mergeCell ref="A19:J19"/>
    <mergeCell ref="B34:D34"/>
    <mergeCell ref="B10:D10"/>
    <mergeCell ref="I32:J32"/>
    <mergeCell ref="A40:J40"/>
    <mergeCell ref="I29:J29"/>
    <mergeCell ref="I35:J35"/>
    <mergeCell ref="C7:D7"/>
    <mergeCell ref="I30:J30"/>
    <mergeCell ref="I34:J34"/>
    <mergeCell ref="C6:D6"/>
    <mergeCell ref="E33:F33"/>
    <mergeCell ref="C5:D5"/>
    <mergeCell ref="E24:J24"/>
    <mergeCell ref="B31:D31"/>
    <mergeCell ref="E7:F7"/>
    <mergeCell ref="E32:F32"/>
    <mergeCell ref="I10:J10"/>
    <mergeCell ref="A27:J27"/>
  </mergeCells>
  <phoneticPr fontId="24" type="noConversion"/>
  <dataValidations count="1">
    <dataValidation type="list" allowBlank="1" sqref="G29 G30 G31 G32 G33 G34 G35 G36 G37 G38" xr:uid="{00000000-0002-0000-0700-000000000000}">
      <formula1>"완료,해당없음,미수행,진행중"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9"/>
  <sheetViews>
    <sheetView showGridLines="0" topLeftCell="A31" workbookViewId="0">
      <selection sqref="A1:J1"/>
    </sheetView>
  </sheetViews>
  <sheetFormatPr defaultRowHeight="17" x14ac:dyDescent="0.45"/>
  <cols>
    <col min="1" max="1" width="24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222</v>
      </c>
      <c r="H2" s="38"/>
      <c r="I2" s="38"/>
      <c r="J2" s="38"/>
    </row>
    <row r="3" spans="1:10" ht="30" customHeight="1" x14ac:dyDescent="0.45">
      <c r="A3" s="40" t="s">
        <v>223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8"/>
      <c r="C5" s="62"/>
      <c r="D5" s="38"/>
      <c r="E5" s="52" t="s">
        <v>40</v>
      </c>
      <c r="F5" s="38"/>
      <c r="G5" s="62"/>
      <c r="H5" s="38"/>
      <c r="I5" s="38"/>
      <c r="J5" s="38"/>
    </row>
    <row r="6" spans="1:10" ht="20" customHeight="1" x14ac:dyDescent="0.45">
      <c r="A6" s="52" t="s">
        <v>41</v>
      </c>
      <c r="B6" s="38"/>
      <c r="C6" s="62"/>
      <c r="D6" s="38"/>
      <c r="E6" s="52" t="s">
        <v>42</v>
      </c>
      <c r="F6" s="38"/>
      <c r="G6" s="62"/>
      <c r="H6" s="38"/>
      <c r="I6" s="38"/>
      <c r="J6" s="38"/>
    </row>
    <row r="7" spans="1:10" ht="20" customHeight="1" x14ac:dyDescent="0.45">
      <c r="A7" s="52" t="s">
        <v>43</v>
      </c>
      <c r="B7" s="38"/>
      <c r="C7" s="74" t="str">
        <f>기본사항!C10</f>
        <v>2025-12-31</v>
      </c>
      <c r="D7" s="38"/>
      <c r="E7" s="62"/>
      <c r="F7" s="38"/>
      <c r="G7" s="62"/>
      <c r="H7" s="38"/>
      <c r="I7" s="38"/>
      <c r="J7" s="38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8"/>
      <c r="D10" s="38"/>
      <c r="E10" s="63" t="str">
        <f>기본사항!C10</f>
        <v>2025-12-31</v>
      </c>
      <c r="F10" s="38"/>
      <c r="G10" s="38"/>
      <c r="H10" s="38"/>
      <c r="I10" s="59" t="s">
        <v>5</v>
      </c>
      <c r="J10" s="38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224</v>
      </c>
      <c r="B12" s="16"/>
      <c r="C12" s="16"/>
      <c r="D12" s="16"/>
      <c r="E12" s="16"/>
      <c r="F12" s="16"/>
      <c r="G12" s="16"/>
      <c r="H12" s="16"/>
      <c r="I12" s="17" t="s">
        <v>225</v>
      </c>
      <c r="J12" s="18"/>
    </row>
    <row r="13" spans="1:10" ht="20" customHeight="1" x14ac:dyDescent="0.45">
      <c r="A13" s="15" t="s">
        <v>226</v>
      </c>
      <c r="B13" s="16"/>
      <c r="C13" s="16"/>
      <c r="D13" s="16"/>
      <c r="E13" s="16"/>
      <c r="F13" s="16"/>
      <c r="G13" s="16"/>
      <c r="H13" s="16"/>
      <c r="I13" s="17" t="s">
        <v>227</v>
      </c>
      <c r="J13" s="18"/>
    </row>
    <row r="14" spans="1:10" ht="20" customHeight="1" x14ac:dyDescent="0.45">
      <c r="A14" s="15" t="s">
        <v>228</v>
      </c>
      <c r="B14" s="16"/>
      <c r="C14" s="16"/>
      <c r="D14" s="16"/>
      <c r="E14" s="16"/>
      <c r="F14" s="16"/>
      <c r="G14" s="16"/>
      <c r="H14" s="16"/>
      <c r="I14" s="17" t="s">
        <v>229</v>
      </c>
      <c r="J14" s="18"/>
    </row>
    <row r="15" spans="1:10" ht="20" customHeight="1" x14ac:dyDescent="0.45">
      <c r="A15" s="15" t="s">
        <v>230</v>
      </c>
      <c r="B15" s="16"/>
      <c r="C15" s="16"/>
      <c r="D15" s="16"/>
      <c r="E15" s="16"/>
      <c r="F15" s="16"/>
      <c r="G15" s="16"/>
      <c r="H15" s="16"/>
      <c r="I15" s="17" t="s">
        <v>231</v>
      </c>
      <c r="J15" s="18"/>
    </row>
    <row r="16" spans="1:10" ht="20" customHeight="1" x14ac:dyDescent="0.45">
      <c r="A16" s="15" t="s">
        <v>232</v>
      </c>
      <c r="B16" s="16"/>
      <c r="C16" s="16"/>
      <c r="D16" s="16"/>
      <c r="E16" s="16"/>
      <c r="F16" s="16"/>
      <c r="G16" s="16"/>
      <c r="H16" s="16"/>
      <c r="I16" s="17" t="s">
        <v>233</v>
      </c>
      <c r="J16" s="18"/>
    </row>
    <row r="17" spans="1:10" ht="6" customHeight="1" x14ac:dyDescent="0.45"/>
    <row r="18" spans="1:10" ht="22" customHeight="1" x14ac:dyDescent="0.45">
      <c r="A18" s="19" t="s">
        <v>63</v>
      </c>
      <c r="B18" s="20">
        <f t="shared" ref="B18:H18" si="0">SUM(B12:B16)</f>
        <v>0</v>
      </c>
      <c r="C18" s="20">
        <f t="shared" si="0"/>
        <v>0</v>
      </c>
      <c r="D18" s="20">
        <f t="shared" si="0"/>
        <v>0</v>
      </c>
      <c r="E18" s="20">
        <f t="shared" si="0"/>
        <v>0</v>
      </c>
      <c r="F18" s="20">
        <f t="shared" si="0"/>
        <v>0</v>
      </c>
      <c r="G18" s="20">
        <f t="shared" si="0"/>
        <v>0</v>
      </c>
      <c r="H18" s="20">
        <f t="shared" si="0"/>
        <v>0</v>
      </c>
    </row>
    <row r="19" spans="1:10" ht="18" customHeight="1" x14ac:dyDescent="0.45"/>
    <row r="20" spans="1:10" ht="22" customHeight="1" x14ac:dyDescent="0.45">
      <c r="A20" s="56" t="s">
        <v>64</v>
      </c>
      <c r="B20" s="38"/>
      <c r="C20" s="38"/>
      <c r="D20" s="38"/>
      <c r="E20" s="38"/>
      <c r="F20" s="38"/>
      <c r="G20" s="38"/>
      <c r="H20" s="38"/>
      <c r="I20" s="38"/>
      <c r="J20" s="38"/>
    </row>
    <row r="21" spans="1:10" ht="20" customHeight="1" x14ac:dyDescent="0.45">
      <c r="A21" s="14" t="s">
        <v>45</v>
      </c>
      <c r="B21" s="14" t="s">
        <v>65</v>
      </c>
      <c r="C21" s="14" t="s">
        <v>66</v>
      </c>
      <c r="D21" s="14" t="s">
        <v>5</v>
      </c>
      <c r="E21" s="73"/>
      <c r="F21" s="38"/>
      <c r="G21" s="38"/>
      <c r="H21" s="38"/>
      <c r="I21" s="38"/>
      <c r="J21" s="38"/>
    </row>
    <row r="22" spans="1:10" ht="20" customHeight="1" x14ac:dyDescent="0.45">
      <c r="A22" s="21" t="s">
        <v>224</v>
      </c>
      <c r="B22" s="22"/>
      <c r="C22" s="23"/>
      <c r="D22" s="3"/>
      <c r="E22" s="62"/>
      <c r="F22" s="62"/>
      <c r="G22" s="62"/>
      <c r="H22" s="62"/>
      <c r="I22" s="62"/>
      <c r="J22" s="62"/>
    </row>
    <row r="23" spans="1:10" ht="20" customHeight="1" x14ac:dyDescent="0.45">
      <c r="A23" s="21" t="s">
        <v>226</v>
      </c>
      <c r="B23" s="22"/>
      <c r="C23" s="23"/>
      <c r="D23" s="3"/>
      <c r="E23" s="62"/>
      <c r="F23" s="62"/>
      <c r="G23" s="62"/>
      <c r="H23" s="62"/>
      <c r="I23" s="62"/>
      <c r="J23" s="62"/>
    </row>
    <row r="24" spans="1:10" ht="20" customHeight="1" x14ac:dyDescent="0.45">
      <c r="A24" s="21" t="s">
        <v>228</v>
      </c>
      <c r="B24" s="22"/>
      <c r="C24" s="23"/>
      <c r="D24" s="3"/>
      <c r="E24" s="62"/>
      <c r="F24" s="62"/>
      <c r="G24" s="62"/>
      <c r="H24" s="62"/>
      <c r="I24" s="62"/>
      <c r="J24" s="62"/>
    </row>
    <row r="25" spans="1:10" ht="20" customHeight="1" x14ac:dyDescent="0.45">
      <c r="A25" s="21" t="s">
        <v>230</v>
      </c>
      <c r="B25" s="22"/>
      <c r="C25" s="23"/>
      <c r="D25" s="3"/>
      <c r="E25" s="62"/>
      <c r="F25" s="62"/>
      <c r="G25" s="62"/>
      <c r="H25" s="62"/>
      <c r="I25" s="62"/>
      <c r="J25" s="62"/>
    </row>
    <row r="26" spans="1:10" ht="20" customHeight="1" x14ac:dyDescent="0.45">
      <c r="A26" s="21" t="s">
        <v>232</v>
      </c>
      <c r="B26" s="22"/>
      <c r="C26" s="23"/>
      <c r="D26" s="3"/>
      <c r="E26" s="62"/>
      <c r="F26" s="62"/>
      <c r="G26" s="62"/>
      <c r="H26" s="62"/>
      <c r="I26" s="62"/>
      <c r="J26" s="62"/>
    </row>
    <row r="27" spans="1:10" ht="18" customHeight="1" x14ac:dyDescent="0.45"/>
    <row r="28" spans="1:10" ht="18" customHeight="1" x14ac:dyDescent="0.45"/>
    <row r="29" spans="1:10" ht="24" customHeight="1" x14ac:dyDescent="0.45">
      <c r="A29" s="71" t="s">
        <v>147</v>
      </c>
      <c r="B29" s="38"/>
      <c r="C29" s="38"/>
      <c r="D29" s="38"/>
      <c r="E29" s="38"/>
      <c r="F29" s="38"/>
      <c r="G29" s="38"/>
      <c r="H29" s="38"/>
      <c r="I29" s="38"/>
      <c r="J29" s="38"/>
    </row>
    <row r="30" spans="1:10" ht="20" customHeight="1" x14ac:dyDescent="0.45">
      <c r="A30" s="13" t="s">
        <v>148</v>
      </c>
      <c r="B30" s="52" t="s">
        <v>149</v>
      </c>
      <c r="C30" s="38"/>
      <c r="D30" s="38"/>
      <c r="E30" s="52" t="s">
        <v>150</v>
      </c>
      <c r="F30" s="38"/>
      <c r="G30" s="13" t="s">
        <v>151</v>
      </c>
      <c r="H30" s="13" t="s">
        <v>24</v>
      </c>
      <c r="I30" s="52" t="s">
        <v>5</v>
      </c>
      <c r="J30" s="38"/>
    </row>
    <row r="31" spans="1:10" ht="48" customHeight="1" x14ac:dyDescent="0.45">
      <c r="A31" s="29">
        <v>1</v>
      </c>
      <c r="B31" s="70" t="s">
        <v>234</v>
      </c>
      <c r="C31" s="38"/>
      <c r="D31" s="38"/>
      <c r="E31" s="67" t="s">
        <v>153</v>
      </c>
      <c r="F31" s="38"/>
      <c r="G31" s="11"/>
      <c r="H31" s="11"/>
      <c r="I31" s="72"/>
      <c r="J31" s="38"/>
    </row>
    <row r="32" spans="1:10" ht="48" customHeight="1" x14ac:dyDescent="0.45">
      <c r="A32" s="29">
        <v>2</v>
      </c>
      <c r="B32" s="69" t="s">
        <v>235</v>
      </c>
      <c r="C32" s="38"/>
      <c r="D32" s="38"/>
      <c r="E32" s="67" t="s">
        <v>165</v>
      </c>
      <c r="F32" s="38"/>
      <c r="G32" s="32"/>
      <c r="H32" s="32"/>
      <c r="I32" s="66"/>
      <c r="J32" s="38"/>
    </row>
    <row r="33" spans="1:10" ht="48" customHeight="1" x14ac:dyDescent="0.45">
      <c r="A33" s="29">
        <v>3</v>
      </c>
      <c r="B33" s="70" t="s">
        <v>236</v>
      </c>
      <c r="C33" s="38"/>
      <c r="D33" s="38"/>
      <c r="E33" s="67" t="s">
        <v>237</v>
      </c>
      <c r="F33" s="38"/>
      <c r="G33" s="11"/>
      <c r="H33" s="11"/>
      <c r="I33" s="72"/>
      <c r="J33" s="38"/>
    </row>
    <row r="34" spans="1:10" ht="48" customHeight="1" x14ac:dyDescent="0.45">
      <c r="A34" s="29">
        <v>4</v>
      </c>
      <c r="B34" s="69" t="s">
        <v>238</v>
      </c>
      <c r="C34" s="38"/>
      <c r="D34" s="38"/>
      <c r="E34" s="67" t="s">
        <v>239</v>
      </c>
      <c r="F34" s="38"/>
      <c r="G34" s="32"/>
      <c r="H34" s="32"/>
      <c r="I34" s="66"/>
      <c r="J34" s="38"/>
    </row>
    <row r="35" spans="1:10" ht="48" customHeight="1" x14ac:dyDescent="0.45">
      <c r="A35" s="29">
        <v>5</v>
      </c>
      <c r="B35" s="70" t="s">
        <v>240</v>
      </c>
      <c r="C35" s="38"/>
      <c r="D35" s="38"/>
      <c r="E35" s="67" t="s">
        <v>188</v>
      </c>
      <c r="F35" s="38"/>
      <c r="G35" s="11"/>
      <c r="H35" s="11"/>
      <c r="I35" s="72"/>
      <c r="J35" s="38"/>
    </row>
    <row r="36" spans="1:10" ht="48" customHeight="1" x14ac:dyDescent="0.45">
      <c r="A36" s="29">
        <v>6</v>
      </c>
      <c r="B36" s="69" t="s">
        <v>241</v>
      </c>
      <c r="C36" s="38"/>
      <c r="D36" s="38"/>
      <c r="E36" s="67" t="s">
        <v>242</v>
      </c>
      <c r="F36" s="38"/>
      <c r="G36" s="32"/>
      <c r="H36" s="32"/>
      <c r="I36" s="66"/>
      <c r="J36" s="38"/>
    </row>
    <row r="37" spans="1:10" ht="48" customHeight="1" x14ac:dyDescent="0.45">
      <c r="A37" s="29">
        <v>7</v>
      </c>
      <c r="B37" s="70" t="s">
        <v>243</v>
      </c>
      <c r="C37" s="38"/>
      <c r="D37" s="38"/>
      <c r="E37" s="67" t="s">
        <v>211</v>
      </c>
      <c r="F37" s="38"/>
      <c r="G37" s="11"/>
      <c r="H37" s="11"/>
      <c r="I37" s="72"/>
      <c r="J37" s="38"/>
    </row>
    <row r="38" spans="1:10" ht="48" customHeight="1" x14ac:dyDescent="0.45">
      <c r="A38" s="29">
        <v>8</v>
      </c>
      <c r="B38" s="69" t="s">
        <v>244</v>
      </c>
      <c r="C38" s="38"/>
      <c r="D38" s="38"/>
      <c r="E38" s="67" t="s">
        <v>220</v>
      </c>
      <c r="F38" s="38"/>
      <c r="G38" s="32"/>
      <c r="H38" s="32"/>
      <c r="I38" s="66"/>
      <c r="J38" s="38"/>
    </row>
    <row r="39" spans="1:10" ht="48" customHeight="1" x14ac:dyDescent="0.45">
      <c r="A39" s="29">
        <v>9</v>
      </c>
      <c r="B39" s="70" t="s">
        <v>245</v>
      </c>
      <c r="C39" s="38"/>
      <c r="D39" s="38"/>
      <c r="E39" s="67" t="s">
        <v>167</v>
      </c>
      <c r="F39" s="38"/>
      <c r="G39" s="11"/>
      <c r="H39" s="11"/>
      <c r="I39" s="72"/>
      <c r="J39" s="38"/>
    </row>
    <row r="40" spans="1:10" ht="18" customHeight="1" x14ac:dyDescent="0.45"/>
    <row r="41" spans="1:10" ht="22" customHeight="1" x14ac:dyDescent="0.45">
      <c r="A41" s="56" t="s">
        <v>168</v>
      </c>
      <c r="B41" s="38"/>
      <c r="C41" s="38"/>
      <c r="D41" s="38"/>
      <c r="E41" s="38"/>
      <c r="F41" s="38"/>
      <c r="G41" s="38"/>
      <c r="H41" s="38"/>
      <c r="I41" s="38"/>
      <c r="J41" s="38"/>
    </row>
    <row r="42" spans="1:10" ht="24" customHeight="1" x14ac:dyDescent="0.45">
      <c r="A42" s="68"/>
      <c r="B42" s="38"/>
      <c r="C42" s="38"/>
      <c r="D42" s="38"/>
      <c r="E42" s="38"/>
      <c r="F42" s="38"/>
      <c r="G42" s="38"/>
      <c r="H42" s="38"/>
      <c r="I42" s="38"/>
      <c r="J42" s="38"/>
    </row>
    <row r="43" spans="1:10" ht="24" customHeight="1" x14ac:dyDescent="0.45">
      <c r="A43" s="68"/>
      <c r="B43" s="38"/>
      <c r="C43" s="38"/>
      <c r="D43" s="38"/>
      <c r="E43" s="38"/>
      <c r="F43" s="38"/>
      <c r="G43" s="38"/>
      <c r="H43" s="38"/>
      <c r="I43" s="38"/>
      <c r="J43" s="38"/>
    </row>
    <row r="44" spans="1:10" ht="24" customHeight="1" x14ac:dyDescent="0.45">
      <c r="A44" s="68"/>
      <c r="B44" s="38"/>
      <c r="C44" s="38"/>
      <c r="D44" s="38"/>
      <c r="E44" s="38"/>
      <c r="F44" s="38"/>
      <c r="G44" s="38"/>
      <c r="H44" s="38"/>
      <c r="I44" s="38"/>
      <c r="J44" s="38"/>
    </row>
    <row r="45" spans="1:10" ht="18" customHeight="1" x14ac:dyDescent="0.45"/>
    <row r="46" spans="1:10" ht="18" customHeight="1" x14ac:dyDescent="0.45">
      <c r="A46" s="54" t="s">
        <v>80</v>
      </c>
      <c r="B46" s="38"/>
      <c r="C46" s="38"/>
      <c r="D46" s="38"/>
      <c r="E46" s="38"/>
      <c r="F46" s="38"/>
      <c r="G46" s="38"/>
      <c r="H46" s="38"/>
      <c r="I46" s="38"/>
      <c r="J46" s="38"/>
    </row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4">
    <mergeCell ref="A3:J3"/>
    <mergeCell ref="E23:J23"/>
    <mergeCell ref="E37:F37"/>
    <mergeCell ref="I31:J31"/>
    <mergeCell ref="B39:D39"/>
    <mergeCell ref="G5:J5"/>
    <mergeCell ref="A46:J46"/>
    <mergeCell ref="C7:D7"/>
    <mergeCell ref="E24:J24"/>
    <mergeCell ref="B31:D31"/>
    <mergeCell ref="E7:F7"/>
    <mergeCell ref="E32:F32"/>
    <mergeCell ref="I10:J10"/>
    <mergeCell ref="I38:J38"/>
    <mergeCell ref="A1:J1"/>
    <mergeCell ref="E34:F34"/>
    <mergeCell ref="E6:F6"/>
    <mergeCell ref="E30:F30"/>
    <mergeCell ref="B36:D36"/>
    <mergeCell ref="E22:J22"/>
    <mergeCell ref="B32:D32"/>
    <mergeCell ref="B35:D35"/>
    <mergeCell ref="A5:B5"/>
    <mergeCell ref="I33:J33"/>
    <mergeCell ref="G7:J7"/>
    <mergeCell ref="E36:F36"/>
    <mergeCell ref="E10:H10"/>
    <mergeCell ref="E21:J21"/>
    <mergeCell ref="G6:J6"/>
    <mergeCell ref="I35:J35"/>
    <mergeCell ref="A2:F2"/>
    <mergeCell ref="E35:F35"/>
    <mergeCell ref="A44:J44"/>
    <mergeCell ref="B37:D37"/>
    <mergeCell ref="E38:F38"/>
    <mergeCell ref="A7:B7"/>
    <mergeCell ref="I32:J32"/>
    <mergeCell ref="A9:J9"/>
    <mergeCell ref="G2:J2"/>
    <mergeCell ref="B30:D30"/>
    <mergeCell ref="E26:J26"/>
    <mergeCell ref="I37:J37"/>
    <mergeCell ref="E31:F31"/>
    <mergeCell ref="E25:J25"/>
    <mergeCell ref="B33:D33"/>
    <mergeCell ref="I39:J39"/>
    <mergeCell ref="A43:J43"/>
    <mergeCell ref="E39:F39"/>
    <mergeCell ref="A6:B6"/>
    <mergeCell ref="B38:D38"/>
    <mergeCell ref="B34:D34"/>
    <mergeCell ref="B10:D10"/>
    <mergeCell ref="A41:J41"/>
    <mergeCell ref="A42:J42"/>
    <mergeCell ref="E5:F5"/>
    <mergeCell ref="A29:J29"/>
    <mergeCell ref="A4:J4"/>
    <mergeCell ref="A20:J20"/>
    <mergeCell ref="I36:J36"/>
    <mergeCell ref="I30:J30"/>
    <mergeCell ref="I34:J34"/>
    <mergeCell ref="C6:D6"/>
    <mergeCell ref="E33:F33"/>
    <mergeCell ref="C5:D5"/>
  </mergeCells>
  <phoneticPr fontId="24" type="noConversion"/>
  <dataValidations count="1">
    <dataValidation type="list" allowBlank="1" sqref="G31 G32 G33 G34 G35 G36 G37 G38 G39" xr:uid="{00000000-0002-0000-0800-000000000000}">
      <formula1>"완료,해당없음,미수행,진행중"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9"/>
  <sheetViews>
    <sheetView showGridLines="0" topLeftCell="A37" workbookViewId="0">
      <selection sqref="A1:J1"/>
    </sheetView>
  </sheetViews>
  <sheetFormatPr defaultRowHeight="17" x14ac:dyDescent="0.45"/>
  <cols>
    <col min="1" max="1" width="24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246</v>
      </c>
      <c r="H2" s="38"/>
      <c r="I2" s="38"/>
      <c r="J2" s="38"/>
    </row>
    <row r="3" spans="1:10" ht="30" customHeight="1" x14ac:dyDescent="0.45">
      <c r="A3" s="40" t="s">
        <v>247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8"/>
      <c r="C5" s="62"/>
      <c r="D5" s="38"/>
      <c r="E5" s="52" t="s">
        <v>40</v>
      </c>
      <c r="F5" s="38"/>
      <c r="G5" s="62"/>
      <c r="H5" s="38"/>
      <c r="I5" s="38"/>
      <c r="J5" s="38"/>
    </row>
    <row r="6" spans="1:10" ht="20" customHeight="1" x14ac:dyDescent="0.45">
      <c r="A6" s="52" t="s">
        <v>41</v>
      </c>
      <c r="B6" s="38"/>
      <c r="C6" s="62"/>
      <c r="D6" s="38"/>
      <c r="E6" s="52" t="s">
        <v>42</v>
      </c>
      <c r="F6" s="38"/>
      <c r="G6" s="62"/>
      <c r="H6" s="38"/>
      <c r="I6" s="38"/>
      <c r="J6" s="38"/>
    </row>
    <row r="7" spans="1:10" ht="20" customHeight="1" x14ac:dyDescent="0.45">
      <c r="A7" s="52" t="s">
        <v>43</v>
      </c>
      <c r="B7" s="38"/>
      <c r="C7" s="74" t="str">
        <f>기본사항!C10</f>
        <v>2025-12-31</v>
      </c>
      <c r="D7" s="38"/>
      <c r="E7" s="62"/>
      <c r="F7" s="38"/>
      <c r="G7" s="62"/>
      <c r="H7" s="38"/>
      <c r="I7" s="38"/>
      <c r="J7" s="38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8"/>
      <c r="D10" s="38"/>
      <c r="E10" s="63" t="str">
        <f>기본사항!C10</f>
        <v>2025-12-31</v>
      </c>
      <c r="F10" s="38"/>
      <c r="G10" s="38"/>
      <c r="H10" s="38"/>
      <c r="I10" s="59" t="s">
        <v>5</v>
      </c>
      <c r="J10" s="38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248</v>
      </c>
      <c r="B12" s="16"/>
      <c r="C12" s="16"/>
      <c r="D12" s="16"/>
      <c r="E12" s="16"/>
      <c r="F12" s="16"/>
      <c r="G12" s="16"/>
      <c r="H12" s="16"/>
      <c r="I12" s="17" t="s">
        <v>249</v>
      </c>
      <c r="J12" s="18"/>
    </row>
    <row r="13" spans="1:10" ht="20" customHeight="1" x14ac:dyDescent="0.45">
      <c r="A13" s="15" t="s">
        <v>250</v>
      </c>
      <c r="B13" s="16"/>
      <c r="C13" s="16"/>
      <c r="D13" s="16"/>
      <c r="E13" s="16"/>
      <c r="F13" s="16"/>
      <c r="G13" s="16"/>
      <c r="H13" s="16"/>
      <c r="I13" s="17" t="s">
        <v>251</v>
      </c>
      <c r="J13" s="18"/>
    </row>
    <row r="14" spans="1:10" ht="20" customHeight="1" x14ac:dyDescent="0.45">
      <c r="A14" s="15" t="s">
        <v>252</v>
      </c>
      <c r="B14" s="16"/>
      <c r="C14" s="16"/>
      <c r="D14" s="16"/>
      <c r="E14" s="16"/>
      <c r="F14" s="16"/>
      <c r="G14" s="16"/>
      <c r="H14" s="16"/>
      <c r="I14" s="17" t="s">
        <v>253</v>
      </c>
      <c r="J14" s="18"/>
    </row>
    <row r="15" spans="1:10" ht="20" customHeight="1" x14ac:dyDescent="0.45">
      <c r="A15" s="15" t="s">
        <v>254</v>
      </c>
      <c r="B15" s="16"/>
      <c r="C15" s="16"/>
      <c r="D15" s="16"/>
      <c r="E15" s="16"/>
      <c r="F15" s="16"/>
      <c r="G15" s="16"/>
      <c r="H15" s="16"/>
      <c r="I15" s="17" t="s">
        <v>255</v>
      </c>
      <c r="J15" s="18"/>
    </row>
    <row r="16" spans="1:10" ht="20" customHeight="1" x14ac:dyDescent="0.45">
      <c r="A16" s="15" t="s">
        <v>256</v>
      </c>
      <c r="B16" s="16"/>
      <c r="C16" s="16"/>
      <c r="D16" s="16"/>
      <c r="E16" s="16"/>
      <c r="F16" s="16"/>
      <c r="G16" s="16"/>
      <c r="H16" s="16"/>
      <c r="I16" s="17" t="s">
        <v>257</v>
      </c>
      <c r="J16" s="18"/>
    </row>
    <row r="17" spans="1:10" ht="20" customHeight="1" x14ac:dyDescent="0.45">
      <c r="A17" s="15" t="s">
        <v>258</v>
      </c>
      <c r="B17" s="16"/>
      <c r="C17" s="16"/>
      <c r="D17" s="16"/>
      <c r="E17" s="16"/>
      <c r="F17" s="16"/>
      <c r="G17" s="16"/>
      <c r="H17" s="16"/>
      <c r="I17" s="17" t="s">
        <v>259</v>
      </c>
      <c r="J17" s="18"/>
    </row>
    <row r="18" spans="1:10" ht="6" customHeight="1" x14ac:dyDescent="0.45"/>
    <row r="19" spans="1:10" ht="22" customHeight="1" x14ac:dyDescent="0.45">
      <c r="A19" s="19" t="s">
        <v>63</v>
      </c>
      <c r="B19" s="20">
        <f t="shared" ref="B19:H19" si="0">SUM(B12:B17)</f>
        <v>0</v>
      </c>
      <c r="C19" s="20">
        <f t="shared" si="0"/>
        <v>0</v>
      </c>
      <c r="D19" s="20">
        <f t="shared" si="0"/>
        <v>0</v>
      </c>
      <c r="E19" s="20">
        <f t="shared" si="0"/>
        <v>0</v>
      </c>
      <c r="F19" s="20">
        <f t="shared" si="0"/>
        <v>0</v>
      </c>
      <c r="G19" s="20">
        <f t="shared" si="0"/>
        <v>0</v>
      </c>
      <c r="H19" s="20">
        <f t="shared" si="0"/>
        <v>0</v>
      </c>
    </row>
    <row r="20" spans="1:10" ht="18" customHeight="1" x14ac:dyDescent="0.45"/>
    <row r="21" spans="1:10" ht="22" customHeight="1" x14ac:dyDescent="0.45">
      <c r="A21" s="56" t="s">
        <v>64</v>
      </c>
      <c r="B21" s="38"/>
      <c r="C21" s="38"/>
      <c r="D21" s="38"/>
      <c r="E21" s="38"/>
      <c r="F21" s="38"/>
      <c r="G21" s="38"/>
      <c r="H21" s="38"/>
      <c r="I21" s="38"/>
      <c r="J21" s="38"/>
    </row>
    <row r="22" spans="1:10" ht="20" customHeight="1" x14ac:dyDescent="0.45">
      <c r="A22" s="14" t="s">
        <v>45</v>
      </c>
      <c r="B22" s="14" t="s">
        <v>65</v>
      </c>
      <c r="C22" s="14" t="s">
        <v>66</v>
      </c>
      <c r="D22" s="14" t="s">
        <v>5</v>
      </c>
      <c r="E22" s="73"/>
      <c r="F22" s="38"/>
      <c r="G22" s="38"/>
      <c r="H22" s="38"/>
      <c r="I22" s="38"/>
      <c r="J22" s="38"/>
    </row>
    <row r="23" spans="1:10" ht="20" customHeight="1" x14ac:dyDescent="0.45">
      <c r="A23" s="21" t="s">
        <v>248</v>
      </c>
      <c r="B23" s="22"/>
      <c r="C23" s="23"/>
      <c r="D23" s="3"/>
      <c r="E23" s="62"/>
      <c r="F23" s="62"/>
      <c r="G23" s="62"/>
      <c r="H23" s="62"/>
      <c r="I23" s="62"/>
      <c r="J23" s="62"/>
    </row>
    <row r="24" spans="1:10" ht="20" customHeight="1" x14ac:dyDescent="0.45">
      <c r="A24" s="21" t="s">
        <v>250</v>
      </c>
      <c r="B24" s="22"/>
      <c r="C24" s="23"/>
      <c r="D24" s="3"/>
      <c r="E24" s="62"/>
      <c r="F24" s="62"/>
      <c r="G24" s="62"/>
      <c r="H24" s="62"/>
      <c r="I24" s="62"/>
      <c r="J24" s="62"/>
    </row>
    <row r="25" spans="1:10" ht="20" customHeight="1" x14ac:dyDescent="0.45">
      <c r="A25" s="21" t="s">
        <v>252</v>
      </c>
      <c r="B25" s="22"/>
      <c r="C25" s="23"/>
      <c r="D25" s="3"/>
      <c r="E25" s="62"/>
      <c r="F25" s="62"/>
      <c r="G25" s="62"/>
      <c r="H25" s="62"/>
      <c r="I25" s="62"/>
      <c r="J25" s="62"/>
    </row>
    <row r="26" spans="1:10" ht="20" customHeight="1" x14ac:dyDescent="0.45">
      <c r="A26" s="21" t="s">
        <v>254</v>
      </c>
      <c r="B26" s="22"/>
      <c r="C26" s="23"/>
      <c r="D26" s="3"/>
      <c r="E26" s="62"/>
      <c r="F26" s="62"/>
      <c r="G26" s="62"/>
      <c r="H26" s="62"/>
      <c r="I26" s="62"/>
      <c r="J26" s="62"/>
    </row>
    <row r="27" spans="1:10" ht="20" customHeight="1" x14ac:dyDescent="0.45">
      <c r="A27" s="21" t="s">
        <v>256</v>
      </c>
      <c r="B27" s="22"/>
      <c r="C27" s="23"/>
      <c r="D27" s="3"/>
      <c r="E27" s="62"/>
      <c r="F27" s="62"/>
      <c r="G27" s="62"/>
      <c r="H27" s="62"/>
      <c r="I27" s="62"/>
      <c r="J27" s="62"/>
    </row>
    <row r="28" spans="1:10" ht="20" customHeight="1" x14ac:dyDescent="0.45">
      <c r="A28" s="21" t="s">
        <v>258</v>
      </c>
      <c r="B28" s="22"/>
      <c r="C28" s="23"/>
      <c r="D28" s="3"/>
      <c r="E28" s="62"/>
      <c r="F28" s="62"/>
      <c r="G28" s="62"/>
      <c r="H28" s="62"/>
      <c r="I28" s="62"/>
      <c r="J28" s="62"/>
    </row>
    <row r="29" spans="1:10" ht="18" customHeight="1" x14ac:dyDescent="0.45"/>
    <row r="30" spans="1:10" ht="18" customHeight="1" x14ac:dyDescent="0.45"/>
    <row r="31" spans="1:10" ht="24" customHeight="1" x14ac:dyDescent="0.45">
      <c r="A31" s="71" t="s">
        <v>147</v>
      </c>
      <c r="B31" s="38"/>
      <c r="C31" s="38"/>
      <c r="D31" s="38"/>
      <c r="E31" s="38"/>
      <c r="F31" s="38"/>
      <c r="G31" s="38"/>
      <c r="H31" s="38"/>
      <c r="I31" s="38"/>
      <c r="J31" s="38"/>
    </row>
    <row r="32" spans="1:10" ht="20" customHeight="1" x14ac:dyDescent="0.45">
      <c r="A32" s="13" t="s">
        <v>148</v>
      </c>
      <c r="B32" s="52" t="s">
        <v>149</v>
      </c>
      <c r="C32" s="38"/>
      <c r="D32" s="38"/>
      <c r="E32" s="52" t="s">
        <v>150</v>
      </c>
      <c r="F32" s="38"/>
      <c r="G32" s="13" t="s">
        <v>151</v>
      </c>
      <c r="H32" s="13" t="s">
        <v>24</v>
      </c>
      <c r="I32" s="52" t="s">
        <v>5</v>
      </c>
      <c r="J32" s="38"/>
    </row>
    <row r="33" spans="1:10" ht="48" customHeight="1" x14ac:dyDescent="0.45">
      <c r="A33" s="29">
        <v>1</v>
      </c>
      <c r="B33" s="70" t="s">
        <v>234</v>
      </c>
      <c r="C33" s="38"/>
      <c r="D33" s="38"/>
      <c r="E33" s="67" t="s">
        <v>153</v>
      </c>
      <c r="F33" s="38"/>
      <c r="G33" s="11"/>
      <c r="H33" s="11"/>
      <c r="I33" s="72"/>
      <c r="J33" s="38"/>
    </row>
    <row r="34" spans="1:10" ht="48" customHeight="1" x14ac:dyDescent="0.45">
      <c r="A34" s="29">
        <v>2</v>
      </c>
      <c r="B34" s="69" t="s">
        <v>260</v>
      </c>
      <c r="C34" s="38"/>
      <c r="D34" s="38"/>
      <c r="E34" s="67" t="s">
        <v>165</v>
      </c>
      <c r="F34" s="38"/>
      <c r="G34" s="32"/>
      <c r="H34" s="32"/>
      <c r="I34" s="66"/>
      <c r="J34" s="38"/>
    </row>
    <row r="35" spans="1:10" ht="48" customHeight="1" x14ac:dyDescent="0.45">
      <c r="A35" s="29">
        <v>3</v>
      </c>
      <c r="B35" s="70" t="s">
        <v>261</v>
      </c>
      <c r="C35" s="38"/>
      <c r="D35" s="38"/>
      <c r="E35" s="67" t="s">
        <v>209</v>
      </c>
      <c r="F35" s="38"/>
      <c r="G35" s="11"/>
      <c r="H35" s="11"/>
      <c r="I35" s="72"/>
      <c r="J35" s="38"/>
    </row>
    <row r="36" spans="1:10" ht="48" customHeight="1" x14ac:dyDescent="0.45">
      <c r="A36" s="29">
        <v>4</v>
      </c>
      <c r="B36" s="69" t="s">
        <v>262</v>
      </c>
      <c r="C36" s="38"/>
      <c r="D36" s="38"/>
      <c r="E36" s="67" t="s">
        <v>263</v>
      </c>
      <c r="F36" s="38"/>
      <c r="G36" s="32"/>
      <c r="H36" s="32"/>
      <c r="I36" s="66"/>
      <c r="J36" s="38"/>
    </row>
    <row r="37" spans="1:10" ht="48" customHeight="1" x14ac:dyDescent="0.45">
      <c r="A37" s="29">
        <v>5</v>
      </c>
      <c r="B37" s="70" t="s">
        <v>264</v>
      </c>
      <c r="C37" s="38"/>
      <c r="D37" s="38"/>
      <c r="E37" s="67" t="s">
        <v>213</v>
      </c>
      <c r="F37" s="38"/>
      <c r="G37" s="11"/>
      <c r="H37" s="11"/>
      <c r="I37" s="72"/>
      <c r="J37" s="38"/>
    </row>
    <row r="38" spans="1:10" ht="48" customHeight="1" x14ac:dyDescent="0.45">
      <c r="A38" s="29">
        <v>6</v>
      </c>
      <c r="B38" s="69" t="s">
        <v>265</v>
      </c>
      <c r="C38" s="38"/>
      <c r="D38" s="38"/>
      <c r="E38" s="67" t="s">
        <v>188</v>
      </c>
      <c r="F38" s="38"/>
      <c r="G38" s="32"/>
      <c r="H38" s="32"/>
      <c r="I38" s="66"/>
      <c r="J38" s="38"/>
    </row>
    <row r="39" spans="1:10" ht="48" customHeight="1" x14ac:dyDescent="0.45">
      <c r="A39" s="29">
        <v>7</v>
      </c>
      <c r="B39" s="70" t="s">
        <v>266</v>
      </c>
      <c r="C39" s="38"/>
      <c r="D39" s="38"/>
      <c r="E39" s="67" t="s">
        <v>267</v>
      </c>
      <c r="F39" s="38"/>
      <c r="G39" s="11"/>
      <c r="H39" s="11"/>
      <c r="I39" s="72"/>
      <c r="J39" s="38"/>
    </row>
    <row r="40" spans="1:10" ht="48" customHeight="1" x14ac:dyDescent="0.45">
      <c r="A40" s="29">
        <v>8</v>
      </c>
      <c r="B40" s="69" t="s">
        <v>268</v>
      </c>
      <c r="C40" s="38"/>
      <c r="D40" s="38"/>
      <c r="E40" s="67" t="s">
        <v>269</v>
      </c>
      <c r="F40" s="38"/>
      <c r="G40" s="32"/>
      <c r="H40" s="32"/>
      <c r="I40" s="66"/>
      <c r="J40" s="38"/>
    </row>
    <row r="41" spans="1:10" ht="48" customHeight="1" x14ac:dyDescent="0.45">
      <c r="A41" s="29">
        <v>9</v>
      </c>
      <c r="B41" s="70" t="s">
        <v>270</v>
      </c>
      <c r="C41" s="38"/>
      <c r="D41" s="38"/>
      <c r="E41" s="67" t="s">
        <v>220</v>
      </c>
      <c r="F41" s="38"/>
      <c r="G41" s="11"/>
      <c r="H41" s="11"/>
      <c r="I41" s="72"/>
      <c r="J41" s="38"/>
    </row>
    <row r="42" spans="1:10" ht="48" customHeight="1" x14ac:dyDescent="0.45">
      <c r="A42" s="29">
        <v>10</v>
      </c>
      <c r="B42" s="69" t="s">
        <v>271</v>
      </c>
      <c r="C42" s="38"/>
      <c r="D42" s="38"/>
      <c r="E42" s="67" t="s">
        <v>167</v>
      </c>
      <c r="F42" s="38"/>
      <c r="G42" s="32"/>
      <c r="H42" s="32"/>
      <c r="I42" s="66"/>
      <c r="J42" s="38"/>
    </row>
    <row r="43" spans="1:10" ht="18" customHeight="1" x14ac:dyDescent="0.45"/>
    <row r="44" spans="1:10" ht="22" customHeight="1" x14ac:dyDescent="0.45">
      <c r="A44" s="56" t="s">
        <v>168</v>
      </c>
      <c r="B44" s="38"/>
      <c r="C44" s="38"/>
      <c r="D44" s="38"/>
      <c r="E44" s="38"/>
      <c r="F44" s="38"/>
      <c r="G44" s="38"/>
      <c r="H44" s="38"/>
      <c r="I44" s="38"/>
      <c r="J44" s="38"/>
    </row>
    <row r="45" spans="1:10" ht="24" customHeight="1" x14ac:dyDescent="0.45">
      <c r="A45" s="68"/>
      <c r="B45" s="38"/>
      <c r="C45" s="38"/>
      <c r="D45" s="38"/>
      <c r="E45" s="38"/>
      <c r="F45" s="38"/>
      <c r="G45" s="38"/>
      <c r="H45" s="38"/>
      <c r="I45" s="38"/>
      <c r="J45" s="38"/>
    </row>
    <row r="46" spans="1:10" ht="24" customHeight="1" x14ac:dyDescent="0.45">
      <c r="A46" s="68"/>
      <c r="B46" s="38"/>
      <c r="C46" s="38"/>
      <c r="D46" s="38"/>
      <c r="E46" s="38"/>
      <c r="F46" s="38"/>
      <c r="G46" s="38"/>
      <c r="H46" s="38"/>
      <c r="I46" s="38"/>
      <c r="J46" s="38"/>
    </row>
    <row r="47" spans="1:10" ht="24" customHeight="1" x14ac:dyDescent="0.45">
      <c r="A47" s="68"/>
      <c r="B47" s="38"/>
      <c r="C47" s="38"/>
      <c r="D47" s="38"/>
      <c r="E47" s="38"/>
      <c r="F47" s="38"/>
      <c r="G47" s="38"/>
      <c r="H47" s="38"/>
      <c r="I47" s="38"/>
      <c r="J47" s="38"/>
    </row>
    <row r="48" spans="1:10" ht="18" customHeight="1" x14ac:dyDescent="0.45"/>
    <row r="49" spans="1:10" ht="18" customHeight="1" x14ac:dyDescent="0.45">
      <c r="A49" s="54" t="s">
        <v>80</v>
      </c>
      <c r="B49" s="38"/>
      <c r="C49" s="38"/>
      <c r="D49" s="38"/>
      <c r="E49" s="38"/>
      <c r="F49" s="38"/>
      <c r="G49" s="38"/>
      <c r="H49" s="38"/>
      <c r="I49" s="38"/>
      <c r="J49" s="38"/>
    </row>
    <row r="50" spans="1:10" ht="18" customHeight="1" x14ac:dyDescent="0.45"/>
    <row r="51" spans="1:10" ht="18" customHeight="1" x14ac:dyDescent="0.45"/>
    <row r="52" spans="1:10" ht="18" customHeight="1" x14ac:dyDescent="0.45"/>
    <row r="53" spans="1:10" ht="18" customHeight="1" x14ac:dyDescent="0.45"/>
    <row r="54" spans="1:10" ht="18" customHeight="1" x14ac:dyDescent="0.45"/>
    <row r="55" spans="1:10" ht="18" customHeight="1" x14ac:dyDescent="0.45"/>
    <row r="56" spans="1:10" ht="18" customHeight="1" x14ac:dyDescent="0.45"/>
    <row r="57" spans="1:10" ht="18" customHeight="1" x14ac:dyDescent="0.45"/>
    <row r="58" spans="1:10" ht="18" customHeight="1" x14ac:dyDescent="0.45"/>
    <row r="59" spans="1:10" ht="18" customHeight="1" x14ac:dyDescent="0.45"/>
    <row r="60" spans="1:10" ht="18" customHeight="1" x14ac:dyDescent="0.45"/>
    <row r="61" spans="1:10" ht="18" customHeight="1" x14ac:dyDescent="0.45"/>
    <row r="62" spans="1:10" ht="18" customHeight="1" x14ac:dyDescent="0.45"/>
    <row r="63" spans="1:10" ht="18" customHeight="1" x14ac:dyDescent="0.45"/>
    <row r="64" spans="1:10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8">
    <mergeCell ref="A3:J3"/>
    <mergeCell ref="A21:J21"/>
    <mergeCell ref="E23:J23"/>
    <mergeCell ref="E37:F37"/>
    <mergeCell ref="B39:D39"/>
    <mergeCell ref="G5:J5"/>
    <mergeCell ref="A49:J49"/>
    <mergeCell ref="E25:J25"/>
    <mergeCell ref="B33:D33"/>
    <mergeCell ref="A1:J1"/>
    <mergeCell ref="E34:F34"/>
    <mergeCell ref="E6:F6"/>
    <mergeCell ref="B36:D36"/>
    <mergeCell ref="A45:J45"/>
    <mergeCell ref="E22:J22"/>
    <mergeCell ref="B41:D41"/>
    <mergeCell ref="I42:J42"/>
    <mergeCell ref="B32:D32"/>
    <mergeCell ref="B35:D35"/>
    <mergeCell ref="A5:B5"/>
    <mergeCell ref="I33:J33"/>
    <mergeCell ref="G7:J7"/>
    <mergeCell ref="A2:F2"/>
    <mergeCell ref="E35:F35"/>
    <mergeCell ref="A44:J44"/>
    <mergeCell ref="B37:D37"/>
    <mergeCell ref="A31:J31"/>
    <mergeCell ref="A7:B7"/>
    <mergeCell ref="E38:F38"/>
    <mergeCell ref="I32:J32"/>
    <mergeCell ref="A9:J9"/>
    <mergeCell ref="E27:J27"/>
    <mergeCell ref="I41:J41"/>
    <mergeCell ref="B40:D40"/>
    <mergeCell ref="G2:J2"/>
    <mergeCell ref="I37:J37"/>
    <mergeCell ref="E26:J26"/>
    <mergeCell ref="E40:F40"/>
    <mergeCell ref="C5:D5"/>
    <mergeCell ref="E5:F5"/>
    <mergeCell ref="E42:F42"/>
    <mergeCell ref="A4:J4"/>
    <mergeCell ref="I36:J36"/>
    <mergeCell ref="E39:F39"/>
    <mergeCell ref="A6:B6"/>
    <mergeCell ref="B38:D38"/>
    <mergeCell ref="B34:D34"/>
    <mergeCell ref="B10:D10"/>
    <mergeCell ref="E36:F36"/>
    <mergeCell ref="I39:J39"/>
    <mergeCell ref="E10:H10"/>
    <mergeCell ref="G6:J6"/>
    <mergeCell ref="I35:J35"/>
    <mergeCell ref="C7:D7"/>
    <mergeCell ref="B42:D42"/>
    <mergeCell ref="I34:J34"/>
    <mergeCell ref="A47:J47"/>
    <mergeCell ref="C6:D6"/>
    <mergeCell ref="E28:J28"/>
    <mergeCell ref="E33:F33"/>
    <mergeCell ref="A46:J46"/>
    <mergeCell ref="E24:J24"/>
    <mergeCell ref="E32:F32"/>
    <mergeCell ref="E7:F7"/>
    <mergeCell ref="I38:J38"/>
    <mergeCell ref="I10:J10"/>
    <mergeCell ref="I40:J40"/>
    <mergeCell ref="E41:F41"/>
  </mergeCells>
  <phoneticPr fontId="24" type="noConversion"/>
  <dataValidations count="1">
    <dataValidation type="list" allowBlank="1" sqref="G33 G34 G35 G36 G37 G38 G39 G40 G41 G42" xr:uid="{00000000-0002-0000-0900-000000000000}">
      <formula1>"완료,해당없음,미수행,진행중"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9"/>
  <sheetViews>
    <sheetView showGridLines="0" topLeftCell="A39" workbookViewId="0">
      <selection sqref="A1:J1"/>
    </sheetView>
  </sheetViews>
  <sheetFormatPr defaultRowHeight="17" x14ac:dyDescent="0.45"/>
  <cols>
    <col min="1" max="1" width="24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81</v>
      </c>
      <c r="H2" s="38"/>
      <c r="I2" s="38"/>
      <c r="J2" s="38"/>
    </row>
    <row r="3" spans="1:10" ht="30" customHeight="1" x14ac:dyDescent="0.45">
      <c r="A3" s="40" t="s">
        <v>272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8"/>
      <c r="C5" s="62"/>
      <c r="D5" s="38"/>
      <c r="E5" s="52" t="s">
        <v>40</v>
      </c>
      <c r="F5" s="38"/>
      <c r="G5" s="62"/>
      <c r="H5" s="38"/>
      <c r="I5" s="38"/>
      <c r="J5" s="38"/>
    </row>
    <row r="6" spans="1:10" ht="20" customHeight="1" x14ac:dyDescent="0.45">
      <c r="A6" s="52" t="s">
        <v>41</v>
      </c>
      <c r="B6" s="38"/>
      <c r="C6" s="62"/>
      <c r="D6" s="38"/>
      <c r="E6" s="52" t="s">
        <v>42</v>
      </c>
      <c r="F6" s="38"/>
      <c r="G6" s="62"/>
      <c r="H6" s="38"/>
      <c r="I6" s="38"/>
      <c r="J6" s="38"/>
    </row>
    <row r="7" spans="1:10" ht="20" customHeight="1" x14ac:dyDescent="0.45">
      <c r="A7" s="52" t="s">
        <v>43</v>
      </c>
      <c r="B7" s="38"/>
      <c r="C7" s="74" t="str">
        <f>기본사항!C10</f>
        <v>2025-12-31</v>
      </c>
      <c r="D7" s="38"/>
      <c r="E7" s="62"/>
      <c r="F7" s="38"/>
      <c r="G7" s="62"/>
      <c r="H7" s="38"/>
      <c r="I7" s="38"/>
      <c r="J7" s="38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8"/>
      <c r="D10" s="38"/>
      <c r="E10" s="63" t="str">
        <f>기본사항!C10</f>
        <v>2025-12-31</v>
      </c>
      <c r="F10" s="38"/>
      <c r="G10" s="38"/>
      <c r="H10" s="38"/>
      <c r="I10" s="59" t="s">
        <v>5</v>
      </c>
      <c r="J10" s="38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273</v>
      </c>
      <c r="B12" s="16"/>
      <c r="C12" s="16"/>
      <c r="D12" s="16"/>
      <c r="E12" s="16"/>
      <c r="F12" s="16"/>
      <c r="G12" s="16"/>
      <c r="H12" s="16"/>
      <c r="I12" s="17" t="s">
        <v>274</v>
      </c>
      <c r="J12" s="18"/>
    </row>
    <row r="13" spans="1:10" ht="20" customHeight="1" x14ac:dyDescent="0.45">
      <c r="A13" s="15" t="s">
        <v>275</v>
      </c>
      <c r="B13" s="16"/>
      <c r="C13" s="16"/>
      <c r="D13" s="16"/>
      <c r="E13" s="16"/>
      <c r="F13" s="16"/>
      <c r="G13" s="16"/>
      <c r="H13" s="16"/>
      <c r="I13" s="17" t="s">
        <v>276</v>
      </c>
      <c r="J13" s="18"/>
    </row>
    <row r="14" spans="1:10" ht="20" customHeight="1" x14ac:dyDescent="0.45">
      <c r="A14" s="15" t="s">
        <v>277</v>
      </c>
      <c r="B14" s="16"/>
      <c r="C14" s="16"/>
      <c r="D14" s="16"/>
      <c r="E14" s="16"/>
      <c r="F14" s="16"/>
      <c r="G14" s="16"/>
      <c r="H14" s="16"/>
      <c r="I14" s="17" t="s">
        <v>278</v>
      </c>
      <c r="J14" s="18"/>
    </row>
    <row r="15" spans="1:10" ht="20" customHeight="1" x14ac:dyDescent="0.45">
      <c r="A15" s="15" t="s">
        <v>279</v>
      </c>
      <c r="B15" s="16"/>
      <c r="C15" s="16"/>
      <c r="D15" s="16"/>
      <c r="E15" s="16"/>
      <c r="F15" s="16"/>
      <c r="G15" s="16"/>
      <c r="H15" s="16"/>
      <c r="I15" s="17" t="s">
        <v>280</v>
      </c>
      <c r="J15" s="18"/>
    </row>
    <row r="16" spans="1:10" ht="20" customHeight="1" x14ac:dyDescent="0.45">
      <c r="A16" s="15" t="s">
        <v>281</v>
      </c>
      <c r="B16" s="16"/>
      <c r="C16" s="16"/>
      <c r="D16" s="16"/>
      <c r="E16" s="16"/>
      <c r="F16" s="16"/>
      <c r="G16" s="16"/>
      <c r="H16" s="16"/>
      <c r="I16" s="17" t="s">
        <v>282</v>
      </c>
      <c r="J16" s="18"/>
    </row>
    <row r="17" spans="1:10" ht="20" customHeight="1" x14ac:dyDescent="0.45">
      <c r="A17" s="15" t="s">
        <v>283</v>
      </c>
      <c r="B17" s="16"/>
      <c r="C17" s="16"/>
      <c r="D17" s="16"/>
      <c r="E17" s="16"/>
      <c r="F17" s="16"/>
      <c r="G17" s="16"/>
      <c r="H17" s="16"/>
      <c r="I17" s="17" t="s">
        <v>284</v>
      </c>
      <c r="J17" s="18"/>
    </row>
    <row r="18" spans="1:10" ht="20" customHeight="1" x14ac:dyDescent="0.45">
      <c r="A18" s="15" t="s">
        <v>285</v>
      </c>
      <c r="B18" s="16"/>
      <c r="C18" s="16"/>
      <c r="D18" s="16"/>
      <c r="E18" s="16"/>
      <c r="F18" s="16"/>
      <c r="G18" s="16"/>
      <c r="H18" s="16"/>
      <c r="I18" s="17" t="s">
        <v>286</v>
      </c>
      <c r="J18" s="18"/>
    </row>
    <row r="19" spans="1:10" ht="20" customHeight="1" x14ac:dyDescent="0.45">
      <c r="A19" s="15" t="s">
        <v>287</v>
      </c>
      <c r="B19" s="16"/>
      <c r="C19" s="16"/>
      <c r="D19" s="16"/>
      <c r="E19" s="16"/>
      <c r="F19" s="16"/>
      <c r="G19" s="16"/>
      <c r="H19" s="16"/>
      <c r="I19" s="17" t="s">
        <v>288</v>
      </c>
      <c r="J19" s="18"/>
    </row>
    <row r="20" spans="1:10" ht="20" customHeight="1" x14ac:dyDescent="0.45">
      <c r="A20" s="15" t="s">
        <v>289</v>
      </c>
      <c r="B20" s="16"/>
      <c r="C20" s="16"/>
      <c r="D20" s="16"/>
      <c r="E20" s="16"/>
      <c r="F20" s="16"/>
      <c r="G20" s="16"/>
      <c r="H20" s="16"/>
      <c r="I20" s="17" t="s">
        <v>290</v>
      </c>
      <c r="J20" s="18"/>
    </row>
    <row r="21" spans="1:10" ht="6" customHeight="1" x14ac:dyDescent="0.45"/>
    <row r="22" spans="1:10" ht="22" customHeight="1" x14ac:dyDescent="0.45">
      <c r="A22" s="19" t="s">
        <v>63</v>
      </c>
      <c r="B22" s="20">
        <f t="shared" ref="B22:H22" si="0">SUM(B12:B20)</f>
        <v>0</v>
      </c>
      <c r="C22" s="20">
        <f t="shared" si="0"/>
        <v>0</v>
      </c>
      <c r="D22" s="20">
        <f t="shared" si="0"/>
        <v>0</v>
      </c>
      <c r="E22" s="20">
        <f t="shared" si="0"/>
        <v>0</v>
      </c>
      <c r="F22" s="20">
        <f t="shared" si="0"/>
        <v>0</v>
      </c>
      <c r="G22" s="20">
        <f t="shared" si="0"/>
        <v>0</v>
      </c>
      <c r="H22" s="20">
        <f t="shared" si="0"/>
        <v>0</v>
      </c>
    </row>
    <row r="23" spans="1:10" ht="18" customHeight="1" x14ac:dyDescent="0.45"/>
    <row r="24" spans="1:10" ht="22" customHeight="1" x14ac:dyDescent="0.45">
      <c r="A24" s="56" t="s">
        <v>64</v>
      </c>
      <c r="B24" s="38"/>
      <c r="C24" s="38"/>
      <c r="D24" s="38"/>
      <c r="E24" s="38"/>
      <c r="F24" s="38"/>
      <c r="G24" s="38"/>
      <c r="H24" s="38"/>
      <c r="I24" s="38"/>
      <c r="J24" s="38"/>
    </row>
    <row r="25" spans="1:10" ht="20" customHeight="1" x14ac:dyDescent="0.45">
      <c r="A25" s="14" t="s">
        <v>45</v>
      </c>
      <c r="B25" s="14" t="s">
        <v>65</v>
      </c>
      <c r="C25" s="14" t="s">
        <v>66</v>
      </c>
      <c r="D25" s="14" t="s">
        <v>5</v>
      </c>
      <c r="E25" s="73"/>
      <c r="F25" s="38"/>
      <c r="G25" s="38"/>
      <c r="H25" s="38"/>
      <c r="I25" s="38"/>
      <c r="J25" s="38"/>
    </row>
    <row r="26" spans="1:10" ht="20" customHeight="1" x14ac:dyDescent="0.45">
      <c r="A26" s="21" t="s">
        <v>273</v>
      </c>
      <c r="B26" s="22"/>
      <c r="C26" s="23"/>
      <c r="D26" s="3"/>
      <c r="E26" s="62"/>
      <c r="F26" s="62"/>
      <c r="G26" s="62"/>
      <c r="H26" s="62"/>
      <c r="I26" s="62"/>
      <c r="J26" s="62"/>
    </row>
    <row r="27" spans="1:10" ht="20" customHeight="1" x14ac:dyDescent="0.45">
      <c r="A27" s="21" t="s">
        <v>275</v>
      </c>
      <c r="B27" s="22"/>
      <c r="C27" s="23"/>
      <c r="D27" s="3"/>
      <c r="E27" s="62"/>
      <c r="F27" s="62"/>
      <c r="G27" s="62"/>
      <c r="H27" s="62"/>
      <c r="I27" s="62"/>
      <c r="J27" s="62"/>
    </row>
    <row r="28" spans="1:10" ht="20" customHeight="1" x14ac:dyDescent="0.45">
      <c r="A28" s="21" t="s">
        <v>277</v>
      </c>
      <c r="B28" s="22"/>
      <c r="C28" s="23"/>
      <c r="D28" s="3"/>
      <c r="E28" s="62"/>
      <c r="F28" s="62"/>
      <c r="G28" s="62"/>
      <c r="H28" s="62"/>
      <c r="I28" s="62"/>
      <c r="J28" s="62"/>
    </row>
    <row r="29" spans="1:10" ht="20" customHeight="1" x14ac:dyDescent="0.45">
      <c r="A29" s="21" t="s">
        <v>279</v>
      </c>
      <c r="B29" s="22"/>
      <c r="C29" s="23"/>
      <c r="D29" s="3"/>
      <c r="E29" s="62"/>
      <c r="F29" s="62"/>
      <c r="G29" s="62"/>
      <c r="H29" s="62"/>
      <c r="I29" s="62"/>
      <c r="J29" s="62"/>
    </row>
    <row r="30" spans="1:10" ht="20" customHeight="1" x14ac:dyDescent="0.45">
      <c r="A30" s="21" t="s">
        <v>281</v>
      </c>
      <c r="B30" s="22"/>
      <c r="C30" s="23"/>
      <c r="D30" s="3"/>
      <c r="E30" s="62"/>
      <c r="F30" s="62"/>
      <c r="G30" s="62"/>
      <c r="H30" s="62"/>
      <c r="I30" s="62"/>
      <c r="J30" s="62"/>
    </row>
    <row r="31" spans="1:10" ht="20" customHeight="1" x14ac:dyDescent="0.45">
      <c r="A31" s="21" t="s">
        <v>283</v>
      </c>
      <c r="B31" s="22"/>
      <c r="C31" s="23"/>
      <c r="D31" s="3"/>
      <c r="E31" s="62"/>
      <c r="F31" s="62"/>
      <c r="G31" s="62"/>
      <c r="H31" s="62"/>
      <c r="I31" s="62"/>
      <c r="J31" s="62"/>
    </row>
    <row r="32" spans="1:10" ht="20" customHeight="1" x14ac:dyDescent="0.45">
      <c r="A32" s="21" t="s">
        <v>285</v>
      </c>
      <c r="B32" s="22"/>
      <c r="C32" s="23"/>
      <c r="D32" s="3"/>
      <c r="E32" s="62"/>
      <c r="F32" s="62"/>
      <c r="G32" s="62"/>
      <c r="H32" s="62"/>
      <c r="I32" s="62"/>
      <c r="J32" s="62"/>
    </row>
    <row r="33" spans="1:10" ht="20" customHeight="1" x14ac:dyDescent="0.45">
      <c r="A33" s="21" t="s">
        <v>287</v>
      </c>
      <c r="B33" s="22"/>
      <c r="C33" s="23"/>
      <c r="D33" s="3"/>
      <c r="E33" s="62"/>
      <c r="F33" s="62"/>
      <c r="G33" s="62"/>
      <c r="H33" s="62"/>
      <c r="I33" s="62"/>
      <c r="J33" s="62"/>
    </row>
    <row r="34" spans="1:10" ht="20" customHeight="1" x14ac:dyDescent="0.45">
      <c r="A34" s="21" t="s">
        <v>289</v>
      </c>
      <c r="B34" s="22"/>
      <c r="C34" s="23"/>
      <c r="D34" s="3"/>
      <c r="E34" s="62"/>
      <c r="F34" s="62"/>
      <c r="G34" s="62"/>
      <c r="H34" s="62"/>
      <c r="I34" s="62"/>
      <c r="J34" s="62"/>
    </row>
    <row r="35" spans="1:10" ht="18" customHeight="1" x14ac:dyDescent="0.45"/>
    <row r="36" spans="1:10" ht="18" customHeight="1" x14ac:dyDescent="0.45"/>
    <row r="37" spans="1:10" ht="24" customHeight="1" x14ac:dyDescent="0.45">
      <c r="A37" s="71" t="s">
        <v>147</v>
      </c>
      <c r="B37" s="38"/>
      <c r="C37" s="38"/>
      <c r="D37" s="38"/>
      <c r="E37" s="38"/>
      <c r="F37" s="38"/>
      <c r="G37" s="38"/>
      <c r="H37" s="38"/>
      <c r="I37" s="38"/>
      <c r="J37" s="38"/>
    </row>
    <row r="38" spans="1:10" ht="20" customHeight="1" x14ac:dyDescent="0.45">
      <c r="A38" s="13" t="s">
        <v>148</v>
      </c>
      <c r="B38" s="52" t="s">
        <v>149</v>
      </c>
      <c r="C38" s="38"/>
      <c r="D38" s="38"/>
      <c r="E38" s="52" t="s">
        <v>150</v>
      </c>
      <c r="F38" s="38"/>
      <c r="G38" s="13" t="s">
        <v>151</v>
      </c>
      <c r="H38" s="13" t="s">
        <v>24</v>
      </c>
      <c r="I38" s="52" t="s">
        <v>5</v>
      </c>
      <c r="J38" s="38"/>
    </row>
    <row r="39" spans="1:10" ht="48" customHeight="1" x14ac:dyDescent="0.45">
      <c r="A39" s="29">
        <v>1</v>
      </c>
      <c r="B39" s="70" t="s">
        <v>291</v>
      </c>
      <c r="C39" s="38"/>
      <c r="D39" s="38"/>
      <c r="E39" s="67" t="s">
        <v>153</v>
      </c>
      <c r="F39" s="38"/>
      <c r="G39" s="11"/>
      <c r="H39" s="11"/>
      <c r="I39" s="72"/>
      <c r="J39" s="38"/>
    </row>
    <row r="40" spans="1:10" ht="48" customHeight="1" x14ac:dyDescent="0.45">
      <c r="A40" s="29">
        <v>2</v>
      </c>
      <c r="B40" s="69" t="s">
        <v>292</v>
      </c>
      <c r="C40" s="38"/>
      <c r="D40" s="38"/>
      <c r="E40" s="67" t="s">
        <v>157</v>
      </c>
      <c r="F40" s="38"/>
      <c r="G40" s="32"/>
      <c r="H40" s="32"/>
      <c r="I40" s="66"/>
      <c r="J40" s="38"/>
    </row>
    <row r="41" spans="1:10" ht="48" customHeight="1" x14ac:dyDescent="0.45">
      <c r="A41" s="29">
        <v>3</v>
      </c>
      <c r="B41" s="70" t="s">
        <v>293</v>
      </c>
      <c r="C41" s="38"/>
      <c r="D41" s="38"/>
      <c r="E41" s="67" t="s">
        <v>163</v>
      </c>
      <c r="F41" s="38"/>
      <c r="G41" s="11"/>
      <c r="H41" s="11"/>
      <c r="I41" s="72"/>
      <c r="J41" s="38"/>
    </row>
    <row r="42" spans="1:10" ht="48" customHeight="1" x14ac:dyDescent="0.45">
      <c r="A42" s="29">
        <v>4</v>
      </c>
      <c r="B42" s="69" t="s">
        <v>294</v>
      </c>
      <c r="C42" s="38"/>
      <c r="D42" s="38"/>
      <c r="E42" s="67" t="s">
        <v>209</v>
      </c>
      <c r="F42" s="38"/>
      <c r="G42" s="32"/>
      <c r="H42" s="32"/>
      <c r="I42" s="66"/>
      <c r="J42" s="38"/>
    </row>
    <row r="43" spans="1:10" ht="48" customHeight="1" x14ac:dyDescent="0.45">
      <c r="A43" s="29">
        <v>5</v>
      </c>
      <c r="B43" s="70" t="s">
        <v>295</v>
      </c>
      <c r="C43" s="38"/>
      <c r="D43" s="38"/>
      <c r="E43" s="67" t="s">
        <v>296</v>
      </c>
      <c r="F43" s="38"/>
      <c r="G43" s="11"/>
      <c r="H43" s="11"/>
      <c r="I43" s="72"/>
      <c r="J43" s="38"/>
    </row>
    <row r="44" spans="1:10" ht="48" customHeight="1" x14ac:dyDescent="0.45">
      <c r="A44" s="29">
        <v>6</v>
      </c>
      <c r="B44" s="69" t="s">
        <v>297</v>
      </c>
      <c r="C44" s="38"/>
      <c r="D44" s="38"/>
      <c r="E44" s="67" t="s">
        <v>213</v>
      </c>
      <c r="F44" s="38"/>
      <c r="G44" s="32"/>
      <c r="H44" s="32"/>
      <c r="I44" s="66"/>
      <c r="J44" s="38"/>
    </row>
    <row r="45" spans="1:10" ht="48" customHeight="1" x14ac:dyDescent="0.45">
      <c r="A45" s="29">
        <v>7</v>
      </c>
      <c r="B45" s="70" t="s">
        <v>298</v>
      </c>
      <c r="C45" s="38"/>
      <c r="D45" s="38"/>
      <c r="E45" s="67" t="s">
        <v>299</v>
      </c>
      <c r="F45" s="38"/>
      <c r="G45" s="11"/>
      <c r="H45" s="11"/>
      <c r="I45" s="72"/>
      <c r="J45" s="38"/>
    </row>
    <row r="46" spans="1:10" ht="48" customHeight="1" x14ac:dyDescent="0.45">
      <c r="A46" s="29">
        <v>8</v>
      </c>
      <c r="B46" s="69" t="s">
        <v>300</v>
      </c>
      <c r="C46" s="38"/>
      <c r="D46" s="38"/>
      <c r="E46" s="67" t="s">
        <v>296</v>
      </c>
      <c r="F46" s="38"/>
      <c r="G46" s="32"/>
      <c r="H46" s="32"/>
      <c r="I46" s="66"/>
      <c r="J46" s="38"/>
    </row>
    <row r="47" spans="1:10" ht="48" customHeight="1" x14ac:dyDescent="0.45">
      <c r="A47" s="29">
        <v>9</v>
      </c>
      <c r="B47" s="70" t="s">
        <v>301</v>
      </c>
      <c r="C47" s="38"/>
      <c r="D47" s="38"/>
      <c r="E47" s="67" t="s">
        <v>220</v>
      </c>
      <c r="F47" s="38"/>
      <c r="G47" s="11"/>
      <c r="H47" s="11"/>
      <c r="I47" s="72"/>
      <c r="J47" s="38"/>
    </row>
    <row r="48" spans="1:10" ht="48" customHeight="1" x14ac:dyDescent="0.45">
      <c r="A48" s="29">
        <v>10</v>
      </c>
      <c r="B48" s="69" t="s">
        <v>302</v>
      </c>
      <c r="C48" s="38"/>
      <c r="D48" s="38"/>
      <c r="E48" s="67" t="s">
        <v>167</v>
      </c>
      <c r="F48" s="38"/>
      <c r="G48" s="32"/>
      <c r="H48" s="32"/>
      <c r="I48" s="66"/>
      <c r="J48" s="38"/>
    </row>
    <row r="49" spans="1:10" ht="18" customHeight="1" x14ac:dyDescent="0.45"/>
    <row r="50" spans="1:10" ht="22" customHeight="1" x14ac:dyDescent="0.45">
      <c r="A50" s="56" t="s">
        <v>168</v>
      </c>
      <c r="B50" s="38"/>
      <c r="C50" s="38"/>
      <c r="D50" s="38"/>
      <c r="E50" s="38"/>
      <c r="F50" s="38"/>
      <c r="G50" s="38"/>
      <c r="H50" s="38"/>
      <c r="I50" s="38"/>
      <c r="J50" s="38"/>
    </row>
    <row r="51" spans="1:10" ht="24" customHeight="1" x14ac:dyDescent="0.45">
      <c r="A51" s="68"/>
      <c r="B51" s="38"/>
      <c r="C51" s="38"/>
      <c r="D51" s="38"/>
      <c r="E51" s="38"/>
      <c r="F51" s="38"/>
      <c r="G51" s="38"/>
      <c r="H51" s="38"/>
      <c r="I51" s="38"/>
      <c r="J51" s="38"/>
    </row>
    <row r="52" spans="1:10" ht="24" customHeight="1" x14ac:dyDescent="0.45">
      <c r="A52" s="68"/>
      <c r="B52" s="38"/>
      <c r="C52" s="38"/>
      <c r="D52" s="38"/>
      <c r="E52" s="38"/>
      <c r="F52" s="38"/>
      <c r="G52" s="38"/>
      <c r="H52" s="38"/>
      <c r="I52" s="38"/>
      <c r="J52" s="38"/>
    </row>
    <row r="53" spans="1:10" ht="24" customHeight="1" x14ac:dyDescent="0.45">
      <c r="A53" s="68"/>
      <c r="B53" s="38"/>
      <c r="C53" s="38"/>
      <c r="D53" s="38"/>
      <c r="E53" s="38"/>
      <c r="F53" s="38"/>
      <c r="G53" s="38"/>
      <c r="H53" s="38"/>
      <c r="I53" s="38"/>
      <c r="J53" s="38"/>
    </row>
    <row r="54" spans="1:10" ht="18" customHeight="1" x14ac:dyDescent="0.45"/>
    <row r="55" spans="1:10" ht="18" customHeight="1" x14ac:dyDescent="0.45">
      <c r="A55" s="54" t="s">
        <v>80</v>
      </c>
      <c r="B55" s="38"/>
      <c r="C55" s="38"/>
      <c r="D55" s="38"/>
      <c r="E55" s="38"/>
      <c r="F55" s="38"/>
      <c r="G55" s="38"/>
      <c r="H55" s="38"/>
      <c r="I55" s="38"/>
      <c r="J55" s="38"/>
    </row>
    <row r="56" spans="1:10" ht="18" customHeight="1" x14ac:dyDescent="0.45"/>
    <row r="57" spans="1:10" ht="18" customHeight="1" x14ac:dyDescent="0.45"/>
    <row r="58" spans="1:10" ht="18" customHeight="1" x14ac:dyDescent="0.45"/>
    <row r="59" spans="1:10" ht="18" customHeight="1" x14ac:dyDescent="0.45"/>
    <row r="60" spans="1:10" ht="18" customHeight="1" x14ac:dyDescent="0.45"/>
    <row r="61" spans="1:10" ht="18" customHeight="1" x14ac:dyDescent="0.45"/>
    <row r="62" spans="1:10" ht="18" customHeight="1" x14ac:dyDescent="0.45"/>
    <row r="63" spans="1:10" ht="18" customHeight="1" x14ac:dyDescent="0.45"/>
    <row r="64" spans="1:10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71">
    <mergeCell ref="A3:J3"/>
    <mergeCell ref="A55:J55"/>
    <mergeCell ref="A50:J50"/>
    <mergeCell ref="B43:D43"/>
    <mergeCell ref="B39:D39"/>
    <mergeCell ref="G5:J5"/>
    <mergeCell ref="E47:F47"/>
    <mergeCell ref="E29:J29"/>
    <mergeCell ref="A51:J51"/>
    <mergeCell ref="E25:J25"/>
    <mergeCell ref="A1:J1"/>
    <mergeCell ref="I43:J43"/>
    <mergeCell ref="E6:F6"/>
    <mergeCell ref="E32:J32"/>
    <mergeCell ref="B45:D45"/>
    <mergeCell ref="E46:F46"/>
    <mergeCell ref="B41:D41"/>
    <mergeCell ref="I42:J42"/>
    <mergeCell ref="A5:B5"/>
    <mergeCell ref="E45:F45"/>
    <mergeCell ref="G7:J7"/>
    <mergeCell ref="I39:J39"/>
    <mergeCell ref="I48:J48"/>
    <mergeCell ref="E10:H10"/>
    <mergeCell ref="A2:F2"/>
    <mergeCell ref="E38:F38"/>
    <mergeCell ref="A7:B7"/>
    <mergeCell ref="I47:J47"/>
    <mergeCell ref="A9:J9"/>
    <mergeCell ref="E27:J27"/>
    <mergeCell ref="I41:J41"/>
    <mergeCell ref="B40:D40"/>
    <mergeCell ref="G2:J2"/>
    <mergeCell ref="A24:J24"/>
    <mergeCell ref="E26:J26"/>
    <mergeCell ref="E40:F40"/>
    <mergeCell ref="B47:D47"/>
    <mergeCell ref="I44:J44"/>
    <mergeCell ref="G6:J6"/>
    <mergeCell ref="E33:J33"/>
    <mergeCell ref="C5:D5"/>
    <mergeCell ref="A53:J53"/>
    <mergeCell ref="E5:F5"/>
    <mergeCell ref="E31:J31"/>
    <mergeCell ref="A4:J4"/>
    <mergeCell ref="E42:F42"/>
    <mergeCell ref="B44:D44"/>
    <mergeCell ref="E34:J34"/>
    <mergeCell ref="I45:J45"/>
    <mergeCell ref="E48:F48"/>
    <mergeCell ref="A52:J52"/>
    <mergeCell ref="E30:J30"/>
    <mergeCell ref="A6:B6"/>
    <mergeCell ref="B38:D38"/>
    <mergeCell ref="E39:F39"/>
    <mergeCell ref="E44:F44"/>
    <mergeCell ref="E43:F43"/>
    <mergeCell ref="B42:D42"/>
    <mergeCell ref="C6:D6"/>
    <mergeCell ref="E28:J28"/>
    <mergeCell ref="B48:D48"/>
    <mergeCell ref="I46:J46"/>
    <mergeCell ref="B10:D10"/>
    <mergeCell ref="A37:J37"/>
    <mergeCell ref="C7:D7"/>
    <mergeCell ref="I38:J38"/>
    <mergeCell ref="I40:J40"/>
    <mergeCell ref="E7:F7"/>
    <mergeCell ref="B46:D46"/>
    <mergeCell ref="I10:J10"/>
    <mergeCell ref="E41:F41"/>
  </mergeCells>
  <phoneticPr fontId="24" type="noConversion"/>
  <dataValidations count="1">
    <dataValidation type="list" allowBlank="1" sqref="G39 G40 G41 G42 G43 G44 G45 G46 G47 G48" xr:uid="{00000000-0002-0000-0A00-000000000000}">
      <formula1>"완료,해당없음,미수행,진행중"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9"/>
  <sheetViews>
    <sheetView showGridLines="0" topLeftCell="A32" workbookViewId="0">
      <selection sqref="A1:J1"/>
    </sheetView>
  </sheetViews>
  <sheetFormatPr defaultRowHeight="17" x14ac:dyDescent="0.45"/>
  <cols>
    <col min="1" max="1" width="24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103</v>
      </c>
      <c r="H2" s="38"/>
      <c r="I2" s="38"/>
      <c r="J2" s="38"/>
    </row>
    <row r="3" spans="1:10" ht="30" customHeight="1" x14ac:dyDescent="0.45">
      <c r="A3" s="40" t="s">
        <v>303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8"/>
      <c r="C5" s="62"/>
      <c r="D5" s="38"/>
      <c r="E5" s="52" t="s">
        <v>40</v>
      </c>
      <c r="F5" s="38"/>
      <c r="G5" s="62"/>
      <c r="H5" s="38"/>
      <c r="I5" s="38"/>
      <c r="J5" s="38"/>
    </row>
    <row r="6" spans="1:10" ht="20" customHeight="1" x14ac:dyDescent="0.45">
      <c r="A6" s="52" t="s">
        <v>41</v>
      </c>
      <c r="B6" s="38"/>
      <c r="C6" s="62"/>
      <c r="D6" s="38"/>
      <c r="E6" s="52" t="s">
        <v>42</v>
      </c>
      <c r="F6" s="38"/>
      <c r="G6" s="62"/>
      <c r="H6" s="38"/>
      <c r="I6" s="38"/>
      <c r="J6" s="38"/>
    </row>
    <row r="7" spans="1:10" ht="20" customHeight="1" x14ac:dyDescent="0.45">
      <c r="A7" s="52" t="s">
        <v>43</v>
      </c>
      <c r="B7" s="38"/>
      <c r="C7" s="74" t="str">
        <f>기본사항!C10</f>
        <v>2025-12-31</v>
      </c>
      <c r="D7" s="38"/>
      <c r="E7" s="62"/>
      <c r="F7" s="38"/>
      <c r="G7" s="62"/>
      <c r="H7" s="38"/>
      <c r="I7" s="38"/>
      <c r="J7" s="38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8"/>
      <c r="D10" s="38"/>
      <c r="E10" s="63" t="str">
        <f>기본사항!C10</f>
        <v>2025-12-31</v>
      </c>
      <c r="F10" s="38"/>
      <c r="G10" s="38"/>
      <c r="H10" s="38"/>
      <c r="I10" s="59" t="s">
        <v>5</v>
      </c>
      <c r="J10" s="38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304</v>
      </c>
      <c r="B12" s="16"/>
      <c r="C12" s="16"/>
      <c r="D12" s="16"/>
      <c r="E12" s="16"/>
      <c r="F12" s="16"/>
      <c r="G12" s="16"/>
      <c r="H12" s="16"/>
      <c r="I12" s="17" t="s">
        <v>305</v>
      </c>
      <c r="J12" s="18"/>
    </row>
    <row r="13" spans="1:10" ht="20" customHeight="1" x14ac:dyDescent="0.45">
      <c r="A13" s="15" t="s">
        <v>306</v>
      </c>
      <c r="B13" s="16"/>
      <c r="C13" s="16"/>
      <c r="D13" s="16"/>
      <c r="E13" s="16"/>
      <c r="F13" s="16"/>
      <c r="G13" s="16"/>
      <c r="H13" s="16"/>
      <c r="I13" s="17" t="s">
        <v>307</v>
      </c>
      <c r="J13" s="18"/>
    </row>
    <row r="14" spans="1:10" ht="20" customHeight="1" x14ac:dyDescent="0.45">
      <c r="A14" s="15" t="s">
        <v>308</v>
      </c>
      <c r="B14" s="16"/>
      <c r="C14" s="16"/>
      <c r="D14" s="16"/>
      <c r="E14" s="16"/>
      <c r="F14" s="16"/>
      <c r="G14" s="16"/>
      <c r="H14" s="16"/>
      <c r="I14" s="17" t="s">
        <v>309</v>
      </c>
      <c r="J14" s="18"/>
    </row>
    <row r="15" spans="1:10" ht="20" customHeight="1" x14ac:dyDescent="0.45">
      <c r="A15" s="15" t="s">
        <v>310</v>
      </c>
      <c r="B15" s="16"/>
      <c r="C15" s="16"/>
      <c r="D15" s="16"/>
      <c r="E15" s="16"/>
      <c r="F15" s="16"/>
      <c r="G15" s="16"/>
      <c r="H15" s="16"/>
      <c r="I15" s="17" t="s">
        <v>311</v>
      </c>
      <c r="J15" s="18"/>
    </row>
    <row r="16" spans="1:10" ht="20" customHeight="1" x14ac:dyDescent="0.45">
      <c r="A16" s="15" t="s">
        <v>312</v>
      </c>
      <c r="B16" s="16"/>
      <c r="C16" s="16"/>
      <c r="D16" s="16"/>
      <c r="E16" s="16"/>
      <c r="F16" s="16"/>
      <c r="G16" s="16"/>
      <c r="H16" s="16"/>
      <c r="I16" s="17" t="s">
        <v>313</v>
      </c>
      <c r="J16" s="18"/>
    </row>
    <row r="17" spans="1:10" ht="6" customHeight="1" x14ac:dyDescent="0.45"/>
    <row r="18" spans="1:10" ht="22" customHeight="1" x14ac:dyDescent="0.45">
      <c r="A18" s="19" t="s">
        <v>63</v>
      </c>
      <c r="B18" s="20">
        <f t="shared" ref="B18:H18" si="0">SUM(B12:B16)</f>
        <v>0</v>
      </c>
      <c r="C18" s="20">
        <f t="shared" si="0"/>
        <v>0</v>
      </c>
      <c r="D18" s="20">
        <f t="shared" si="0"/>
        <v>0</v>
      </c>
      <c r="E18" s="20">
        <f t="shared" si="0"/>
        <v>0</v>
      </c>
      <c r="F18" s="20">
        <f t="shared" si="0"/>
        <v>0</v>
      </c>
      <c r="G18" s="20">
        <f t="shared" si="0"/>
        <v>0</v>
      </c>
      <c r="H18" s="20">
        <f t="shared" si="0"/>
        <v>0</v>
      </c>
    </row>
    <row r="19" spans="1:10" ht="18" customHeight="1" x14ac:dyDescent="0.45"/>
    <row r="20" spans="1:10" ht="22" customHeight="1" x14ac:dyDescent="0.45">
      <c r="A20" s="56" t="s">
        <v>64</v>
      </c>
      <c r="B20" s="38"/>
      <c r="C20" s="38"/>
      <c r="D20" s="38"/>
      <c r="E20" s="38"/>
      <c r="F20" s="38"/>
      <c r="G20" s="38"/>
      <c r="H20" s="38"/>
      <c r="I20" s="38"/>
      <c r="J20" s="38"/>
    </row>
    <row r="21" spans="1:10" ht="20" customHeight="1" x14ac:dyDescent="0.45">
      <c r="A21" s="14" t="s">
        <v>45</v>
      </c>
      <c r="B21" s="14" t="s">
        <v>65</v>
      </c>
      <c r="C21" s="14" t="s">
        <v>66</v>
      </c>
      <c r="D21" s="14" t="s">
        <v>5</v>
      </c>
      <c r="E21" s="73"/>
      <c r="F21" s="38"/>
      <c r="G21" s="38"/>
      <c r="H21" s="38"/>
      <c r="I21" s="38"/>
      <c r="J21" s="38"/>
    </row>
    <row r="22" spans="1:10" ht="20" customHeight="1" x14ac:dyDescent="0.45">
      <c r="A22" s="21" t="s">
        <v>304</v>
      </c>
      <c r="B22" s="22"/>
      <c r="C22" s="23"/>
      <c r="D22" s="3"/>
      <c r="E22" s="62"/>
      <c r="F22" s="62"/>
      <c r="G22" s="62"/>
      <c r="H22" s="62"/>
      <c r="I22" s="62"/>
      <c r="J22" s="62"/>
    </row>
    <row r="23" spans="1:10" ht="20" customHeight="1" x14ac:dyDescent="0.45">
      <c r="A23" s="21" t="s">
        <v>306</v>
      </c>
      <c r="B23" s="22"/>
      <c r="C23" s="23"/>
      <c r="D23" s="3"/>
      <c r="E23" s="62"/>
      <c r="F23" s="62"/>
      <c r="G23" s="62"/>
      <c r="H23" s="62"/>
      <c r="I23" s="62"/>
      <c r="J23" s="62"/>
    </row>
    <row r="24" spans="1:10" ht="20" customHeight="1" x14ac:dyDescent="0.45">
      <c r="A24" s="21" t="s">
        <v>308</v>
      </c>
      <c r="B24" s="22"/>
      <c r="C24" s="23"/>
      <c r="D24" s="3"/>
      <c r="E24" s="62"/>
      <c r="F24" s="62"/>
      <c r="G24" s="62"/>
      <c r="H24" s="62"/>
      <c r="I24" s="62"/>
      <c r="J24" s="62"/>
    </row>
    <row r="25" spans="1:10" ht="20" customHeight="1" x14ac:dyDescent="0.45">
      <c r="A25" s="21" t="s">
        <v>310</v>
      </c>
      <c r="B25" s="22"/>
      <c r="C25" s="23"/>
      <c r="D25" s="3"/>
      <c r="E25" s="62"/>
      <c r="F25" s="62"/>
      <c r="G25" s="62"/>
      <c r="H25" s="62"/>
      <c r="I25" s="62"/>
      <c r="J25" s="62"/>
    </row>
    <row r="26" spans="1:10" ht="20" customHeight="1" x14ac:dyDescent="0.45">
      <c r="A26" s="21" t="s">
        <v>312</v>
      </c>
      <c r="B26" s="22"/>
      <c r="C26" s="23"/>
      <c r="D26" s="3"/>
      <c r="E26" s="62"/>
      <c r="F26" s="62"/>
      <c r="G26" s="62"/>
      <c r="H26" s="62"/>
      <c r="I26" s="62"/>
      <c r="J26" s="62"/>
    </row>
    <row r="27" spans="1:10" ht="18" customHeight="1" x14ac:dyDescent="0.45"/>
    <row r="28" spans="1:10" ht="18" customHeight="1" x14ac:dyDescent="0.45"/>
    <row r="29" spans="1:10" ht="24" customHeight="1" x14ac:dyDescent="0.45">
      <c r="A29" s="71" t="s">
        <v>147</v>
      </c>
      <c r="B29" s="38"/>
      <c r="C29" s="38"/>
      <c r="D29" s="38"/>
      <c r="E29" s="38"/>
      <c r="F29" s="38"/>
      <c r="G29" s="38"/>
      <c r="H29" s="38"/>
      <c r="I29" s="38"/>
      <c r="J29" s="38"/>
    </row>
    <row r="30" spans="1:10" ht="20" customHeight="1" x14ac:dyDescent="0.45">
      <c r="A30" s="13" t="s">
        <v>148</v>
      </c>
      <c r="B30" s="52" t="s">
        <v>149</v>
      </c>
      <c r="C30" s="38"/>
      <c r="D30" s="38"/>
      <c r="E30" s="52" t="s">
        <v>150</v>
      </c>
      <c r="F30" s="38"/>
      <c r="G30" s="13" t="s">
        <v>151</v>
      </c>
      <c r="H30" s="13" t="s">
        <v>24</v>
      </c>
      <c r="I30" s="52" t="s">
        <v>5</v>
      </c>
      <c r="J30" s="38"/>
    </row>
    <row r="31" spans="1:10" ht="48" customHeight="1" x14ac:dyDescent="0.45">
      <c r="A31" s="29">
        <v>1</v>
      </c>
      <c r="B31" s="70" t="s">
        <v>314</v>
      </c>
      <c r="C31" s="38"/>
      <c r="D31" s="38"/>
      <c r="E31" s="67" t="s">
        <v>153</v>
      </c>
      <c r="F31" s="38"/>
      <c r="G31" s="11"/>
      <c r="H31" s="11"/>
      <c r="I31" s="72"/>
      <c r="J31" s="38"/>
    </row>
    <row r="32" spans="1:10" ht="48" customHeight="1" x14ac:dyDescent="0.45">
      <c r="A32" s="29">
        <v>2</v>
      </c>
      <c r="B32" s="69" t="s">
        <v>315</v>
      </c>
      <c r="C32" s="38"/>
      <c r="D32" s="38"/>
      <c r="E32" s="67" t="s">
        <v>316</v>
      </c>
      <c r="F32" s="38"/>
      <c r="G32" s="32"/>
      <c r="H32" s="32"/>
      <c r="I32" s="66"/>
      <c r="J32" s="38"/>
    </row>
    <row r="33" spans="1:10" ht="48" customHeight="1" x14ac:dyDescent="0.45">
      <c r="A33" s="29">
        <v>3</v>
      </c>
      <c r="B33" s="70" t="s">
        <v>317</v>
      </c>
      <c r="C33" s="38"/>
      <c r="D33" s="38"/>
      <c r="E33" s="67" t="s">
        <v>213</v>
      </c>
      <c r="F33" s="38"/>
      <c r="G33" s="11"/>
      <c r="H33" s="11"/>
      <c r="I33" s="72"/>
      <c r="J33" s="38"/>
    </row>
    <row r="34" spans="1:10" ht="48" customHeight="1" x14ac:dyDescent="0.45">
      <c r="A34" s="29">
        <v>4</v>
      </c>
      <c r="B34" s="69" t="s">
        <v>318</v>
      </c>
      <c r="C34" s="38"/>
      <c r="D34" s="38"/>
      <c r="E34" s="67" t="s">
        <v>319</v>
      </c>
      <c r="F34" s="38"/>
      <c r="G34" s="32"/>
      <c r="H34" s="32"/>
      <c r="I34" s="66"/>
      <c r="J34" s="38"/>
    </row>
    <row r="35" spans="1:10" ht="48" customHeight="1" x14ac:dyDescent="0.45">
      <c r="A35" s="29">
        <v>5</v>
      </c>
      <c r="B35" s="70" t="s">
        <v>320</v>
      </c>
      <c r="C35" s="38"/>
      <c r="D35" s="38"/>
      <c r="E35" s="67" t="s">
        <v>188</v>
      </c>
      <c r="F35" s="38"/>
      <c r="G35" s="11"/>
      <c r="H35" s="11"/>
      <c r="I35" s="72"/>
      <c r="J35" s="38"/>
    </row>
    <row r="36" spans="1:10" ht="48" customHeight="1" x14ac:dyDescent="0.45">
      <c r="A36" s="29">
        <v>6</v>
      </c>
      <c r="B36" s="69" t="s">
        <v>321</v>
      </c>
      <c r="C36" s="38"/>
      <c r="D36" s="38"/>
      <c r="E36" s="67" t="s">
        <v>211</v>
      </c>
      <c r="F36" s="38"/>
      <c r="G36" s="32"/>
      <c r="H36" s="32"/>
      <c r="I36" s="66"/>
      <c r="J36" s="38"/>
    </row>
    <row r="37" spans="1:10" ht="48" customHeight="1" x14ac:dyDescent="0.45">
      <c r="A37" s="29">
        <v>7</v>
      </c>
      <c r="B37" s="70" t="s">
        <v>322</v>
      </c>
      <c r="C37" s="38"/>
      <c r="D37" s="38"/>
      <c r="E37" s="67" t="s">
        <v>188</v>
      </c>
      <c r="F37" s="38"/>
      <c r="G37" s="11"/>
      <c r="H37" s="11"/>
      <c r="I37" s="72"/>
      <c r="J37" s="38"/>
    </row>
    <row r="38" spans="1:10" ht="48" customHeight="1" x14ac:dyDescent="0.45">
      <c r="A38" s="29">
        <v>8</v>
      </c>
      <c r="B38" s="69" t="s">
        <v>323</v>
      </c>
      <c r="C38" s="38"/>
      <c r="D38" s="38"/>
      <c r="E38" s="67" t="s">
        <v>167</v>
      </c>
      <c r="F38" s="38"/>
      <c r="G38" s="32"/>
      <c r="H38" s="32"/>
      <c r="I38" s="66"/>
      <c r="J38" s="38"/>
    </row>
    <row r="39" spans="1:10" ht="18" customHeight="1" x14ac:dyDescent="0.45"/>
    <row r="40" spans="1:10" ht="22" customHeight="1" x14ac:dyDescent="0.45">
      <c r="A40" s="56" t="s">
        <v>168</v>
      </c>
      <c r="B40" s="38"/>
      <c r="C40" s="38"/>
      <c r="D40" s="38"/>
      <c r="E40" s="38"/>
      <c r="F40" s="38"/>
      <c r="G40" s="38"/>
      <c r="H40" s="38"/>
      <c r="I40" s="38"/>
      <c r="J40" s="38"/>
    </row>
    <row r="41" spans="1:10" ht="24" customHeight="1" x14ac:dyDescent="0.45">
      <c r="A41" s="68"/>
      <c r="B41" s="38"/>
      <c r="C41" s="38"/>
      <c r="D41" s="38"/>
      <c r="E41" s="38"/>
      <c r="F41" s="38"/>
      <c r="G41" s="38"/>
      <c r="H41" s="38"/>
      <c r="I41" s="38"/>
      <c r="J41" s="38"/>
    </row>
    <row r="42" spans="1:10" ht="24" customHeight="1" x14ac:dyDescent="0.45">
      <c r="A42" s="68"/>
      <c r="B42" s="38"/>
      <c r="C42" s="38"/>
      <c r="D42" s="38"/>
      <c r="E42" s="38"/>
      <c r="F42" s="38"/>
      <c r="G42" s="38"/>
      <c r="H42" s="38"/>
      <c r="I42" s="38"/>
      <c r="J42" s="38"/>
    </row>
    <row r="43" spans="1:10" ht="24" customHeight="1" x14ac:dyDescent="0.45">
      <c r="A43" s="68"/>
      <c r="B43" s="38"/>
      <c r="C43" s="38"/>
      <c r="D43" s="38"/>
      <c r="E43" s="38"/>
      <c r="F43" s="38"/>
      <c r="G43" s="38"/>
      <c r="H43" s="38"/>
      <c r="I43" s="38"/>
      <c r="J43" s="38"/>
    </row>
    <row r="44" spans="1:10" ht="18" customHeight="1" x14ac:dyDescent="0.45"/>
    <row r="45" spans="1:10" ht="18" customHeight="1" x14ac:dyDescent="0.45">
      <c r="A45" s="54" t="s">
        <v>80</v>
      </c>
      <c r="B45" s="38"/>
      <c r="C45" s="38"/>
      <c r="D45" s="38"/>
      <c r="E45" s="38"/>
      <c r="F45" s="38"/>
      <c r="G45" s="38"/>
      <c r="H45" s="38"/>
      <c r="I45" s="38"/>
      <c r="J45" s="38"/>
    </row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1">
    <mergeCell ref="A45:J45"/>
    <mergeCell ref="E22:J22"/>
    <mergeCell ref="B32:D32"/>
    <mergeCell ref="B35:D35"/>
    <mergeCell ref="A5:B5"/>
    <mergeCell ref="I33:J33"/>
    <mergeCell ref="G7:J7"/>
    <mergeCell ref="E36:F36"/>
    <mergeCell ref="E10:H10"/>
    <mergeCell ref="E21:J21"/>
    <mergeCell ref="A41:J41"/>
    <mergeCell ref="G6:J6"/>
    <mergeCell ref="I35:J35"/>
    <mergeCell ref="C7:D7"/>
    <mergeCell ref="E24:J24"/>
    <mergeCell ref="B31:D31"/>
    <mergeCell ref="A1:J1"/>
    <mergeCell ref="E34:F34"/>
    <mergeCell ref="E6:F6"/>
    <mergeCell ref="E30:F30"/>
    <mergeCell ref="B36:D36"/>
    <mergeCell ref="E7:F7"/>
    <mergeCell ref="E32:F32"/>
    <mergeCell ref="I10:J10"/>
    <mergeCell ref="A3:J3"/>
    <mergeCell ref="E23:J23"/>
    <mergeCell ref="I31:J31"/>
    <mergeCell ref="G5:J5"/>
    <mergeCell ref="A2:F2"/>
    <mergeCell ref="E35:F35"/>
    <mergeCell ref="B37:D37"/>
    <mergeCell ref="E38:F38"/>
    <mergeCell ref="A7:B7"/>
    <mergeCell ref="A9:J9"/>
    <mergeCell ref="G2:J2"/>
    <mergeCell ref="B30:D30"/>
    <mergeCell ref="E26:J26"/>
    <mergeCell ref="I37:J37"/>
    <mergeCell ref="E31:F31"/>
    <mergeCell ref="E25:J25"/>
    <mergeCell ref="B33:D33"/>
    <mergeCell ref="I38:J38"/>
    <mergeCell ref="E37:F37"/>
    <mergeCell ref="A43:J43"/>
    <mergeCell ref="A6:B6"/>
    <mergeCell ref="B38:D38"/>
    <mergeCell ref="B34:D34"/>
    <mergeCell ref="B10:D10"/>
    <mergeCell ref="I32:J32"/>
    <mergeCell ref="A40:J40"/>
    <mergeCell ref="A42:J42"/>
    <mergeCell ref="E5:F5"/>
    <mergeCell ref="A29:J29"/>
    <mergeCell ref="A4:J4"/>
    <mergeCell ref="A20:J20"/>
    <mergeCell ref="I36:J36"/>
    <mergeCell ref="I30:J30"/>
    <mergeCell ref="I34:J34"/>
    <mergeCell ref="C6:D6"/>
    <mergeCell ref="E33:F33"/>
    <mergeCell ref="C5:D5"/>
  </mergeCells>
  <phoneticPr fontId="24" type="noConversion"/>
  <dataValidations count="1">
    <dataValidation type="list" allowBlank="1" sqref="G31 G32 G33 G34 G35 G36 G37 G38" xr:uid="{00000000-0002-0000-0B00-000000000000}">
      <formula1>"완료,해당없음,미수행,진행중"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9"/>
  <sheetViews>
    <sheetView showGridLines="0" topLeftCell="A32" workbookViewId="0">
      <selection activeCell="B31" sqref="B31:D31"/>
    </sheetView>
  </sheetViews>
  <sheetFormatPr defaultRowHeight="17" x14ac:dyDescent="0.45"/>
  <cols>
    <col min="1" max="1" width="24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60" t="str">
        <f>기본사항!C8</f>
        <v>주식회사 XXX</v>
      </c>
      <c r="B2" s="38"/>
      <c r="C2" s="38"/>
      <c r="D2" s="38"/>
      <c r="E2" s="38"/>
      <c r="F2" s="38"/>
      <c r="G2" s="61" t="s">
        <v>324</v>
      </c>
      <c r="H2" s="38"/>
      <c r="I2" s="38"/>
      <c r="J2" s="38"/>
    </row>
    <row r="3" spans="1:10" ht="30" customHeight="1" x14ac:dyDescent="0.45">
      <c r="A3" s="40" t="s">
        <v>325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2" t="s">
        <v>39</v>
      </c>
      <c r="B5" s="38"/>
      <c r="C5" s="62"/>
      <c r="D5" s="38"/>
      <c r="E5" s="52" t="s">
        <v>40</v>
      </c>
      <c r="F5" s="38"/>
      <c r="G5" s="62"/>
      <c r="H5" s="38"/>
      <c r="I5" s="38"/>
      <c r="J5" s="38"/>
    </row>
    <row r="6" spans="1:10" ht="20" customHeight="1" x14ac:dyDescent="0.45">
      <c r="A6" s="52" t="s">
        <v>41</v>
      </c>
      <c r="B6" s="38"/>
      <c r="C6" s="62"/>
      <c r="D6" s="38"/>
      <c r="E6" s="52" t="s">
        <v>42</v>
      </c>
      <c r="F6" s="38"/>
      <c r="G6" s="62"/>
      <c r="H6" s="38"/>
      <c r="I6" s="38"/>
      <c r="J6" s="38"/>
    </row>
    <row r="7" spans="1:10" ht="20" customHeight="1" x14ac:dyDescent="0.45">
      <c r="A7" s="52" t="s">
        <v>43</v>
      </c>
      <c r="B7" s="38"/>
      <c r="C7" s="74" t="str">
        <f>기본사항!C10</f>
        <v>2025-12-31</v>
      </c>
      <c r="D7" s="38"/>
      <c r="E7" s="62"/>
      <c r="F7" s="38"/>
      <c r="G7" s="62"/>
      <c r="H7" s="38"/>
      <c r="I7" s="38"/>
      <c r="J7" s="38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9" t="s">
        <v>44</v>
      </c>
      <c r="C10" s="38"/>
      <c r="D10" s="38"/>
      <c r="E10" s="63" t="str">
        <f>기본사항!C10</f>
        <v>2025-12-31</v>
      </c>
      <c r="F10" s="38"/>
      <c r="G10" s="38"/>
      <c r="H10" s="38"/>
      <c r="I10" s="59" t="s">
        <v>5</v>
      </c>
      <c r="J10" s="38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204</v>
      </c>
      <c r="B12" s="16"/>
      <c r="C12" s="16"/>
      <c r="D12" s="16"/>
      <c r="E12" s="16"/>
      <c r="F12" s="16"/>
      <c r="G12" s="16"/>
      <c r="H12" s="16"/>
      <c r="I12" s="17" t="s">
        <v>326</v>
      </c>
      <c r="J12" s="18"/>
    </row>
    <row r="13" spans="1:10" ht="20" customHeight="1" x14ac:dyDescent="0.45">
      <c r="A13" s="15" t="s">
        <v>327</v>
      </c>
      <c r="B13" s="16"/>
      <c r="C13" s="16"/>
      <c r="D13" s="16"/>
      <c r="E13" s="16"/>
      <c r="F13" s="16"/>
      <c r="G13" s="16"/>
      <c r="H13" s="16"/>
      <c r="I13" s="17" t="s">
        <v>328</v>
      </c>
      <c r="J13" s="18"/>
    </row>
    <row r="14" spans="1:10" ht="20" customHeight="1" x14ac:dyDescent="0.45">
      <c r="A14" s="15" t="s">
        <v>329</v>
      </c>
      <c r="B14" s="16"/>
      <c r="C14" s="16"/>
      <c r="D14" s="16"/>
      <c r="E14" s="16"/>
      <c r="F14" s="16"/>
      <c r="G14" s="16"/>
      <c r="H14" s="16"/>
      <c r="I14" s="17" t="s">
        <v>330</v>
      </c>
      <c r="J14" s="18"/>
    </row>
    <row r="15" spans="1:10" ht="20" customHeight="1" x14ac:dyDescent="0.45">
      <c r="A15" s="15" t="s">
        <v>325</v>
      </c>
      <c r="B15" s="16"/>
      <c r="C15" s="16"/>
      <c r="D15" s="16"/>
      <c r="E15" s="16"/>
      <c r="F15" s="16"/>
      <c r="G15" s="16"/>
      <c r="H15" s="16"/>
      <c r="I15" s="17" t="s">
        <v>331</v>
      </c>
      <c r="J15" s="18"/>
    </row>
    <row r="16" spans="1:10" ht="6" customHeight="1" x14ac:dyDescent="0.45"/>
    <row r="17" spans="1:10" ht="22" customHeight="1" x14ac:dyDescent="0.45">
      <c r="A17" s="19" t="s">
        <v>63</v>
      </c>
      <c r="B17" s="20">
        <f t="shared" ref="B17:H17" si="0">SUM(B12:B15)</f>
        <v>0</v>
      </c>
      <c r="C17" s="20">
        <f t="shared" si="0"/>
        <v>0</v>
      </c>
      <c r="D17" s="20">
        <f t="shared" si="0"/>
        <v>0</v>
      </c>
      <c r="E17" s="20">
        <f t="shared" si="0"/>
        <v>0</v>
      </c>
      <c r="F17" s="20">
        <f t="shared" si="0"/>
        <v>0</v>
      </c>
      <c r="G17" s="20">
        <f t="shared" si="0"/>
        <v>0</v>
      </c>
      <c r="H17" s="20">
        <f t="shared" si="0"/>
        <v>0</v>
      </c>
    </row>
    <row r="18" spans="1:10" ht="18" customHeight="1" x14ac:dyDescent="0.45"/>
    <row r="19" spans="1:10" ht="22" customHeight="1" x14ac:dyDescent="0.45">
      <c r="A19" s="56" t="s">
        <v>64</v>
      </c>
      <c r="B19" s="38"/>
      <c r="C19" s="38"/>
      <c r="D19" s="38"/>
      <c r="E19" s="38"/>
      <c r="F19" s="38"/>
      <c r="G19" s="38"/>
      <c r="H19" s="38"/>
      <c r="I19" s="38"/>
      <c r="J19" s="38"/>
    </row>
    <row r="20" spans="1:10" ht="20" customHeight="1" x14ac:dyDescent="0.45">
      <c r="A20" s="14" t="s">
        <v>45</v>
      </c>
      <c r="B20" s="14" t="s">
        <v>65</v>
      </c>
      <c r="C20" s="14" t="s">
        <v>66</v>
      </c>
      <c r="D20" s="14" t="s">
        <v>5</v>
      </c>
      <c r="E20" s="73"/>
      <c r="F20" s="38"/>
      <c r="G20" s="38"/>
      <c r="H20" s="38"/>
      <c r="I20" s="38"/>
      <c r="J20" s="38"/>
    </row>
    <row r="21" spans="1:10" ht="20" customHeight="1" x14ac:dyDescent="0.45">
      <c r="A21" s="21" t="s">
        <v>204</v>
      </c>
      <c r="B21" s="22"/>
      <c r="C21" s="23"/>
      <c r="D21" s="3"/>
      <c r="E21" s="62"/>
      <c r="F21" s="62"/>
      <c r="G21" s="62"/>
      <c r="H21" s="62"/>
      <c r="I21" s="62"/>
      <c r="J21" s="62"/>
    </row>
    <row r="22" spans="1:10" ht="20" customHeight="1" x14ac:dyDescent="0.45">
      <c r="A22" s="21" t="s">
        <v>327</v>
      </c>
      <c r="B22" s="22"/>
      <c r="C22" s="23"/>
      <c r="D22" s="3"/>
      <c r="E22" s="62"/>
      <c r="F22" s="62"/>
      <c r="G22" s="62"/>
      <c r="H22" s="62"/>
      <c r="I22" s="62"/>
      <c r="J22" s="62"/>
    </row>
    <row r="23" spans="1:10" ht="20" customHeight="1" x14ac:dyDescent="0.45">
      <c r="A23" s="21" t="s">
        <v>329</v>
      </c>
      <c r="B23" s="22"/>
      <c r="C23" s="23"/>
      <c r="D23" s="3"/>
      <c r="E23" s="62"/>
      <c r="F23" s="62"/>
      <c r="G23" s="62"/>
      <c r="H23" s="62"/>
      <c r="I23" s="62"/>
      <c r="J23" s="62"/>
    </row>
    <row r="24" spans="1:10" ht="20" customHeight="1" x14ac:dyDescent="0.45">
      <c r="A24" s="21" t="s">
        <v>325</v>
      </c>
      <c r="B24" s="22"/>
      <c r="C24" s="23"/>
      <c r="D24" s="3"/>
      <c r="E24" s="62"/>
      <c r="F24" s="62"/>
      <c r="G24" s="62"/>
      <c r="H24" s="62"/>
      <c r="I24" s="62"/>
      <c r="J24" s="62"/>
    </row>
    <row r="25" spans="1:10" ht="18" customHeight="1" x14ac:dyDescent="0.45"/>
    <row r="26" spans="1:10" ht="18" customHeight="1" x14ac:dyDescent="0.45"/>
    <row r="27" spans="1:10" ht="24" customHeight="1" x14ac:dyDescent="0.45">
      <c r="A27" s="71" t="s">
        <v>147</v>
      </c>
      <c r="B27" s="38"/>
      <c r="C27" s="38"/>
      <c r="D27" s="38"/>
      <c r="E27" s="38"/>
      <c r="F27" s="38"/>
      <c r="G27" s="38"/>
      <c r="H27" s="38"/>
      <c r="I27" s="38"/>
      <c r="J27" s="38"/>
    </row>
    <row r="28" spans="1:10" ht="20" customHeight="1" x14ac:dyDescent="0.45">
      <c r="A28" s="13" t="s">
        <v>148</v>
      </c>
      <c r="B28" s="52" t="s">
        <v>149</v>
      </c>
      <c r="C28" s="38"/>
      <c r="D28" s="38"/>
      <c r="E28" s="52" t="s">
        <v>150</v>
      </c>
      <c r="F28" s="38"/>
      <c r="G28" s="13" t="s">
        <v>151</v>
      </c>
      <c r="H28" s="13" t="s">
        <v>24</v>
      </c>
      <c r="I28" s="52" t="s">
        <v>5</v>
      </c>
      <c r="J28" s="38"/>
    </row>
    <row r="29" spans="1:10" ht="48" customHeight="1" x14ac:dyDescent="0.45">
      <c r="A29" s="29">
        <v>1</v>
      </c>
      <c r="B29" s="70" t="s">
        <v>234</v>
      </c>
      <c r="C29" s="38"/>
      <c r="D29" s="38"/>
      <c r="E29" s="67" t="s">
        <v>153</v>
      </c>
      <c r="F29" s="38"/>
      <c r="G29" s="11"/>
      <c r="H29" s="11"/>
      <c r="I29" s="72"/>
      <c r="J29" s="38"/>
    </row>
    <row r="30" spans="1:10" ht="48" customHeight="1" x14ac:dyDescent="0.45">
      <c r="A30" s="29">
        <v>2</v>
      </c>
      <c r="B30" s="69" t="s">
        <v>332</v>
      </c>
      <c r="C30" s="38"/>
      <c r="D30" s="38"/>
      <c r="E30" s="67" t="s">
        <v>165</v>
      </c>
      <c r="F30" s="38"/>
      <c r="G30" s="32"/>
      <c r="H30" s="32"/>
      <c r="I30" s="66"/>
      <c r="J30" s="38"/>
    </row>
    <row r="31" spans="1:10" ht="48" customHeight="1" x14ac:dyDescent="0.45">
      <c r="A31" s="29">
        <v>3</v>
      </c>
      <c r="B31" s="70" t="s">
        <v>333</v>
      </c>
      <c r="C31" s="38"/>
      <c r="D31" s="38"/>
      <c r="E31" s="67" t="s">
        <v>334</v>
      </c>
      <c r="F31" s="38"/>
      <c r="G31" s="11"/>
      <c r="H31" s="11"/>
      <c r="I31" s="72"/>
      <c r="J31" s="38"/>
    </row>
    <row r="32" spans="1:10" ht="48" customHeight="1" x14ac:dyDescent="0.45">
      <c r="A32" s="29">
        <v>4</v>
      </c>
      <c r="B32" s="69" t="s">
        <v>236</v>
      </c>
      <c r="C32" s="38"/>
      <c r="D32" s="38"/>
      <c r="E32" s="67" t="s">
        <v>335</v>
      </c>
      <c r="F32" s="38"/>
      <c r="G32" s="32"/>
      <c r="H32" s="32"/>
      <c r="I32" s="66"/>
      <c r="J32" s="38"/>
    </row>
    <row r="33" spans="1:10" ht="48" customHeight="1" x14ac:dyDescent="0.45">
      <c r="A33" s="29">
        <v>5</v>
      </c>
      <c r="B33" s="70" t="s">
        <v>336</v>
      </c>
      <c r="C33" s="38"/>
      <c r="D33" s="38"/>
      <c r="E33" s="67" t="s">
        <v>188</v>
      </c>
      <c r="F33" s="38"/>
      <c r="G33" s="11"/>
      <c r="H33" s="11"/>
      <c r="I33" s="72"/>
      <c r="J33" s="38"/>
    </row>
    <row r="34" spans="1:10" ht="48" customHeight="1" x14ac:dyDescent="0.45">
      <c r="A34" s="29">
        <v>6</v>
      </c>
      <c r="B34" s="69" t="s">
        <v>337</v>
      </c>
      <c r="C34" s="38"/>
      <c r="D34" s="38"/>
      <c r="E34" s="67" t="s">
        <v>213</v>
      </c>
      <c r="F34" s="38"/>
      <c r="G34" s="32"/>
      <c r="H34" s="32"/>
      <c r="I34" s="66"/>
      <c r="J34" s="38"/>
    </row>
    <row r="35" spans="1:10" ht="48" customHeight="1" x14ac:dyDescent="0.45">
      <c r="A35" s="29">
        <v>7</v>
      </c>
      <c r="B35" s="70" t="s">
        <v>338</v>
      </c>
      <c r="C35" s="38"/>
      <c r="D35" s="38"/>
      <c r="E35" s="67" t="s">
        <v>163</v>
      </c>
      <c r="F35" s="38"/>
      <c r="G35" s="11"/>
      <c r="H35" s="11"/>
      <c r="I35" s="72"/>
      <c r="J35" s="38"/>
    </row>
    <row r="36" spans="1:10" ht="48" customHeight="1" x14ac:dyDescent="0.45">
      <c r="A36" s="29">
        <v>8</v>
      </c>
      <c r="B36" s="69" t="s">
        <v>244</v>
      </c>
      <c r="C36" s="38"/>
      <c r="D36" s="38"/>
      <c r="E36" s="67" t="s">
        <v>220</v>
      </c>
      <c r="F36" s="38"/>
      <c r="G36" s="32"/>
      <c r="H36" s="32"/>
      <c r="I36" s="66"/>
      <c r="J36" s="38"/>
    </row>
    <row r="37" spans="1:10" ht="48" customHeight="1" x14ac:dyDescent="0.45">
      <c r="A37" s="29">
        <v>9</v>
      </c>
      <c r="B37" s="70" t="s">
        <v>245</v>
      </c>
      <c r="C37" s="38"/>
      <c r="D37" s="38"/>
      <c r="E37" s="67" t="s">
        <v>167</v>
      </c>
      <c r="F37" s="38"/>
      <c r="G37" s="11"/>
      <c r="H37" s="11"/>
      <c r="I37" s="72"/>
      <c r="J37" s="38"/>
    </row>
    <row r="38" spans="1:10" ht="18" customHeight="1" x14ac:dyDescent="0.45"/>
    <row r="39" spans="1:10" ht="22" customHeight="1" x14ac:dyDescent="0.45">
      <c r="A39" s="56" t="s">
        <v>168</v>
      </c>
      <c r="B39" s="38"/>
      <c r="C39" s="38"/>
      <c r="D39" s="38"/>
      <c r="E39" s="38"/>
      <c r="F39" s="38"/>
      <c r="G39" s="38"/>
      <c r="H39" s="38"/>
      <c r="I39" s="38"/>
      <c r="J39" s="38"/>
    </row>
    <row r="40" spans="1:10" ht="24" customHeight="1" x14ac:dyDescent="0.45">
      <c r="A40" s="68"/>
      <c r="B40" s="38"/>
      <c r="C40" s="38"/>
      <c r="D40" s="38"/>
      <c r="E40" s="38"/>
      <c r="F40" s="38"/>
      <c r="G40" s="38"/>
      <c r="H40" s="38"/>
      <c r="I40" s="38"/>
      <c r="J40" s="38"/>
    </row>
    <row r="41" spans="1:10" ht="24" customHeight="1" x14ac:dyDescent="0.45">
      <c r="A41" s="68"/>
      <c r="B41" s="38"/>
      <c r="C41" s="38"/>
      <c r="D41" s="38"/>
      <c r="E41" s="38"/>
      <c r="F41" s="38"/>
      <c r="G41" s="38"/>
      <c r="H41" s="38"/>
      <c r="I41" s="38"/>
      <c r="J41" s="38"/>
    </row>
    <row r="42" spans="1:10" ht="24" customHeight="1" x14ac:dyDescent="0.45">
      <c r="A42" s="68"/>
      <c r="B42" s="38"/>
      <c r="C42" s="38"/>
      <c r="D42" s="38"/>
      <c r="E42" s="38"/>
      <c r="F42" s="38"/>
      <c r="G42" s="38"/>
      <c r="H42" s="38"/>
      <c r="I42" s="38"/>
      <c r="J42" s="38"/>
    </row>
    <row r="43" spans="1:10" ht="18" customHeight="1" x14ac:dyDescent="0.45"/>
    <row r="44" spans="1:10" ht="18" customHeight="1" x14ac:dyDescent="0.45">
      <c r="A44" s="54" t="s">
        <v>80</v>
      </c>
      <c r="B44" s="38"/>
      <c r="C44" s="38"/>
      <c r="D44" s="38"/>
      <c r="E44" s="38"/>
      <c r="F44" s="38"/>
      <c r="G44" s="38"/>
      <c r="H44" s="38"/>
      <c r="I44" s="38"/>
      <c r="J44" s="38"/>
    </row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3">
    <mergeCell ref="A3:J3"/>
    <mergeCell ref="E23:J23"/>
    <mergeCell ref="E37:F37"/>
    <mergeCell ref="I31:J31"/>
    <mergeCell ref="E20:J20"/>
    <mergeCell ref="G5:J5"/>
    <mergeCell ref="A1:J1"/>
    <mergeCell ref="E6:F6"/>
    <mergeCell ref="E30:F30"/>
    <mergeCell ref="B36:D36"/>
    <mergeCell ref="E22:J22"/>
    <mergeCell ref="B32:D32"/>
    <mergeCell ref="B35:D35"/>
    <mergeCell ref="A5:B5"/>
    <mergeCell ref="I33:J33"/>
    <mergeCell ref="G7:J7"/>
    <mergeCell ref="E36:F36"/>
    <mergeCell ref="E10:H10"/>
    <mergeCell ref="E21:J21"/>
    <mergeCell ref="G6:J6"/>
    <mergeCell ref="I29:J29"/>
    <mergeCell ref="I35:J35"/>
    <mergeCell ref="A2:F2"/>
    <mergeCell ref="B28:D28"/>
    <mergeCell ref="E35:F35"/>
    <mergeCell ref="A44:J44"/>
    <mergeCell ref="B37:D37"/>
    <mergeCell ref="A7:B7"/>
    <mergeCell ref="E29:F29"/>
    <mergeCell ref="I32:J32"/>
    <mergeCell ref="A9:J9"/>
    <mergeCell ref="A40:J40"/>
    <mergeCell ref="A39:J39"/>
    <mergeCell ref="E28:F28"/>
    <mergeCell ref="G2:J2"/>
    <mergeCell ref="B30:D30"/>
    <mergeCell ref="I37:J37"/>
    <mergeCell ref="I28:J28"/>
    <mergeCell ref="A42:J42"/>
    <mergeCell ref="E5:F5"/>
    <mergeCell ref="A4:J4"/>
    <mergeCell ref="I36:J36"/>
    <mergeCell ref="B29:D29"/>
    <mergeCell ref="A6:B6"/>
    <mergeCell ref="A19:J19"/>
    <mergeCell ref="B34:D34"/>
    <mergeCell ref="B10:D10"/>
    <mergeCell ref="E31:F31"/>
    <mergeCell ref="B33:D33"/>
    <mergeCell ref="E34:F34"/>
    <mergeCell ref="A41:J41"/>
    <mergeCell ref="C7:D7"/>
    <mergeCell ref="E24:J24"/>
    <mergeCell ref="B31:D31"/>
    <mergeCell ref="I30:J30"/>
    <mergeCell ref="I34:J34"/>
    <mergeCell ref="C6:D6"/>
    <mergeCell ref="E33:F33"/>
    <mergeCell ref="C5:D5"/>
    <mergeCell ref="E7:F7"/>
    <mergeCell ref="E32:F32"/>
    <mergeCell ref="I10:J10"/>
    <mergeCell ref="A27:J27"/>
  </mergeCells>
  <phoneticPr fontId="24" type="noConversion"/>
  <dataValidations count="1">
    <dataValidation type="list" allowBlank="1" sqref="G29 G30 G31 G32 G33 G34 G35 G36 G37" xr:uid="{00000000-0002-0000-0C00-000000000000}">
      <formula1>"완료,해당없음,미수행,진행중"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기본사항</vt:lpstr>
      <vt:lpstr>목차</vt:lpstr>
      <vt:lpstr>장단기차입금</vt:lpstr>
      <vt:lpstr>매출</vt:lpstr>
      <vt:lpstr>판관비</vt:lpstr>
      <vt:lpstr>현예금</vt:lpstr>
      <vt:lpstr>유가증권</vt:lpstr>
      <vt:lpstr>매출채권</vt:lpstr>
      <vt:lpstr>기타유동자산</vt:lpstr>
      <vt:lpstr>재고자산</vt:lpstr>
      <vt:lpstr>유형자산</vt:lpstr>
      <vt:lpstr>무형자산</vt:lpstr>
      <vt:lpstr>기타비유동자산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2026-05-07T13:40:58Z</dcterms:modified>
</cp:coreProperties>
</file>