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everance_analyzer\input_data\"/>
    </mc:Choice>
  </mc:AlternateContent>
  <xr:revisionPtr revIDLastSave="0" documentId="13_ncr:1_{B36997D7-9267-4365-9EF9-5F99180E76B0}" xr6:coauthVersionLast="47" xr6:coauthVersionMax="47" xr10:uidLastSave="{00000000-0000-0000-0000-000000000000}"/>
  <bookViews>
    <workbookView xWindow="-19298" yWindow="-98" windowWidth="19396" windowHeight="12196" xr2:uid="{00000000-000D-0000-FFFF-FFFF00000000}"/>
  </bookViews>
  <sheets>
    <sheet name="당기정보" sheetId="1" r:id="rId1"/>
    <sheet name="전기정보" sheetId="2" r:id="rId2"/>
    <sheet name="당기퇴사자" sheetId="3" r:id="rId3"/>
    <sheet name="기준정보" sheetId="4" r:id="rId4"/>
    <sheet name="작성안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J5" i="2"/>
  <c r="J4" i="2"/>
  <c r="J3" i="2"/>
  <c r="J82" i="1"/>
  <c r="J81" i="1"/>
  <c r="J80" i="1"/>
  <c r="J79" i="1"/>
  <c r="J78" i="1"/>
  <c r="J77" i="1"/>
  <c r="J76" i="1"/>
  <c r="J75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<sst xmlns="http://schemas.openxmlformats.org/spreadsheetml/2006/main" count="821" uniqueCount="186">
  <si>
    <t>인적사항</t>
  </si>
  <si>
    <t>재직정보</t>
  </si>
  <si>
    <t>임금정보</t>
  </si>
  <si>
    <t>대사용(선택)</t>
  </si>
  <si>
    <t>기타</t>
  </si>
  <si>
    <t>사업장</t>
  </si>
  <si>
    <t>부서</t>
  </si>
  <si>
    <t>사번</t>
  </si>
  <si>
    <t>성명</t>
  </si>
  <si>
    <t>직급</t>
  </si>
  <si>
    <t>원가구분(제조원가/판관비)</t>
  </si>
  <si>
    <t>입사일</t>
  </si>
  <si>
    <t>중간정산일</t>
  </si>
  <si>
    <t>월평균급여(원)</t>
  </si>
  <si>
    <t>상여금(연간, 원)</t>
  </si>
  <si>
    <t>배수(임원)</t>
  </si>
  <si>
    <t>회사계상 퇴직금추계액(원)</t>
  </si>
  <si>
    <t>비고</t>
  </si>
  <si>
    <t>본사</t>
  </si>
  <si>
    <t>임원</t>
  </si>
  <si>
    <t>김기선</t>
  </si>
  <si>
    <t>판관비</t>
  </si>
  <si>
    <t>김영식</t>
  </si>
  <si>
    <t>김주엽</t>
  </si>
  <si>
    <t>김은정</t>
  </si>
  <si>
    <t>김대웅</t>
  </si>
  <si>
    <t>관리부</t>
  </si>
  <si>
    <t>김세헌</t>
  </si>
  <si>
    <t>김영석</t>
  </si>
  <si>
    <t>김창오</t>
  </si>
  <si>
    <t>김세형</t>
  </si>
  <si>
    <t>박영수</t>
  </si>
  <si>
    <t>박성민</t>
  </si>
  <si>
    <t>박광일</t>
  </si>
  <si>
    <t>명재희</t>
  </si>
  <si>
    <t>전원식</t>
  </si>
  <si>
    <t>양승욱</t>
  </si>
  <si>
    <t>백민지</t>
  </si>
  <si>
    <t>연구소</t>
  </si>
  <si>
    <t>강동우</t>
  </si>
  <si>
    <t>최형환</t>
  </si>
  <si>
    <t>조남진</t>
  </si>
  <si>
    <t>우경호</t>
  </si>
  <si>
    <t>조창희</t>
  </si>
  <si>
    <t>최기혁</t>
  </si>
  <si>
    <t>송승환</t>
  </si>
  <si>
    <t>박준수</t>
  </si>
  <si>
    <t>차량과</t>
  </si>
  <si>
    <t>임종곤</t>
  </si>
  <si>
    <t>제조원가</t>
  </si>
  <si>
    <t>강현대</t>
  </si>
  <si>
    <t>김범식</t>
  </si>
  <si>
    <t>송관종</t>
  </si>
  <si>
    <t>김용식</t>
  </si>
  <si>
    <t>임순열</t>
  </si>
  <si>
    <t>이용환</t>
  </si>
  <si>
    <t>김정수</t>
  </si>
  <si>
    <t>오명호</t>
  </si>
  <si>
    <t>환경부</t>
  </si>
  <si>
    <t>문병석</t>
  </si>
  <si>
    <t>박장호</t>
  </si>
  <si>
    <t>정병기</t>
  </si>
  <si>
    <t>함평식</t>
  </si>
  <si>
    <t>이병금</t>
  </si>
  <si>
    <t>김용관</t>
  </si>
  <si>
    <t>손철민</t>
  </si>
  <si>
    <t>이성진</t>
  </si>
  <si>
    <t>정희종</t>
  </si>
  <si>
    <t>최광호</t>
  </si>
  <si>
    <t>고동환</t>
  </si>
  <si>
    <t>김철민</t>
  </si>
  <si>
    <t>최민철</t>
  </si>
  <si>
    <t>신승철</t>
  </si>
  <si>
    <t>조용한</t>
  </si>
  <si>
    <t>김승호</t>
  </si>
  <si>
    <t>김종혁</t>
  </si>
  <si>
    <t>박헌종</t>
  </si>
  <si>
    <t>이광희</t>
  </si>
  <si>
    <t>장윤성</t>
  </si>
  <si>
    <t>김제훈</t>
  </si>
  <si>
    <t>장광영</t>
  </si>
  <si>
    <t>천정호</t>
  </si>
  <si>
    <t>이연태</t>
  </si>
  <si>
    <t>임운택</t>
  </si>
  <si>
    <t>임석진</t>
  </si>
  <si>
    <t>공무외</t>
  </si>
  <si>
    <t>오형권</t>
  </si>
  <si>
    <t>임재수</t>
  </si>
  <si>
    <t>전부현</t>
  </si>
  <si>
    <t>엄성은</t>
  </si>
  <si>
    <t>이승주</t>
  </si>
  <si>
    <t>이현진</t>
  </si>
  <si>
    <t>계광환</t>
  </si>
  <si>
    <t>강훈</t>
  </si>
  <si>
    <t>계약직</t>
  </si>
  <si>
    <t>박정식</t>
  </si>
  <si>
    <t>이경선</t>
  </si>
  <si>
    <t>염용성</t>
  </si>
  <si>
    <t>성용수</t>
  </si>
  <si>
    <t>박원준</t>
  </si>
  <si>
    <t>자원회수시설</t>
  </si>
  <si>
    <t>김창균</t>
  </si>
  <si>
    <t>황정현</t>
  </si>
  <si>
    <t>박현복</t>
  </si>
  <si>
    <t>신호철</t>
  </si>
  <si>
    <t>나환</t>
  </si>
  <si>
    <t>박종만</t>
  </si>
  <si>
    <t>허윤식</t>
  </si>
  <si>
    <t>유경재</t>
  </si>
  <si>
    <t>정구종</t>
  </si>
  <si>
    <t>조정래</t>
  </si>
  <si>
    <t>김승권</t>
  </si>
  <si>
    <t>양문석</t>
  </si>
  <si>
    <t>허성도</t>
  </si>
  <si>
    <t>김익성</t>
  </si>
  <si>
    <t>권홍순</t>
  </si>
  <si>
    <t>송영길</t>
  </si>
  <si>
    <t>이원</t>
  </si>
  <si>
    <t>방상권</t>
  </si>
  <si>
    <t>송현빈</t>
  </si>
  <si>
    <t>임화식</t>
  </si>
  <si>
    <t>퇴사자 지급정보</t>
  </si>
  <si>
    <t>실제지급액(원)</t>
  </si>
  <si>
    <t>지급사유(실제퇴사/중간정산)</t>
  </si>
  <si>
    <t>입사일(선택)</t>
  </si>
  <si>
    <t xml:space="preserve">이원 </t>
  </si>
  <si>
    <t>박왕희</t>
  </si>
  <si>
    <t>지연우</t>
  </si>
  <si>
    <t>퇴직급여충당부채 기준정보 (회사계상액 — 대사용)</t>
  </si>
  <si>
    <t>항목</t>
  </si>
  <si>
    <t>금액(원)</t>
  </si>
  <si>
    <t>설명</t>
  </si>
  <si>
    <t>전기말 회사계상 퇴직급여충당부채(제조원가분)</t>
  </si>
  <si>
    <t>전기말 재무제표(또는 결산정산표)상 실제 계상액 — 앱의 당기말 재계산액과의 증감 비교용 참고값(계산에는 반영되지 않음)</t>
  </si>
  <si>
    <t>전기말 회사계상 퇴직급여충당부채(판관비분)</t>
  </si>
  <si>
    <t>전기말 재무제표(또는 결산정산표)상 실제 계상액 — 위와 동일</t>
  </si>
  <si>
    <t>당기말 회사계상 퇴직급여충당부채(제조원가분)</t>
  </si>
  <si>
    <t>당기말 재무제표상 회사 계상액 — 앱의 인원별 재계산 합계와 비교해 차이(대사)를 표시함</t>
  </si>
  <si>
    <t>당기말 회사계상 퇴직급여충당부채(판관비분)</t>
  </si>
  <si>
    <t>당기말 재무제표상 회사 계상액</t>
  </si>
  <si>
    <t>당기 퇴직급여충당부채 차변(당기지급액, 분개장 기준)</t>
  </si>
  <si>
    <t>분개장분석(journal_analyzer)에서 '퇴직급여충당부채' 계정의 당기 차변(퇴직금 지급으로 인한 감소) 합계를 뽑아 입력. 전기말(회사계상)+당기 퇴직급여(재계산)-이 값이 당기말(회사계상)과 맞는지 요약표에서 자동 검증(T계정 tie-out). 모르면 비워둬도 됨(해당 검증만 생략).</t>
  </si>
  <si>
    <t>※ 결산기준일(당기말/전기말)은 이 시트에 입력하지 않습니다 — 실행 시 파일명(fy&lt;연도&gt;)과 --fiscal-month 옵션으로 자동 결정됩니다.</t>
  </si>
  <si>
    <t>퇴직급여충당부채 검증앱(일반기업회계기준·퇴직금 추계액 방식) — 입력 템플릿 작성 안내</t>
  </si>
  <si>
    <t>핵심 원칙: 결산기준일 현재 재직 중인 임직원을 대상으로, 근로기준법상 퇴직금 산정 방식(간편식)으로</t>
  </si>
  <si>
    <t xml:space="preserve">  개인별 퇴직금 추계액을 계산해 합산한 값을 '재계산된 퇴직급여충당부채'로 봅니다.</t>
  </si>
  <si>
    <t xml:space="preserve">  감가상각비 앱과 달리 기초(전기말) 잔액을 신뢰하지 않습니다 — 당기말 잔액은 회사계상 입력값과</t>
  </si>
  <si>
    <t xml:space="preserve">  무관하게 재직일수·급여만으로 전액 독립 계산되며, 회사계상 전기말/당기말 잔액은 대사(비교)용으로만 쓰입니다.</t>
  </si>
  <si>
    <t>0. 시트 구성 — '당기정보'와 '전기정보' 두 시트로 나뉩니다(회사별 파일을 따로 만들 필요 없음).</t>
  </si>
  <si>
    <t xml:space="preserve">   '당기정보': 이번 결산기준일 현재 재직 중인 인원 전체. 퇴직금 추계액 계산에 실제로 쓰이는 시트입니다.</t>
  </si>
  <si>
    <t xml:space="preserve">   '전기정보': 직전 결산기준일 현재 재직 중이었던 인원 전체(회사가 작년에 준 인원현황을 그대로 붙여넣으면 됨).</t>
  </si>
  <si>
    <t xml:space="preserve">     이 시트는 급여 등 금액 정보를 계산에 쓰지 않고, 사번(없으면 성명) 기준으로 '당기정보'와 매칭해</t>
  </si>
  <si>
    <t xml:space="preserve">     신규입사자/퇴사자 명단을 만드는 데에만 사용됩니다.</t>
  </si>
  <si>
    <t xml:space="preserve">   ※ 사번이 두 시트에서 반드시 동일해야 정확히 매칭됩니다. 사번이 없으면 성명으로 매칭하니 동명이인에 주의하세요.</t>
  </si>
  <si>
    <t>1. 인원 1명 = 1행. 두 시트 모두 같은 컬럼 구조입니다. 계속 재직 중인 사람은 두 시트 모두에,</t>
  </si>
  <si>
    <t xml:space="preserve">   당기 신규입사자는 '당기정보'에만, 당기 중 퇴사한 사람은 '전기정보'에만 입력하면 됩니다.</t>
  </si>
  <si>
    <t>2. 재직정보</t>
  </si>
  <si>
    <t xml:space="preserve">   '원가구분': 급여를 제조원가(생산직 등)로 처리하는지 판관비(관리직 등)로 처리하는지 선택.</t>
  </si>
  <si>
    <t xml:space="preserve">   '입사일': 필수. 근속일수 계산의 기준이 됩니다.</t>
  </si>
  <si>
    <t xml:space="preserve">   '중간정산일': 퇴직금 중간정산을 받은 이력이 있는 인원만 입력. 중간정산은 재직 상태를 그대로</t>
  </si>
  <si>
    <t xml:space="preserve">     유지한 채 근속기간만 다시 기산되는 것(퇴사가 아님)이므로, 재직일수 계산의 기산일이</t>
  </si>
  <si>
    <t xml:space="preserve">     입사일 대신 이 날짜로 바뀔 뿐입니다. 정산 이력이 없으면 비워둡니다.</t>
  </si>
  <si>
    <t>3. 임금정보 ('당기정보' 시트에서만 실제 계산에 쓰임)</t>
  </si>
  <si>
    <t xml:space="preserve">   '월평균급여(원)': 결산기준일 현재(또는 최근 급여 수준)의 월 급여(기본급 등, 상여금 제외).</t>
  </si>
  <si>
    <t xml:space="preserve">   '상여금(연간, 원)': 연간 지급된 상여금 총액. 상여금이 없으면 0 또는 비워둡니다.</t>
  </si>
  <si>
    <t xml:space="preserve">   급여기준액 = 월평균급여 + 상여금(연간) × 3 / 12  (상여금 중 최근 3개월분 상당액만 가산)</t>
  </si>
  <si>
    <t xml:space="preserve">   앱은 이 급여기준액을 연간환산해 1일평균임금 = 급여기준액 × 12 / 365 로 추정한 뒤,</t>
  </si>
  <si>
    <t xml:space="preserve">   퇴직금 추계액 = 1일평균임금 × 30일 × (재직일수 / 365) × 배수 로 인원별 추계액을 계산합니다.</t>
  </si>
  <si>
    <t xml:space="preserve">   재직일수 = 당기 결산기준일 − 기산일(중간정산일이 있으면 그 날짜, 없으면 입사일).</t>
  </si>
  <si>
    <t xml:space="preserve">   '배수(임원)': 임원퇴직금지급규정 등에 따라 배수를 적용하는 회사만 사용합니다.</t>
  </si>
  <si>
    <t xml:space="preserve">     '부서' 값이 정확히 '임원'인 행에서만 이 값을 읽어 적용합니다(오탈자·다른 부서명이면 무시되고 1배로 계산됨).</t>
  </si>
  <si>
    <t xml:space="preserve">     일반 직원 행은 이 칸에 값이 있어도 무시됩니다. 임원인데 배수를 비워두면 1배로 계산되고 비고에 안내가 남습니다.</t>
  </si>
  <si>
    <t>4. 신규입사자/퇴사자 명단 (요약표에 자동 산출)</t>
  </si>
  <si>
    <t xml:space="preserve">   신규입사자 = '당기정보'에는 있으나 '전기정보'에는 없는 사번(또는 성명).</t>
  </si>
  <si>
    <t xml:space="preserve">   퇴사자 = '전기정보'에는 있으나 '당기정보'에는 없는 사번(또는 성명).</t>
  </si>
  <si>
    <t xml:space="preserve">   '전기정보' 시트를 비워두면(또는 시트 자체를 지우면) 인원변동 명단만 생략되고 당기 계산은 정상 진행됩니다.</t>
  </si>
  <si>
    <t>5. '기준정보' 시트 — 전기말/당기말 회사계상 퇴직급여충당부채(제조원가분/판관비분) 4칸만 입력합니다.</t>
  </si>
  <si>
    <t xml:space="preserve">   두 값 모두 앱 재계산액과의 대사(비교)용 참고값일 뿐, 계산 자체에는 반영되지 않습니다.</t>
  </si>
  <si>
    <t xml:space="preserve">   모르면 비워둬도 앱 실행에는 문제 없습니다(해당 대사만 생략됨).</t>
  </si>
  <si>
    <t>6. 결산기준일은 이 파일에 입력하지 않습니다. 실행 시 파일명의 'fy&lt;연도&gt;'와 --fiscal-month 옵션(기본 12월)으로</t>
  </si>
  <si>
    <t xml:space="preserve">   depreciation_analyzer/lease_analyzer와 동일한 규칙으로 당기말·전기말 결산기준일을 자동 계산합니다.</t>
  </si>
  <si>
    <t xml:space="preserve">   예) --fiscal-month 12 --fiscal-year 2026 → 당기말 2026-12-31, 전기말 2025-12-31.</t>
  </si>
  <si>
    <t>7. 파일명 규칙: 이 템플릿을 복사해 'severance_&lt;회사명&gt;_information_fy&lt;회계연도&gt;.xlsx' 로 저장하세요.</t>
  </si>
  <si>
    <t xml:space="preserve">   예) severance_kyungnam_information_fy2026.xlsx (전기·당기 데이터가 모두 이 한 파일 안에 들어갑니다).</t>
  </si>
  <si>
    <t>실제퇴사</t>
  </si>
  <si>
    <t>중간정산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</si>
</sst>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12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1"/>
      <color rgb="FF80808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1" fontId="5" fillId="0" borderId="0">
      <alignment vertical="center"/>
    </xf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/>
    <xf numFmtId="0" fontId="3" fillId="0" borderId="0" xfId="0" applyFont="1"/>
    <xf numFmtId="3" fontId="0" fillId="4" borderId="1" xfId="0" applyNumberFormat="1" applyFill="1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41" fontId="0" fillId="0" borderId="1" xfId="1" applyFont="1" applyBorder="1" applyAlignment="1"/>
    <xf numFmtId="41" fontId="0" fillId="0" borderId="0" xfId="1" applyFont="1" applyAlignment="1"/>
    <xf numFmtId="0" fontId="0" fillId="0" borderId="5" xfId="0" applyBorder="1"/>
    <xf numFmtId="3" fontId="0" fillId="5" borderId="5" xfId="0" applyNumberFormat="1" applyFill="1" applyBorder="1"/>
    <xf numFmtId="0" fontId="0" fillId="0" borderId="5" xfId="0" applyBorder="1" applyAlignment="1">
      <alignment vertical="top" wrapText="1"/>
    </xf>
    <xf numFmtId="0" fontId="7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3" fontId="0" fillId="0" borderId="6" xfId="0" applyNumberFormat="1" applyBorder="1"/>
    <xf numFmtId="0" fontId="10" fillId="8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8" fillId="6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1" fillId="9" borderId="7" xfId="0" applyFont="1" applyFill="1" applyBorder="1" applyAlignment="1">
      <alignment horizontal="center" vertical="center" wrapText="1"/>
    </xf>
    <xf numFmtId="0" fontId="0" fillId="0" borderId="7" xfId="0" applyBorder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workbookViewId="0">
      <pane xSplit="4" ySplit="2" topLeftCell="F3" activePane="bottomRight" state="frozen"/>
      <selection pane="topRight" activeCell="E1" sqref="E1"/>
      <selection pane="bottomLeft" activeCell="A3" sqref="A3"/>
      <selection pane="bottomRight" activeCell="J6" sqref="J6"/>
    </sheetView>
  </sheetViews>
  <sheetFormatPr defaultRowHeight="17" x14ac:dyDescent="0.45"/>
  <cols>
    <col min="1" max="2" width="14" customWidth="1"/>
    <col min="3" max="4" width="12" customWidth="1"/>
    <col min="5" max="5" width="10" customWidth="1"/>
    <col min="6" max="6" width="14" customWidth="1"/>
    <col min="7" max="8" width="12" customWidth="1"/>
    <col min="9" max="10" width="14" customWidth="1"/>
    <col min="11" max="11" width="10" customWidth="1"/>
    <col min="12" max="12" width="18" customWidth="1"/>
  </cols>
  <sheetData>
    <row r="1" spans="1:13" ht="20" customHeight="1" x14ac:dyDescent="0.45">
      <c r="A1" s="25" t="s">
        <v>0</v>
      </c>
      <c r="B1" s="26"/>
      <c r="C1" s="26"/>
      <c r="D1" s="26"/>
      <c r="E1" s="27"/>
      <c r="F1" s="25" t="s">
        <v>1</v>
      </c>
      <c r="G1" s="26"/>
      <c r="H1" s="27"/>
      <c r="I1" s="25" t="s">
        <v>2</v>
      </c>
      <c r="J1" s="26"/>
      <c r="K1" s="27"/>
      <c r="L1" s="24" t="s">
        <v>3</v>
      </c>
      <c r="M1" s="19" t="s">
        <v>4</v>
      </c>
    </row>
    <row r="2" spans="1:13" ht="32" customHeight="1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20" t="s">
        <v>16</v>
      </c>
      <c r="M2" s="1" t="s">
        <v>17</v>
      </c>
    </row>
    <row r="3" spans="1:13" x14ac:dyDescent="0.45">
      <c r="A3" s="2" t="s">
        <v>18</v>
      </c>
      <c r="B3" s="2" t="s">
        <v>19</v>
      </c>
      <c r="C3" s="2"/>
      <c r="D3" s="2" t="s">
        <v>20</v>
      </c>
      <c r="E3" s="2"/>
      <c r="F3" s="2" t="s">
        <v>21</v>
      </c>
      <c r="G3" s="3">
        <v>32130</v>
      </c>
      <c r="H3" s="2"/>
      <c r="I3" s="13">
        <v>257436000</v>
      </c>
      <c r="J3" s="13">
        <f>0</f>
        <v>0</v>
      </c>
      <c r="K3" s="2">
        <v>3</v>
      </c>
      <c r="L3" s="21">
        <v>2941206300</v>
      </c>
      <c r="M3" s="2"/>
    </row>
    <row r="4" spans="1:13" x14ac:dyDescent="0.45">
      <c r="A4" s="2" t="s">
        <v>18</v>
      </c>
      <c r="B4" s="2" t="s">
        <v>19</v>
      </c>
      <c r="C4" s="2"/>
      <c r="D4" s="2" t="s">
        <v>22</v>
      </c>
      <c r="E4" s="2"/>
      <c r="F4" s="2" t="s">
        <v>21</v>
      </c>
      <c r="G4" s="3">
        <v>31947</v>
      </c>
      <c r="H4" s="2"/>
      <c r="I4" s="13">
        <v>90352320</v>
      </c>
      <c r="J4" s="13">
        <f>0</f>
        <v>0</v>
      </c>
      <c r="K4" s="2">
        <v>3</v>
      </c>
      <c r="L4" s="21">
        <v>1045828104</v>
      </c>
      <c r="M4" s="2"/>
    </row>
    <row r="5" spans="1:13" x14ac:dyDescent="0.45">
      <c r="A5" s="2" t="s">
        <v>18</v>
      </c>
      <c r="B5" s="2" t="s">
        <v>19</v>
      </c>
      <c r="C5" s="2"/>
      <c r="D5" s="2" t="s">
        <v>23</v>
      </c>
      <c r="E5" s="2"/>
      <c r="F5" s="2" t="s">
        <v>21</v>
      </c>
      <c r="G5" s="3">
        <v>41365</v>
      </c>
      <c r="H5" s="2"/>
      <c r="I5" s="13">
        <v>115488000</v>
      </c>
      <c r="J5" s="13">
        <f>0</f>
        <v>0</v>
      </c>
      <c r="K5" s="2">
        <v>3</v>
      </c>
      <c r="L5" s="21">
        <v>441741600</v>
      </c>
      <c r="M5" s="2"/>
    </row>
    <row r="6" spans="1:13" x14ac:dyDescent="0.45">
      <c r="A6" s="2" t="s">
        <v>18</v>
      </c>
      <c r="B6" s="2" t="s">
        <v>19</v>
      </c>
      <c r="C6" s="2"/>
      <c r="D6" s="2" t="s">
        <v>24</v>
      </c>
      <c r="E6" s="2"/>
      <c r="F6" s="2" t="s">
        <v>21</v>
      </c>
      <c r="G6" s="3">
        <v>41365</v>
      </c>
      <c r="H6" s="3"/>
      <c r="I6" s="13">
        <v>112672320</v>
      </c>
      <c r="J6" s="13">
        <f>0</f>
        <v>0</v>
      </c>
      <c r="K6" s="2">
        <v>3</v>
      </c>
      <c r="L6" s="21">
        <v>430971624</v>
      </c>
      <c r="M6" s="2"/>
    </row>
    <row r="7" spans="1:13" x14ac:dyDescent="0.45">
      <c r="A7" s="2" t="s">
        <v>18</v>
      </c>
      <c r="B7" s="2" t="s">
        <v>19</v>
      </c>
      <c r="C7" s="2"/>
      <c r="D7" s="2" t="s">
        <v>25</v>
      </c>
      <c r="E7" s="2"/>
      <c r="F7" s="2" t="s">
        <v>21</v>
      </c>
      <c r="G7" s="3">
        <v>42887</v>
      </c>
      <c r="H7" s="2"/>
      <c r="I7" s="13">
        <v>180594782</v>
      </c>
      <c r="J7" s="13">
        <f>0</f>
        <v>0</v>
      </c>
      <c r="K7" s="2">
        <v>3</v>
      </c>
      <c r="L7" s="21">
        <v>465031563.64999998</v>
      </c>
      <c r="M7" s="2"/>
    </row>
    <row r="8" spans="1:13" x14ac:dyDescent="0.45">
      <c r="A8" s="2" t="s">
        <v>18</v>
      </c>
      <c r="B8" s="2" t="s">
        <v>26</v>
      </c>
      <c r="D8" t="s">
        <v>27</v>
      </c>
      <c r="F8" s="2" t="s">
        <v>21</v>
      </c>
      <c r="G8" s="11">
        <v>45124</v>
      </c>
      <c r="I8" s="14">
        <v>5331860</v>
      </c>
      <c r="J8" s="14">
        <v>1966120</v>
      </c>
      <c r="L8" s="21">
        <v>13213499.25</v>
      </c>
    </row>
    <row r="9" spans="1:13" x14ac:dyDescent="0.45">
      <c r="A9" s="2" t="s">
        <v>18</v>
      </c>
      <c r="B9" s="2" t="s">
        <v>26</v>
      </c>
      <c r="D9" t="s">
        <v>28</v>
      </c>
      <c r="F9" s="2" t="s">
        <v>21</v>
      </c>
      <c r="G9" s="11">
        <v>40269</v>
      </c>
      <c r="I9" s="14">
        <v>5211860</v>
      </c>
      <c r="J9" s="14">
        <v>2226070</v>
      </c>
      <c r="L9" s="21">
        <v>83160488.25</v>
      </c>
    </row>
    <row r="10" spans="1:13" x14ac:dyDescent="0.45">
      <c r="A10" s="2" t="s">
        <v>18</v>
      </c>
      <c r="B10" s="2" t="s">
        <v>26</v>
      </c>
      <c r="D10" t="s">
        <v>29</v>
      </c>
      <c r="F10" s="2" t="s">
        <v>21</v>
      </c>
      <c r="G10" s="11">
        <v>39904</v>
      </c>
      <c r="I10" s="14">
        <v>4770420</v>
      </c>
      <c r="J10" s="14">
        <v>2411110</v>
      </c>
      <c r="L10" s="21">
        <v>81459822.75</v>
      </c>
    </row>
    <row r="11" spans="1:13" x14ac:dyDescent="0.45">
      <c r="A11" s="2" t="s">
        <v>18</v>
      </c>
      <c r="B11" s="2" t="s">
        <v>26</v>
      </c>
      <c r="D11" t="s">
        <v>30</v>
      </c>
      <c r="F11" s="2" t="s">
        <v>21</v>
      </c>
      <c r="G11" s="11">
        <v>38626</v>
      </c>
      <c r="I11" s="14">
        <v>4560420</v>
      </c>
      <c r="J11" s="14">
        <v>2129160</v>
      </c>
      <c r="L11" s="21">
        <v>93855773.25</v>
      </c>
    </row>
    <row r="12" spans="1:13" x14ac:dyDescent="0.45">
      <c r="A12" s="2" t="s">
        <v>18</v>
      </c>
      <c r="B12" s="2" t="s">
        <v>26</v>
      </c>
      <c r="D12" t="s">
        <v>31</v>
      </c>
      <c r="F12" s="2" t="s">
        <v>21</v>
      </c>
      <c r="G12" s="11">
        <v>44927</v>
      </c>
      <c r="I12" s="14">
        <v>4320420</v>
      </c>
      <c r="J12" s="14">
        <v>1514250</v>
      </c>
      <c r="L12" s="21">
        <v>13049826</v>
      </c>
    </row>
    <row r="13" spans="1:13" x14ac:dyDescent="0.45">
      <c r="A13" s="2" t="s">
        <v>18</v>
      </c>
      <c r="B13" s="2" t="s">
        <v>26</v>
      </c>
      <c r="D13" t="s">
        <v>32</v>
      </c>
      <c r="F13" s="2" t="s">
        <v>21</v>
      </c>
      <c r="G13" s="11">
        <v>44831</v>
      </c>
      <c r="I13" s="14">
        <v>5310420</v>
      </c>
      <c r="J13" s="14">
        <v>1133770</v>
      </c>
      <c r="L13" s="21">
        <v>17256486.66438356</v>
      </c>
    </row>
    <row r="14" spans="1:13" x14ac:dyDescent="0.45">
      <c r="A14" s="2" t="s">
        <v>18</v>
      </c>
      <c r="B14" s="2" t="s">
        <v>26</v>
      </c>
      <c r="D14" t="s">
        <v>33</v>
      </c>
      <c r="F14" s="2" t="s">
        <v>21</v>
      </c>
      <c r="G14" s="11">
        <v>39448</v>
      </c>
      <c r="I14" s="14">
        <v>4590420</v>
      </c>
      <c r="J14" s="14">
        <v>2321540</v>
      </c>
      <c r="L14" s="21">
        <v>84237912</v>
      </c>
    </row>
    <row r="15" spans="1:13" x14ac:dyDescent="0.45">
      <c r="A15" s="2" t="s">
        <v>18</v>
      </c>
      <c r="B15" s="2" t="s">
        <v>26</v>
      </c>
      <c r="D15" t="s">
        <v>34</v>
      </c>
      <c r="F15" s="2" t="s">
        <v>21</v>
      </c>
      <c r="G15" s="11">
        <v>40800</v>
      </c>
      <c r="I15" s="14">
        <v>4286660</v>
      </c>
      <c r="J15" s="14">
        <v>1836450</v>
      </c>
      <c r="L15" s="21">
        <v>62104527.817808218</v>
      </c>
    </row>
    <row r="16" spans="1:13" x14ac:dyDescent="0.45">
      <c r="A16" s="2" t="s">
        <v>18</v>
      </c>
      <c r="B16" s="2" t="s">
        <v>26</v>
      </c>
      <c r="D16" t="s">
        <v>35</v>
      </c>
      <c r="F16" s="2" t="s">
        <v>21</v>
      </c>
      <c r="G16" s="11">
        <v>41176</v>
      </c>
      <c r="I16" s="14">
        <v>4196660</v>
      </c>
      <c r="J16" s="14">
        <v>1635100</v>
      </c>
      <c r="L16" s="21">
        <v>56255996.539726026</v>
      </c>
    </row>
    <row r="17" spans="1:12" x14ac:dyDescent="0.45">
      <c r="A17" s="2" t="s">
        <v>18</v>
      </c>
      <c r="B17" s="2" t="s">
        <v>26</v>
      </c>
      <c r="D17" t="s">
        <v>36</v>
      </c>
      <c r="F17" s="2" t="s">
        <v>21</v>
      </c>
      <c r="G17" s="11">
        <v>43129</v>
      </c>
      <c r="I17" s="14">
        <v>3926660</v>
      </c>
      <c r="J17" s="14">
        <v>1378530</v>
      </c>
      <c r="L17" s="21">
        <v>31332438.892009139</v>
      </c>
    </row>
    <row r="18" spans="1:12" x14ac:dyDescent="0.45">
      <c r="A18" s="2" t="s">
        <v>18</v>
      </c>
      <c r="B18" s="2" t="s">
        <v>26</v>
      </c>
      <c r="D18" t="s">
        <v>37</v>
      </c>
      <c r="F18" s="2" t="s">
        <v>21</v>
      </c>
      <c r="G18" s="11">
        <v>45458</v>
      </c>
      <c r="I18" s="14">
        <v>2667470</v>
      </c>
      <c r="J18" s="14">
        <v>629820</v>
      </c>
      <c r="L18" s="21">
        <v>4115166.3356164382</v>
      </c>
    </row>
    <row r="19" spans="1:12" x14ac:dyDescent="0.45">
      <c r="A19" s="2" t="s">
        <v>18</v>
      </c>
      <c r="B19" s="2" t="s">
        <v>38</v>
      </c>
      <c r="D19" t="s">
        <v>39</v>
      </c>
      <c r="F19" s="2" t="s">
        <v>21</v>
      </c>
      <c r="G19" s="11">
        <v>43617</v>
      </c>
      <c r="I19" s="14">
        <v>5511860</v>
      </c>
      <c r="J19" s="14">
        <v>2780050</v>
      </c>
      <c r="L19" s="21">
        <v>36989584.083333343</v>
      </c>
    </row>
    <row r="20" spans="1:12" x14ac:dyDescent="0.45">
      <c r="A20" s="2" t="s">
        <v>18</v>
      </c>
      <c r="B20" s="2" t="s">
        <v>38</v>
      </c>
      <c r="D20" t="s">
        <v>40</v>
      </c>
      <c r="F20" s="2" t="s">
        <v>21</v>
      </c>
      <c r="G20" s="11">
        <v>43132</v>
      </c>
      <c r="I20" s="14">
        <v>4863810</v>
      </c>
      <c r="J20" s="14">
        <v>2457650</v>
      </c>
      <c r="L20" s="21">
        <v>39254205.833333343</v>
      </c>
    </row>
    <row r="21" spans="1:12" x14ac:dyDescent="0.45">
      <c r="A21" s="2" t="s">
        <v>18</v>
      </c>
      <c r="B21" s="2" t="s">
        <v>38</v>
      </c>
      <c r="D21" t="s">
        <v>41</v>
      </c>
      <c r="F21" s="2" t="s">
        <v>21</v>
      </c>
      <c r="G21" s="11">
        <v>37257</v>
      </c>
      <c r="I21" s="14">
        <v>5013810</v>
      </c>
      <c r="J21" s="14">
        <v>2532270</v>
      </c>
      <c r="L21" s="21">
        <v>122669976</v>
      </c>
    </row>
    <row r="22" spans="1:12" x14ac:dyDescent="0.45">
      <c r="A22" s="2" t="s">
        <v>18</v>
      </c>
      <c r="B22" s="2" t="s">
        <v>38</v>
      </c>
      <c r="D22" t="s">
        <v>42</v>
      </c>
      <c r="F22" s="2" t="s">
        <v>21</v>
      </c>
      <c r="G22" s="11">
        <v>40544</v>
      </c>
      <c r="I22" s="14">
        <v>4720420</v>
      </c>
      <c r="J22" s="14">
        <v>2386280</v>
      </c>
      <c r="L22" s="21">
        <v>72185025</v>
      </c>
    </row>
    <row r="23" spans="1:12" x14ac:dyDescent="0.45">
      <c r="A23" s="2" t="s">
        <v>18</v>
      </c>
      <c r="B23" s="2" t="s">
        <v>38</v>
      </c>
      <c r="D23" t="s">
        <v>43</v>
      </c>
      <c r="F23" s="2" t="s">
        <v>21</v>
      </c>
      <c r="G23" s="11">
        <v>38292</v>
      </c>
      <c r="I23" s="14">
        <v>4560420</v>
      </c>
      <c r="J23" s="14">
        <v>2306590</v>
      </c>
      <c r="L23" s="21">
        <v>98410543.166666672</v>
      </c>
    </row>
    <row r="24" spans="1:12" x14ac:dyDescent="0.45">
      <c r="A24" s="2" t="s">
        <v>18</v>
      </c>
      <c r="B24" s="2" t="s">
        <v>38</v>
      </c>
      <c r="D24" t="s">
        <v>44</v>
      </c>
      <c r="F24" s="2" t="s">
        <v>21</v>
      </c>
      <c r="G24" s="11">
        <v>41821</v>
      </c>
      <c r="I24" s="14">
        <v>4046660</v>
      </c>
      <c r="J24" s="14">
        <v>1419930</v>
      </c>
      <c r="L24" s="21">
        <v>46856106</v>
      </c>
    </row>
    <row r="25" spans="1:12" x14ac:dyDescent="0.45">
      <c r="A25" s="2" t="s">
        <v>18</v>
      </c>
      <c r="B25" s="2" t="s">
        <v>38</v>
      </c>
      <c r="D25" t="s">
        <v>45</v>
      </c>
      <c r="F25" s="2" t="s">
        <v>21</v>
      </c>
      <c r="G25" s="11">
        <v>44328</v>
      </c>
      <c r="I25" s="14">
        <v>3424650</v>
      </c>
      <c r="J25" s="14">
        <v>937720</v>
      </c>
      <c r="L25" s="21">
        <v>15893217.619863009</v>
      </c>
    </row>
    <row r="26" spans="1:12" x14ac:dyDescent="0.45">
      <c r="A26" s="2" t="s">
        <v>18</v>
      </c>
      <c r="B26" s="2" t="s">
        <v>38</v>
      </c>
      <c r="D26" t="s">
        <v>46</v>
      </c>
      <c r="F26" s="2" t="s">
        <v>21</v>
      </c>
      <c r="G26" s="11">
        <v>45078</v>
      </c>
      <c r="I26" s="14">
        <v>3262950</v>
      </c>
      <c r="J26" s="14">
        <v>1277700</v>
      </c>
      <c r="L26" s="21">
        <v>8520389.194520548</v>
      </c>
    </row>
    <row r="27" spans="1:12" x14ac:dyDescent="0.45">
      <c r="A27" s="2" t="s">
        <v>18</v>
      </c>
      <c r="B27" s="2" t="s">
        <v>47</v>
      </c>
      <c r="D27" t="s">
        <v>48</v>
      </c>
      <c r="F27" s="12" t="s">
        <v>49</v>
      </c>
      <c r="G27" s="11">
        <v>42278</v>
      </c>
      <c r="I27" s="14">
        <v>6185576.666666667</v>
      </c>
      <c r="J27" s="14">
        <v>3431600</v>
      </c>
      <c r="L27" s="21">
        <v>64891284.25</v>
      </c>
    </row>
    <row r="28" spans="1:12" x14ac:dyDescent="0.45">
      <c r="A28" s="2" t="s">
        <v>18</v>
      </c>
      <c r="B28" s="2" t="s">
        <v>47</v>
      </c>
      <c r="D28" t="s">
        <v>50</v>
      </c>
      <c r="F28" s="12" t="s">
        <v>49</v>
      </c>
      <c r="G28" s="11">
        <v>43952</v>
      </c>
      <c r="I28" s="14">
        <v>4622816.666666667</v>
      </c>
      <c r="J28" s="14">
        <v>1977360</v>
      </c>
      <c r="L28" s="21">
        <v>26539935.333333328</v>
      </c>
    </row>
    <row r="29" spans="1:12" x14ac:dyDescent="0.45">
      <c r="A29" s="2" t="s">
        <v>18</v>
      </c>
      <c r="B29" s="2" t="s">
        <v>47</v>
      </c>
      <c r="D29" t="s">
        <v>51</v>
      </c>
      <c r="F29" s="12" t="s">
        <v>49</v>
      </c>
      <c r="G29" s="11">
        <v>43647</v>
      </c>
      <c r="I29" s="14">
        <v>6376033.333333333</v>
      </c>
      <c r="J29" s="14">
        <v>3931000</v>
      </c>
      <c r="L29" s="21">
        <v>42626252.5</v>
      </c>
    </row>
    <row r="30" spans="1:12" x14ac:dyDescent="0.45">
      <c r="A30" s="2" t="s">
        <v>18</v>
      </c>
      <c r="B30" s="2" t="s">
        <v>47</v>
      </c>
      <c r="D30" t="s">
        <v>52</v>
      </c>
      <c r="F30" s="12" t="s">
        <v>49</v>
      </c>
      <c r="G30" s="11">
        <v>40634</v>
      </c>
      <c r="I30" s="14">
        <v>5847950</v>
      </c>
      <c r="J30" s="14">
        <v>2869200</v>
      </c>
      <c r="L30" s="21">
        <v>87832149.5</v>
      </c>
    </row>
    <row r="31" spans="1:12" x14ac:dyDescent="0.45">
      <c r="A31" s="2" t="s">
        <v>18</v>
      </c>
      <c r="B31" s="2" t="s">
        <v>47</v>
      </c>
      <c r="D31" t="s">
        <v>53</v>
      </c>
      <c r="F31" s="12" t="s">
        <v>49</v>
      </c>
      <c r="G31" s="11">
        <v>42125</v>
      </c>
      <c r="I31" s="14">
        <v>6120326.666666667</v>
      </c>
      <c r="J31" s="14">
        <v>2892120</v>
      </c>
      <c r="L31" s="21">
        <v>66379157.333333343</v>
      </c>
    </row>
    <row r="32" spans="1:12" x14ac:dyDescent="0.45">
      <c r="A32" s="2" t="s">
        <v>18</v>
      </c>
      <c r="B32" s="2" t="s">
        <v>47</v>
      </c>
      <c r="D32" t="s">
        <v>54</v>
      </c>
      <c r="F32" s="12" t="s">
        <v>49</v>
      </c>
      <c r="G32" s="11">
        <v>42786</v>
      </c>
      <c r="I32" s="14">
        <v>5349503.333333333</v>
      </c>
      <c r="J32" s="14">
        <v>1831620</v>
      </c>
      <c r="L32" s="21">
        <v>47722606.092237443</v>
      </c>
    </row>
    <row r="33" spans="1:12" x14ac:dyDescent="0.45">
      <c r="A33" s="2" t="s">
        <v>18</v>
      </c>
      <c r="B33" s="2" t="s">
        <v>47</v>
      </c>
      <c r="D33" t="s">
        <v>55</v>
      </c>
      <c r="F33" s="12" t="s">
        <v>49</v>
      </c>
      <c r="G33" s="11">
        <v>45154</v>
      </c>
      <c r="I33" s="14">
        <v>5307586.666666667</v>
      </c>
      <c r="J33" s="14">
        <v>2478800</v>
      </c>
      <c r="L33" s="21">
        <v>12823114.922374429</v>
      </c>
    </row>
    <row r="34" spans="1:12" x14ac:dyDescent="0.45">
      <c r="A34" s="2" t="s">
        <v>18</v>
      </c>
      <c r="B34" s="2" t="s">
        <v>47</v>
      </c>
      <c r="D34" t="s">
        <v>56</v>
      </c>
      <c r="F34" s="12" t="s">
        <v>49</v>
      </c>
      <c r="G34" s="11">
        <v>45108</v>
      </c>
      <c r="I34" s="14">
        <v>4084733.333333333</v>
      </c>
      <c r="J34" s="14">
        <v>1849460</v>
      </c>
      <c r="L34" s="21">
        <v>10366762.5</v>
      </c>
    </row>
    <row r="35" spans="1:12" x14ac:dyDescent="0.45">
      <c r="A35" s="2" t="s">
        <v>18</v>
      </c>
      <c r="B35" s="2" t="s">
        <v>47</v>
      </c>
      <c r="D35" t="s">
        <v>57</v>
      </c>
      <c r="F35" s="12" t="s">
        <v>49</v>
      </c>
      <c r="G35" s="11">
        <v>45231</v>
      </c>
      <c r="I35" s="14">
        <v>3656513.333333333</v>
      </c>
      <c r="J35" s="14">
        <v>2433500</v>
      </c>
      <c r="L35" s="21">
        <v>8180048.5</v>
      </c>
    </row>
    <row r="36" spans="1:12" x14ac:dyDescent="0.45">
      <c r="A36" s="2" t="s">
        <v>18</v>
      </c>
      <c r="B36" s="12" t="s">
        <v>58</v>
      </c>
      <c r="D36" t="s">
        <v>59</v>
      </c>
      <c r="F36" s="12" t="s">
        <v>49</v>
      </c>
      <c r="G36" s="11">
        <v>38292</v>
      </c>
      <c r="I36" s="14">
        <v>6766333.333333333</v>
      </c>
      <c r="J36" s="14">
        <v>4152750</v>
      </c>
      <c r="L36" s="21">
        <v>147272967.66666669</v>
      </c>
    </row>
    <row r="37" spans="1:12" x14ac:dyDescent="0.45">
      <c r="A37" s="2" t="s">
        <v>18</v>
      </c>
      <c r="B37" s="12" t="s">
        <v>58</v>
      </c>
      <c r="D37" t="s">
        <v>60</v>
      </c>
      <c r="F37" s="12" t="s">
        <v>49</v>
      </c>
      <c r="G37" s="11">
        <v>34806</v>
      </c>
      <c r="I37" s="14">
        <v>6488846.666666667</v>
      </c>
      <c r="J37" s="14">
        <v>3931440</v>
      </c>
      <c r="L37" s="21">
        <v>204768020.31963471</v>
      </c>
    </row>
    <row r="38" spans="1:12" x14ac:dyDescent="0.45">
      <c r="A38" s="2" t="s">
        <v>18</v>
      </c>
      <c r="B38" s="12" t="s">
        <v>58</v>
      </c>
      <c r="D38" t="s">
        <v>61</v>
      </c>
      <c r="F38" s="12" t="s">
        <v>49</v>
      </c>
      <c r="G38" s="11">
        <v>39539</v>
      </c>
      <c r="I38" s="14">
        <v>6380570</v>
      </c>
      <c r="J38" s="14">
        <v>3980500</v>
      </c>
      <c r="L38" s="21">
        <v>116552872.25</v>
      </c>
    </row>
    <row r="39" spans="1:12" x14ac:dyDescent="0.45">
      <c r="A39" s="2" t="s">
        <v>18</v>
      </c>
      <c r="B39" s="12" t="s">
        <v>58</v>
      </c>
      <c r="D39" t="s">
        <v>62</v>
      </c>
      <c r="F39" s="12" t="s">
        <v>49</v>
      </c>
      <c r="G39" s="11">
        <v>37288</v>
      </c>
      <c r="I39" s="14">
        <v>6485620</v>
      </c>
      <c r="J39" s="14">
        <v>3793680</v>
      </c>
      <c r="L39" s="21">
        <v>159138988.75</v>
      </c>
    </row>
    <row r="40" spans="1:12" x14ac:dyDescent="0.45">
      <c r="A40" s="2" t="s">
        <v>18</v>
      </c>
      <c r="B40" s="12" t="s">
        <v>58</v>
      </c>
      <c r="D40" t="s">
        <v>63</v>
      </c>
      <c r="F40" s="12" t="s">
        <v>49</v>
      </c>
      <c r="G40" s="11">
        <v>38169</v>
      </c>
      <c r="I40" s="14">
        <v>5946480</v>
      </c>
      <c r="J40" s="14">
        <v>3108840</v>
      </c>
      <c r="L40" s="21">
        <v>130518889</v>
      </c>
    </row>
    <row r="41" spans="1:12" x14ac:dyDescent="0.45">
      <c r="A41" s="2" t="s">
        <v>18</v>
      </c>
      <c r="B41" s="12" t="s">
        <v>58</v>
      </c>
      <c r="D41" t="s">
        <v>64</v>
      </c>
      <c r="F41" s="12" t="s">
        <v>49</v>
      </c>
      <c r="G41" s="11">
        <v>43252</v>
      </c>
      <c r="I41" s="14">
        <v>6250656.666666667</v>
      </c>
      <c r="J41" s="14">
        <v>3431370</v>
      </c>
      <c r="L41" s="21">
        <v>48491655.333333343</v>
      </c>
    </row>
    <row r="42" spans="1:12" x14ac:dyDescent="0.45">
      <c r="A42" s="2" t="s">
        <v>18</v>
      </c>
      <c r="B42" s="12" t="s">
        <v>58</v>
      </c>
      <c r="D42" t="s">
        <v>65</v>
      </c>
      <c r="F42" s="12" t="s">
        <v>49</v>
      </c>
      <c r="G42" s="11">
        <v>44562</v>
      </c>
      <c r="I42" s="14">
        <v>5626553.333333333</v>
      </c>
      <c r="J42" s="14">
        <v>2731000</v>
      </c>
      <c r="L42" s="21">
        <v>22907488</v>
      </c>
    </row>
    <row r="43" spans="1:12" x14ac:dyDescent="0.45">
      <c r="A43" s="2" t="s">
        <v>18</v>
      </c>
      <c r="B43" s="12" t="s">
        <v>58</v>
      </c>
      <c r="D43" t="s">
        <v>66</v>
      </c>
      <c r="F43" s="12" t="s">
        <v>49</v>
      </c>
      <c r="G43" s="11">
        <v>40896</v>
      </c>
      <c r="I43" s="14">
        <v>5992360</v>
      </c>
      <c r="J43" s="14">
        <v>3084690</v>
      </c>
      <c r="L43" s="21">
        <v>85807583.232876718</v>
      </c>
    </row>
    <row r="44" spans="1:12" x14ac:dyDescent="0.45">
      <c r="A44" s="2" t="s">
        <v>18</v>
      </c>
      <c r="B44" s="12" t="s">
        <v>58</v>
      </c>
      <c r="D44" t="s">
        <v>67</v>
      </c>
      <c r="F44" s="12" t="s">
        <v>49</v>
      </c>
      <c r="G44" s="11">
        <v>37073</v>
      </c>
      <c r="I44" s="14">
        <v>5604366.666666667</v>
      </c>
      <c r="J44" s="14">
        <v>3155680</v>
      </c>
      <c r="L44" s="21">
        <v>140624830.5</v>
      </c>
    </row>
    <row r="45" spans="1:12" x14ac:dyDescent="0.45">
      <c r="A45" s="2" t="s">
        <v>18</v>
      </c>
      <c r="B45" s="12" t="s">
        <v>58</v>
      </c>
      <c r="D45" t="s">
        <v>68</v>
      </c>
      <c r="F45" s="12" t="s">
        <v>49</v>
      </c>
      <c r="G45" s="11">
        <v>38687</v>
      </c>
      <c r="I45" s="14">
        <v>5685053.333333333</v>
      </c>
      <c r="J45" s="14">
        <v>3586000</v>
      </c>
      <c r="L45" s="21">
        <v>117563856.8333333</v>
      </c>
    </row>
    <row r="46" spans="1:12" x14ac:dyDescent="0.45">
      <c r="A46" s="2" t="s">
        <v>18</v>
      </c>
      <c r="B46" s="12" t="s">
        <v>58</v>
      </c>
      <c r="D46" t="s">
        <v>69</v>
      </c>
      <c r="F46" s="12" t="s">
        <v>49</v>
      </c>
      <c r="G46" s="11">
        <v>40909</v>
      </c>
      <c r="I46" s="14">
        <v>5918406.666666667</v>
      </c>
      <c r="J46" s="14">
        <v>1138400</v>
      </c>
      <c r="L46" s="21">
        <v>82355700</v>
      </c>
    </row>
    <row r="47" spans="1:12" x14ac:dyDescent="0.45">
      <c r="A47" s="2" t="s">
        <v>18</v>
      </c>
      <c r="B47" s="12" t="s">
        <v>58</v>
      </c>
      <c r="D47" t="s">
        <v>70</v>
      </c>
      <c r="F47" s="12" t="s">
        <v>49</v>
      </c>
      <c r="G47" s="11">
        <v>44075</v>
      </c>
      <c r="I47" s="14">
        <v>5817613.333333333</v>
      </c>
      <c r="J47" s="14">
        <v>3272900</v>
      </c>
      <c r="L47" s="21">
        <v>31775760</v>
      </c>
    </row>
    <row r="48" spans="1:12" x14ac:dyDescent="0.45">
      <c r="A48" s="2" t="s">
        <v>18</v>
      </c>
      <c r="B48" s="12" t="s">
        <v>58</v>
      </c>
      <c r="D48" t="s">
        <v>71</v>
      </c>
      <c r="F48" s="12" t="s">
        <v>49</v>
      </c>
      <c r="G48" s="11">
        <v>43132</v>
      </c>
      <c r="I48" s="14">
        <v>5664283.333333333</v>
      </c>
      <c r="J48" s="14">
        <v>3256880</v>
      </c>
      <c r="L48" s="21">
        <v>45969336.25</v>
      </c>
    </row>
    <row r="49" spans="1:12" x14ac:dyDescent="0.45">
      <c r="A49" s="2" t="s">
        <v>18</v>
      </c>
      <c r="B49" s="12" t="s">
        <v>58</v>
      </c>
      <c r="D49" t="s">
        <v>72</v>
      </c>
      <c r="F49" s="12" t="s">
        <v>49</v>
      </c>
      <c r="G49" s="11">
        <v>39692</v>
      </c>
      <c r="I49" s="14">
        <v>5390730</v>
      </c>
      <c r="J49" s="14">
        <v>2988300</v>
      </c>
      <c r="L49" s="21">
        <v>95630617.333333328</v>
      </c>
    </row>
    <row r="50" spans="1:12" x14ac:dyDescent="0.45">
      <c r="A50" s="2" t="s">
        <v>18</v>
      </c>
      <c r="B50" s="12" t="s">
        <v>58</v>
      </c>
      <c r="D50" t="s">
        <v>73</v>
      </c>
      <c r="F50" s="12" t="s">
        <v>49</v>
      </c>
      <c r="G50" s="11">
        <v>43374</v>
      </c>
      <c r="I50" s="14">
        <v>5257490</v>
      </c>
      <c r="J50" s="14">
        <v>2485390</v>
      </c>
      <c r="L50" s="21">
        <v>38757122.5</v>
      </c>
    </row>
    <row r="51" spans="1:12" x14ac:dyDescent="0.45">
      <c r="A51" s="2" t="s">
        <v>18</v>
      </c>
      <c r="B51" s="12" t="s">
        <v>58</v>
      </c>
      <c r="D51" t="s">
        <v>74</v>
      </c>
      <c r="F51" s="12" t="s">
        <v>49</v>
      </c>
      <c r="G51" s="11">
        <v>42310</v>
      </c>
      <c r="I51" s="14">
        <v>5076390</v>
      </c>
      <c r="J51" s="14">
        <v>2398180</v>
      </c>
      <c r="L51" s="21">
        <v>52469734.001141563</v>
      </c>
    </row>
    <row r="52" spans="1:12" x14ac:dyDescent="0.45">
      <c r="A52" s="2" t="s">
        <v>18</v>
      </c>
      <c r="B52" s="12" t="s">
        <v>58</v>
      </c>
      <c r="D52" t="s">
        <v>75</v>
      </c>
      <c r="F52" s="12" t="s">
        <v>49</v>
      </c>
      <c r="G52" s="11">
        <v>42317</v>
      </c>
      <c r="I52" s="14">
        <v>4412040</v>
      </c>
      <c r="J52" s="14">
        <v>2037920</v>
      </c>
      <c r="L52" s="21">
        <v>45478565.447488584</v>
      </c>
    </row>
    <row r="53" spans="1:12" x14ac:dyDescent="0.45">
      <c r="A53" s="2" t="s">
        <v>18</v>
      </c>
      <c r="B53" s="12" t="s">
        <v>58</v>
      </c>
      <c r="D53" t="s">
        <v>76</v>
      </c>
      <c r="F53" s="12" t="s">
        <v>49</v>
      </c>
      <c r="G53" s="11">
        <v>42317</v>
      </c>
      <c r="I53" s="14">
        <v>5136166.666666667</v>
      </c>
      <c r="J53" s="14">
        <v>2441880</v>
      </c>
      <c r="L53" s="21">
        <v>53000224.990182653</v>
      </c>
    </row>
    <row r="54" spans="1:12" x14ac:dyDescent="0.45">
      <c r="A54" s="2" t="s">
        <v>18</v>
      </c>
      <c r="B54" s="12" t="s">
        <v>58</v>
      </c>
      <c r="D54" t="s">
        <v>77</v>
      </c>
      <c r="F54" s="12" t="s">
        <v>49</v>
      </c>
      <c r="G54" s="11">
        <v>42845</v>
      </c>
      <c r="I54" s="14">
        <v>4994796.666666667</v>
      </c>
      <c r="J54" s="14">
        <v>2106640</v>
      </c>
      <c r="L54" s="21">
        <v>38943913.133333333</v>
      </c>
    </row>
    <row r="55" spans="1:12" x14ac:dyDescent="0.45">
      <c r="A55" s="2" t="s">
        <v>18</v>
      </c>
      <c r="B55" s="12" t="s">
        <v>58</v>
      </c>
      <c r="D55" t="s">
        <v>78</v>
      </c>
      <c r="F55" s="12" t="s">
        <v>49</v>
      </c>
      <c r="G55" s="11">
        <v>43206</v>
      </c>
      <c r="I55" s="14">
        <v>4999400</v>
      </c>
      <c r="J55" s="14">
        <v>1899000</v>
      </c>
      <c r="L55" s="21">
        <v>38903547.452968031</v>
      </c>
    </row>
    <row r="56" spans="1:12" x14ac:dyDescent="0.45">
      <c r="A56" s="2" t="s">
        <v>18</v>
      </c>
      <c r="B56" s="12" t="s">
        <v>58</v>
      </c>
      <c r="D56" t="s">
        <v>79</v>
      </c>
      <c r="F56" s="12" t="s">
        <v>49</v>
      </c>
      <c r="G56" s="11">
        <v>43724</v>
      </c>
      <c r="I56" s="14">
        <v>4598626.666666667</v>
      </c>
      <c r="J56" s="14">
        <v>1216300</v>
      </c>
      <c r="L56" s="21">
        <v>28937866.62945205</v>
      </c>
    </row>
    <row r="57" spans="1:12" x14ac:dyDescent="0.45">
      <c r="A57" s="2" t="s">
        <v>18</v>
      </c>
      <c r="B57" s="12" t="s">
        <v>58</v>
      </c>
      <c r="D57" t="s">
        <v>80</v>
      </c>
      <c r="F57" s="12" t="s">
        <v>49</v>
      </c>
      <c r="G57" s="11">
        <v>43752</v>
      </c>
      <c r="I57" s="14">
        <v>5028280</v>
      </c>
      <c r="J57" s="14">
        <v>1864650</v>
      </c>
      <c r="L57" s="21">
        <v>31521112.843378998</v>
      </c>
    </row>
    <row r="58" spans="1:12" x14ac:dyDescent="0.45">
      <c r="A58" s="2" t="s">
        <v>18</v>
      </c>
      <c r="B58" s="12" t="s">
        <v>58</v>
      </c>
      <c r="D58" t="s">
        <v>81</v>
      </c>
      <c r="F58" s="12" t="s">
        <v>49</v>
      </c>
      <c r="G58" s="11">
        <v>43864</v>
      </c>
      <c r="I58" s="14">
        <v>5150813.333333333</v>
      </c>
      <c r="J58" s="14">
        <v>1964320</v>
      </c>
      <c r="L58" s="21">
        <v>30740411.587671231</v>
      </c>
    </row>
    <row r="59" spans="1:12" x14ac:dyDescent="0.45">
      <c r="A59" s="2" t="s">
        <v>18</v>
      </c>
      <c r="B59" s="12" t="s">
        <v>58</v>
      </c>
      <c r="D59" t="s">
        <v>82</v>
      </c>
      <c r="F59" s="12" t="s">
        <v>49</v>
      </c>
      <c r="G59" s="11">
        <v>44606</v>
      </c>
      <c r="I59" s="14">
        <v>4877716.666666667</v>
      </c>
      <c r="J59" s="14">
        <v>1431960</v>
      </c>
      <c r="L59" s="21">
        <v>18979996.687214609</v>
      </c>
    </row>
    <row r="60" spans="1:12" x14ac:dyDescent="0.45">
      <c r="A60" s="2" t="s">
        <v>18</v>
      </c>
      <c r="B60" s="12" t="s">
        <v>58</v>
      </c>
      <c r="D60" t="s">
        <v>83</v>
      </c>
      <c r="F60" s="12" t="s">
        <v>49</v>
      </c>
      <c r="G60" s="11">
        <v>45110</v>
      </c>
      <c r="I60" s="14">
        <v>4859933.333333333</v>
      </c>
      <c r="J60" s="14">
        <v>2340600</v>
      </c>
      <c r="L60" s="21">
        <v>12343536.720547941</v>
      </c>
    </row>
    <row r="61" spans="1:12" x14ac:dyDescent="0.45">
      <c r="A61" s="2" t="s">
        <v>18</v>
      </c>
      <c r="B61" s="12" t="s">
        <v>58</v>
      </c>
      <c r="D61" t="s">
        <v>84</v>
      </c>
      <c r="F61" s="12" t="s">
        <v>49</v>
      </c>
      <c r="G61" s="11">
        <v>45131</v>
      </c>
      <c r="I61" s="14">
        <v>5146876.666666667</v>
      </c>
      <c r="J61" s="14">
        <v>2313360</v>
      </c>
      <c r="L61" s="21">
        <v>12738133.77557078</v>
      </c>
    </row>
    <row r="62" spans="1:12" x14ac:dyDescent="0.45">
      <c r="A62" s="2" t="s">
        <v>18</v>
      </c>
      <c r="B62" s="12" t="s">
        <v>85</v>
      </c>
      <c r="D62" t="s">
        <v>86</v>
      </c>
      <c r="F62" s="12" t="s">
        <v>49</v>
      </c>
      <c r="G62" s="11">
        <v>42461</v>
      </c>
      <c r="I62" s="14">
        <v>2857773.333333333</v>
      </c>
      <c r="J62" s="14">
        <v>2671200</v>
      </c>
      <c r="L62" s="21">
        <v>29380728</v>
      </c>
    </row>
    <row r="63" spans="1:12" x14ac:dyDescent="0.45">
      <c r="A63" s="2" t="s">
        <v>18</v>
      </c>
      <c r="B63" s="12" t="s">
        <v>85</v>
      </c>
      <c r="D63" t="s">
        <v>87</v>
      </c>
      <c r="F63" s="12" t="s">
        <v>49</v>
      </c>
      <c r="G63" s="11">
        <v>37500</v>
      </c>
      <c r="I63" s="14">
        <v>2944440</v>
      </c>
      <c r="J63" s="14">
        <v>3782460</v>
      </c>
      <c r="L63" s="21">
        <v>74404936.666666672</v>
      </c>
    </row>
    <row r="64" spans="1:12" x14ac:dyDescent="0.45">
      <c r="A64" s="2" t="s">
        <v>18</v>
      </c>
      <c r="B64" s="12" t="s">
        <v>85</v>
      </c>
      <c r="D64" t="s">
        <v>88</v>
      </c>
      <c r="F64" s="12" t="s">
        <v>49</v>
      </c>
      <c r="G64" s="11">
        <v>44958</v>
      </c>
      <c r="I64" s="14">
        <v>2537773.333333333</v>
      </c>
      <c r="J64" s="14">
        <v>3788790</v>
      </c>
      <c r="L64" s="21">
        <v>8141796.25</v>
      </c>
    </row>
    <row r="65" spans="1:12" x14ac:dyDescent="0.45">
      <c r="A65" s="2" t="s">
        <v>18</v>
      </c>
      <c r="B65" s="12" t="s">
        <v>85</v>
      </c>
      <c r="D65" t="s">
        <v>89</v>
      </c>
      <c r="F65" s="12" t="s">
        <v>49</v>
      </c>
      <c r="G65" s="11">
        <v>38749</v>
      </c>
      <c r="I65" s="14">
        <v>4353913.333333333</v>
      </c>
      <c r="J65" s="14">
        <v>3828960</v>
      </c>
      <c r="L65" s="21">
        <v>91047169.5</v>
      </c>
    </row>
    <row r="66" spans="1:12" x14ac:dyDescent="0.45">
      <c r="A66" s="2" t="s">
        <v>18</v>
      </c>
      <c r="B66" s="12" t="s">
        <v>85</v>
      </c>
      <c r="D66" t="s">
        <v>90</v>
      </c>
      <c r="F66" s="12" t="s">
        <v>49</v>
      </c>
      <c r="G66" s="11">
        <v>43710</v>
      </c>
      <c r="I66" s="14">
        <v>2302976.666666667</v>
      </c>
      <c r="J66" s="14">
        <v>1421910</v>
      </c>
      <c r="L66" s="21">
        <v>14999873.19178082</v>
      </c>
    </row>
    <row r="67" spans="1:12" x14ac:dyDescent="0.45">
      <c r="A67" s="2" t="s">
        <v>18</v>
      </c>
      <c r="B67" s="12" t="s">
        <v>85</v>
      </c>
      <c r="D67" t="s">
        <v>91</v>
      </c>
      <c r="F67" s="12" t="s">
        <v>49</v>
      </c>
      <c r="G67" s="11">
        <v>39173</v>
      </c>
      <c r="I67" s="14">
        <v>3756406.666666667</v>
      </c>
      <c r="J67" s="14"/>
      <c r="L67" s="21">
        <v>68901468.75</v>
      </c>
    </row>
    <row r="68" spans="1:12" x14ac:dyDescent="0.45">
      <c r="A68" s="2" t="s">
        <v>18</v>
      </c>
      <c r="B68" s="12" t="s">
        <v>85</v>
      </c>
      <c r="D68" t="s">
        <v>92</v>
      </c>
      <c r="F68" s="12" t="s">
        <v>49</v>
      </c>
      <c r="G68" s="11">
        <v>42583</v>
      </c>
      <c r="I68" s="14">
        <v>3781346.666666667</v>
      </c>
      <c r="J68" s="14">
        <v>2843820</v>
      </c>
      <c r="L68" s="21">
        <v>37016690.666666657</v>
      </c>
    </row>
    <row r="69" spans="1:12" x14ac:dyDescent="0.45">
      <c r="A69" s="2" t="s">
        <v>18</v>
      </c>
      <c r="B69" s="12" t="s">
        <v>85</v>
      </c>
      <c r="D69" t="s">
        <v>93</v>
      </c>
      <c r="F69" s="12" t="s">
        <v>49</v>
      </c>
      <c r="G69" s="11">
        <v>44896</v>
      </c>
      <c r="I69" s="14">
        <v>3597596.666666667</v>
      </c>
      <c r="J69" s="14">
        <v>1502270</v>
      </c>
      <c r="L69" s="21">
        <v>11234873.232876711</v>
      </c>
    </row>
    <row r="70" spans="1:12" x14ac:dyDescent="0.45">
      <c r="A70" s="2" t="s">
        <v>18</v>
      </c>
      <c r="B70" s="12" t="s">
        <v>94</v>
      </c>
      <c r="D70" t="s">
        <v>95</v>
      </c>
      <c r="F70" s="12" t="s">
        <v>49</v>
      </c>
      <c r="G70" s="11">
        <v>42461</v>
      </c>
      <c r="I70" s="14">
        <v>1578306.666666667</v>
      </c>
      <c r="J70" s="14">
        <v>987600</v>
      </c>
      <c r="L70" s="21">
        <v>15838933.5</v>
      </c>
    </row>
    <row r="71" spans="1:12" x14ac:dyDescent="0.45">
      <c r="A71" s="2" t="s">
        <v>18</v>
      </c>
      <c r="B71" s="12" t="s">
        <v>94</v>
      </c>
      <c r="D71" t="s">
        <v>96</v>
      </c>
      <c r="F71" s="12" t="s">
        <v>49</v>
      </c>
      <c r="G71" s="11">
        <v>41548</v>
      </c>
      <c r="I71" s="14">
        <v>1481253.333333333</v>
      </c>
      <c r="J71" s="14">
        <v>1654520</v>
      </c>
      <c r="L71" s="21">
        <v>19403154.75</v>
      </c>
    </row>
    <row r="72" spans="1:12" x14ac:dyDescent="0.45">
      <c r="A72" s="2" t="s">
        <v>18</v>
      </c>
      <c r="B72" s="12" t="s">
        <v>94</v>
      </c>
      <c r="D72" t="s">
        <v>97</v>
      </c>
      <c r="F72" s="12" t="s">
        <v>49</v>
      </c>
      <c r="G72" s="11">
        <v>43811</v>
      </c>
      <c r="I72" s="14">
        <v>2077410</v>
      </c>
      <c r="J72" s="14">
        <v>511020</v>
      </c>
      <c r="L72" s="21">
        <v>12557086.794520549</v>
      </c>
    </row>
    <row r="73" spans="1:12" x14ac:dyDescent="0.45">
      <c r="A73" s="2" t="s">
        <v>18</v>
      </c>
      <c r="B73" s="12" t="s">
        <v>94</v>
      </c>
      <c r="D73" t="s">
        <v>98</v>
      </c>
      <c r="F73" s="12" t="s">
        <v>49</v>
      </c>
      <c r="G73" s="11">
        <v>44562</v>
      </c>
      <c r="I73" s="14">
        <v>2374120</v>
      </c>
      <c r="J73" s="14">
        <v>1248750</v>
      </c>
      <c r="L73" s="21">
        <v>9697232</v>
      </c>
    </row>
    <row r="74" spans="1:12" x14ac:dyDescent="0.45">
      <c r="A74" s="2" t="s">
        <v>18</v>
      </c>
      <c r="B74" s="12" t="s">
        <v>94</v>
      </c>
      <c r="D74" t="s">
        <v>99</v>
      </c>
      <c r="F74" s="12" t="s">
        <v>49</v>
      </c>
      <c r="G74" s="11">
        <v>44562</v>
      </c>
      <c r="I74" s="14">
        <v>2024400</v>
      </c>
      <c r="J74" s="14">
        <v>1248750</v>
      </c>
      <c r="L74" s="21">
        <v>8328764</v>
      </c>
    </row>
    <row r="75" spans="1:12" x14ac:dyDescent="0.45">
      <c r="A75" s="2" t="s">
        <v>18</v>
      </c>
      <c r="B75" s="12" t="s">
        <v>100</v>
      </c>
      <c r="D75" t="s">
        <v>101</v>
      </c>
      <c r="F75" s="12" t="s">
        <v>49</v>
      </c>
      <c r="G75" s="11">
        <v>44927</v>
      </c>
      <c r="I75" s="14">
        <v>4362649.333333333</v>
      </c>
      <c r="J75" s="14">
        <f>0</f>
        <v>0</v>
      </c>
      <c r="L75" s="21">
        <v>12803427</v>
      </c>
    </row>
    <row r="76" spans="1:12" x14ac:dyDescent="0.45">
      <c r="A76" s="2" t="s">
        <v>18</v>
      </c>
      <c r="B76" s="12" t="s">
        <v>100</v>
      </c>
      <c r="D76" t="s">
        <v>102</v>
      </c>
      <c r="F76" s="12" t="s">
        <v>49</v>
      </c>
      <c r="G76" s="11">
        <v>42736</v>
      </c>
      <c r="I76" s="14">
        <v>4093546.333333333</v>
      </c>
      <c r="J76" s="14">
        <f>0</f>
        <v>0</v>
      </c>
      <c r="L76" s="21">
        <v>36041004</v>
      </c>
    </row>
    <row r="77" spans="1:12" x14ac:dyDescent="0.45">
      <c r="A77" s="2" t="s">
        <v>18</v>
      </c>
      <c r="B77" s="12" t="s">
        <v>100</v>
      </c>
      <c r="D77" t="s">
        <v>103</v>
      </c>
      <c r="F77" s="12" t="s">
        <v>49</v>
      </c>
      <c r="G77" s="11">
        <v>42736</v>
      </c>
      <c r="I77" s="14">
        <v>3954739.333333333</v>
      </c>
      <c r="J77" s="14">
        <f>0</f>
        <v>0</v>
      </c>
      <c r="L77" s="21">
        <v>34818894</v>
      </c>
    </row>
    <row r="78" spans="1:12" x14ac:dyDescent="0.45">
      <c r="A78" s="2" t="s">
        <v>18</v>
      </c>
      <c r="B78" s="12" t="s">
        <v>100</v>
      </c>
      <c r="D78" t="s">
        <v>104</v>
      </c>
      <c r="F78" s="12" t="s">
        <v>49</v>
      </c>
      <c r="G78" s="11">
        <v>45243</v>
      </c>
      <c r="I78" s="14">
        <v>3068727</v>
      </c>
      <c r="J78" s="14">
        <f>0</f>
        <v>0</v>
      </c>
      <c r="L78" s="21">
        <v>6410467.1906392695</v>
      </c>
    </row>
    <row r="79" spans="1:12" x14ac:dyDescent="0.45">
      <c r="A79" s="2" t="s">
        <v>18</v>
      </c>
      <c r="B79" s="12" t="s">
        <v>100</v>
      </c>
      <c r="D79" t="s">
        <v>105</v>
      </c>
      <c r="F79" s="12" t="s">
        <v>49</v>
      </c>
      <c r="G79" s="11">
        <v>45271</v>
      </c>
      <c r="I79" s="14">
        <v>3112300.333333333</v>
      </c>
      <c r="J79" s="14">
        <f>0</f>
        <v>0</v>
      </c>
      <c r="L79" s="21">
        <v>6264453.1260273969</v>
      </c>
    </row>
    <row r="80" spans="1:12" x14ac:dyDescent="0.45">
      <c r="A80" s="2" t="s">
        <v>18</v>
      </c>
      <c r="B80" s="12" t="s">
        <v>100</v>
      </c>
      <c r="D80" t="s">
        <v>106</v>
      </c>
      <c r="F80" s="12" t="s">
        <v>49</v>
      </c>
      <c r="G80" s="11">
        <v>44927</v>
      </c>
      <c r="I80" s="14">
        <v>2373683.333333333</v>
      </c>
      <c r="J80" s="14">
        <f>0</f>
        <v>0</v>
      </c>
      <c r="L80" s="21">
        <v>6966243</v>
      </c>
    </row>
    <row r="81" spans="1:12" x14ac:dyDescent="0.45">
      <c r="A81" s="2" t="s">
        <v>18</v>
      </c>
      <c r="B81" s="12" t="s">
        <v>100</v>
      </c>
      <c r="D81" t="s">
        <v>107</v>
      </c>
      <c r="F81" s="12" t="s">
        <v>49</v>
      </c>
      <c r="G81" s="11">
        <v>44927</v>
      </c>
      <c r="I81" s="14">
        <v>2201283.333333333</v>
      </c>
      <c r="J81" s="14">
        <f>0</f>
        <v>0</v>
      </c>
      <c r="L81" s="21">
        <v>6460287</v>
      </c>
    </row>
    <row r="82" spans="1:12" x14ac:dyDescent="0.45">
      <c r="A82" s="2" t="s">
        <v>18</v>
      </c>
      <c r="B82" s="12" t="s">
        <v>100</v>
      </c>
      <c r="D82" t="s">
        <v>108</v>
      </c>
      <c r="F82" s="12" t="s">
        <v>49</v>
      </c>
      <c r="G82" s="11">
        <v>44927</v>
      </c>
      <c r="I82" s="14">
        <v>2338663.333333333</v>
      </c>
      <c r="J82" s="14">
        <f>0</f>
        <v>0</v>
      </c>
      <c r="L82" s="21">
        <v>6863466</v>
      </c>
    </row>
    <row r="83" spans="1:12" x14ac:dyDescent="0.45">
      <c r="A83" s="2"/>
      <c r="B83" s="12"/>
      <c r="G83" s="11"/>
      <c r="L83" s="21"/>
    </row>
    <row r="84" spans="1:12" x14ac:dyDescent="0.45">
      <c r="A84" s="2"/>
      <c r="B84" s="12"/>
      <c r="L84" s="21"/>
    </row>
  </sheetData>
  <mergeCells count="4">
    <mergeCell ref="L1"/>
    <mergeCell ref="A1:E1"/>
    <mergeCell ref="F1:H1"/>
    <mergeCell ref="I1:K1"/>
  </mergeCells>
  <phoneticPr fontId="6" type="noConversion"/>
  <dataValidations count="1">
    <dataValidation type="list" allowBlank="1" showErrorMessage="1" error="제조원가 또는 판관비 중 선택하세요." sqref="F3:F300" xr:uid="{00000000-0002-0000-0000-000000000000}">
      <formula1>"제조원가,판관비"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"/>
  <sheetViews>
    <sheetView topLeftCell="D1" workbookViewId="0">
      <pane ySplit="2" topLeftCell="A84" activePane="bottomLeft" state="frozen"/>
      <selection pane="bottomLeft" activeCell="J97" sqref="J97"/>
    </sheetView>
  </sheetViews>
  <sheetFormatPr defaultRowHeight="17" x14ac:dyDescent="0.45"/>
  <cols>
    <col min="1" max="2" width="14" customWidth="1"/>
    <col min="3" max="4" width="12" customWidth="1"/>
    <col min="5" max="5" width="10" customWidth="1"/>
    <col min="6" max="6" width="14" customWidth="1"/>
    <col min="7" max="8" width="12" customWidth="1"/>
    <col min="9" max="10" width="14" customWidth="1"/>
    <col min="11" max="11" width="10" customWidth="1"/>
    <col min="12" max="12" width="18" customWidth="1"/>
  </cols>
  <sheetData>
    <row r="1" spans="1:13" ht="20" customHeight="1" x14ac:dyDescent="0.45">
      <c r="A1" s="25" t="s">
        <v>0</v>
      </c>
      <c r="B1" s="26"/>
      <c r="C1" s="26"/>
      <c r="D1" s="26"/>
      <c r="E1" s="27"/>
      <c r="F1" s="25" t="s">
        <v>1</v>
      </c>
      <c r="G1" s="26"/>
      <c r="H1" s="27"/>
      <c r="I1" s="25" t="s">
        <v>2</v>
      </c>
      <c r="J1" s="26"/>
      <c r="K1" s="27"/>
      <c r="L1" s="24" t="s">
        <v>3</v>
      </c>
      <c r="M1" s="19" t="s">
        <v>4</v>
      </c>
    </row>
    <row r="2" spans="1:13" ht="32" customHeight="1" x14ac:dyDescent="0.4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20" t="s">
        <v>16</v>
      </c>
      <c r="M2" s="1" t="s">
        <v>17</v>
      </c>
    </row>
    <row r="3" spans="1:13" x14ac:dyDescent="0.45">
      <c r="A3" s="2" t="s">
        <v>18</v>
      </c>
      <c r="B3" s="2" t="s">
        <v>19</v>
      </c>
      <c r="C3" s="2"/>
      <c r="D3" s="2" t="s">
        <v>20</v>
      </c>
      <c r="E3" s="2"/>
      <c r="F3" s="2" t="s">
        <v>21</v>
      </c>
      <c r="G3" s="10">
        <v>32130</v>
      </c>
      <c r="H3" s="2"/>
      <c r="I3" s="13">
        <v>257436000</v>
      </c>
      <c r="J3" s="13">
        <f>0</f>
        <v>0</v>
      </c>
      <c r="K3" s="2">
        <v>3</v>
      </c>
      <c r="L3" s="21">
        <v>2863975500</v>
      </c>
      <c r="M3" s="2"/>
    </row>
    <row r="4" spans="1:13" x14ac:dyDescent="0.45">
      <c r="A4" s="2" t="s">
        <v>18</v>
      </c>
      <c r="B4" s="2" t="s">
        <v>19</v>
      </c>
      <c r="C4" s="2"/>
      <c r="D4" s="2" t="s">
        <v>22</v>
      </c>
      <c r="E4" s="2"/>
      <c r="F4" s="2" t="s">
        <v>21</v>
      </c>
      <c r="G4" s="10">
        <v>31947</v>
      </c>
      <c r="H4" s="2"/>
      <c r="I4" s="13">
        <v>90352320</v>
      </c>
      <c r="J4" s="13">
        <f>0</f>
        <v>0</v>
      </c>
      <c r="K4" s="2">
        <v>3</v>
      </c>
      <c r="L4" s="21">
        <v>1018722408</v>
      </c>
      <c r="M4" s="2"/>
    </row>
    <row r="5" spans="1:13" x14ac:dyDescent="0.45">
      <c r="A5" s="2" t="s">
        <v>18</v>
      </c>
      <c r="B5" s="2" t="s">
        <v>19</v>
      </c>
      <c r="C5" s="2"/>
      <c r="D5" s="2" t="s">
        <v>23</v>
      </c>
      <c r="E5" s="2"/>
      <c r="F5" s="2" t="s">
        <v>21</v>
      </c>
      <c r="G5" s="10">
        <v>41365</v>
      </c>
      <c r="H5" s="3"/>
      <c r="I5" s="13">
        <v>115488000</v>
      </c>
      <c r="J5" s="13">
        <f>0</f>
        <v>0</v>
      </c>
      <c r="K5" s="2">
        <v>3</v>
      </c>
      <c r="L5" s="21">
        <v>407095200</v>
      </c>
      <c r="M5" s="2"/>
    </row>
    <row r="6" spans="1:13" x14ac:dyDescent="0.45">
      <c r="A6" s="2" t="s">
        <v>18</v>
      </c>
      <c r="B6" s="2" t="s">
        <v>19</v>
      </c>
      <c r="C6" s="2"/>
      <c r="D6" s="2" t="s">
        <v>24</v>
      </c>
      <c r="E6" s="2"/>
      <c r="F6" s="2" t="s">
        <v>21</v>
      </c>
      <c r="G6" s="10">
        <v>41365</v>
      </c>
      <c r="H6" s="2"/>
      <c r="I6" s="13">
        <v>112672320</v>
      </c>
      <c r="J6" s="13">
        <f>0</f>
        <v>0</v>
      </c>
      <c r="K6" s="2">
        <v>3</v>
      </c>
      <c r="L6" s="21">
        <v>397169928</v>
      </c>
      <c r="M6" s="2"/>
    </row>
    <row r="7" spans="1:13" x14ac:dyDescent="0.45">
      <c r="A7" s="2" t="s">
        <v>18</v>
      </c>
      <c r="B7" s="2" t="s">
        <v>19</v>
      </c>
      <c r="C7" s="2"/>
      <c r="D7" s="2" t="s">
        <v>25</v>
      </c>
      <c r="E7" s="2"/>
      <c r="F7" s="2" t="s">
        <v>21</v>
      </c>
      <c r="G7" s="10">
        <v>42887</v>
      </c>
      <c r="H7" s="2"/>
      <c r="I7" s="13">
        <v>184608000</v>
      </c>
      <c r="J7" s="13">
        <f>0</f>
        <v>0</v>
      </c>
      <c r="K7" s="2">
        <v>3</v>
      </c>
      <c r="L7" s="21">
        <v>410853129.05000007</v>
      </c>
      <c r="M7" s="2"/>
    </row>
    <row r="8" spans="1:13" x14ac:dyDescent="0.45">
      <c r="A8" s="2" t="s">
        <v>18</v>
      </c>
      <c r="B8" s="2" t="s">
        <v>26</v>
      </c>
      <c r="D8" t="s">
        <v>27</v>
      </c>
      <c r="F8" s="2" t="s">
        <v>21</v>
      </c>
      <c r="G8" s="11">
        <v>45124</v>
      </c>
      <c r="I8" s="14">
        <v>3499575</v>
      </c>
      <c r="J8" s="14"/>
      <c r="L8" s="21">
        <v>4990645.7408675794</v>
      </c>
    </row>
    <row r="9" spans="1:13" x14ac:dyDescent="0.45">
      <c r="A9" s="2" t="s">
        <v>18</v>
      </c>
      <c r="B9" s="2" t="s">
        <v>26</v>
      </c>
      <c r="D9" t="s">
        <v>28</v>
      </c>
      <c r="F9" s="2" t="s">
        <v>21</v>
      </c>
      <c r="G9" s="11">
        <v>40269</v>
      </c>
      <c r="I9" s="14">
        <v>3419578</v>
      </c>
      <c r="J9" s="14">
        <v>1439790</v>
      </c>
      <c r="L9" s="21">
        <v>51073541.75</v>
      </c>
    </row>
    <row r="10" spans="1:13" x14ac:dyDescent="0.45">
      <c r="A10" s="2" t="s">
        <v>18</v>
      </c>
      <c r="B10" s="2" t="s">
        <v>26</v>
      </c>
      <c r="D10" t="s">
        <v>109</v>
      </c>
      <c r="F10" s="2" t="s">
        <v>21</v>
      </c>
      <c r="G10" s="11">
        <v>44774</v>
      </c>
      <c r="I10" s="14">
        <v>3047544</v>
      </c>
      <c r="J10" s="14">
        <v>1283150</v>
      </c>
      <c r="L10" s="21">
        <v>7457584.416666667</v>
      </c>
    </row>
    <row r="11" spans="1:13" x14ac:dyDescent="0.45">
      <c r="A11" s="2" t="s">
        <v>18</v>
      </c>
      <c r="B11" s="2" t="s">
        <v>26</v>
      </c>
      <c r="D11" t="s">
        <v>29</v>
      </c>
      <c r="F11" s="2" t="s">
        <v>21</v>
      </c>
      <c r="G11" s="11">
        <v>39904</v>
      </c>
      <c r="I11" s="14">
        <v>3125288</v>
      </c>
      <c r="J11" s="14">
        <v>1555190</v>
      </c>
      <c r="L11" s="21">
        <v>50150016</v>
      </c>
    </row>
    <row r="12" spans="1:13" x14ac:dyDescent="0.45">
      <c r="A12" s="2" t="s">
        <v>18</v>
      </c>
      <c r="B12" s="2" t="s">
        <v>26</v>
      </c>
      <c r="D12" t="s">
        <v>30</v>
      </c>
      <c r="F12" s="2" t="s">
        <v>21</v>
      </c>
      <c r="G12" s="11">
        <v>38626</v>
      </c>
      <c r="I12" s="14">
        <v>2985282</v>
      </c>
      <c r="J12" s="14">
        <v>1371240</v>
      </c>
      <c r="L12" s="21">
        <v>58369272.5</v>
      </c>
    </row>
    <row r="13" spans="1:13" x14ac:dyDescent="0.45">
      <c r="A13" s="2" t="s">
        <v>18</v>
      </c>
      <c r="B13" s="2" t="s">
        <v>26</v>
      </c>
      <c r="D13" t="s">
        <v>31</v>
      </c>
      <c r="F13" s="2" t="s">
        <v>21</v>
      </c>
      <c r="G13" s="11">
        <v>44927</v>
      </c>
      <c r="I13" s="14">
        <v>2825291</v>
      </c>
      <c r="J13" s="14">
        <v>865120</v>
      </c>
      <c r="L13" s="21">
        <v>5668794</v>
      </c>
    </row>
    <row r="14" spans="1:13" x14ac:dyDescent="0.45">
      <c r="A14" s="2" t="s">
        <v>18</v>
      </c>
      <c r="B14" s="2" t="s">
        <v>26</v>
      </c>
      <c r="D14" t="s">
        <v>32</v>
      </c>
      <c r="F14" s="2" t="s">
        <v>21</v>
      </c>
      <c r="G14" s="11">
        <v>44831</v>
      </c>
      <c r="I14" s="14">
        <v>3485283</v>
      </c>
      <c r="J14" s="14">
        <v>466940</v>
      </c>
      <c r="L14" s="21">
        <v>7804284.3869863013</v>
      </c>
    </row>
    <row r="15" spans="1:13" x14ac:dyDescent="0.45">
      <c r="A15" s="2" t="s">
        <v>18</v>
      </c>
      <c r="B15" s="2" t="s">
        <v>26</v>
      </c>
      <c r="D15" t="s">
        <v>33</v>
      </c>
      <c r="F15" s="2" t="s">
        <v>21</v>
      </c>
      <c r="G15" s="11">
        <v>39448</v>
      </c>
      <c r="I15" s="14">
        <v>2862781</v>
      </c>
      <c r="J15" s="14">
        <v>1424540</v>
      </c>
      <c r="L15" s="21">
        <v>49583509</v>
      </c>
    </row>
    <row r="16" spans="1:13" x14ac:dyDescent="0.45">
      <c r="A16" s="2" t="s">
        <v>18</v>
      </c>
      <c r="B16" s="2" t="s">
        <v>26</v>
      </c>
      <c r="D16" t="s">
        <v>34</v>
      </c>
      <c r="F16" s="2" t="s">
        <v>21</v>
      </c>
      <c r="G16" s="11">
        <v>40800</v>
      </c>
      <c r="I16" s="14">
        <v>2568103</v>
      </c>
      <c r="J16" s="14">
        <v>786400</v>
      </c>
      <c r="L16" s="21">
        <v>34264129.254109591</v>
      </c>
    </row>
    <row r="17" spans="1:12" x14ac:dyDescent="0.45">
      <c r="A17" s="2" t="s">
        <v>18</v>
      </c>
      <c r="B17" s="2" t="s">
        <v>26</v>
      </c>
      <c r="D17" t="s">
        <v>35</v>
      </c>
      <c r="F17" s="2" t="s">
        <v>21</v>
      </c>
      <c r="G17" s="11">
        <v>41176</v>
      </c>
      <c r="I17" s="14">
        <v>2742773</v>
      </c>
      <c r="J17" s="14">
        <v>1049900</v>
      </c>
      <c r="L17" s="21">
        <v>33977712.896575339</v>
      </c>
    </row>
    <row r="18" spans="1:12" x14ac:dyDescent="0.45">
      <c r="A18" s="2" t="s">
        <v>18</v>
      </c>
      <c r="B18" s="2" t="s">
        <v>26</v>
      </c>
      <c r="D18" t="s">
        <v>36</v>
      </c>
      <c r="F18" s="2" t="s">
        <v>21</v>
      </c>
      <c r="G18" s="11">
        <v>43129</v>
      </c>
      <c r="I18" s="14">
        <v>2562781</v>
      </c>
      <c r="J18" s="14">
        <v>833850</v>
      </c>
      <c r="L18" s="21">
        <v>17831892.670091331</v>
      </c>
    </row>
    <row r="19" spans="1:12" x14ac:dyDescent="0.45">
      <c r="A19" s="2" t="s">
        <v>18</v>
      </c>
      <c r="B19" s="2" t="s">
        <v>26</v>
      </c>
      <c r="D19" t="s">
        <v>110</v>
      </c>
      <c r="F19" s="2" t="s">
        <v>21</v>
      </c>
      <c r="G19" s="11">
        <v>42684</v>
      </c>
      <c r="I19" s="14">
        <v>2506251</v>
      </c>
      <c r="J19" s="14">
        <v>1480140</v>
      </c>
      <c r="L19" s="21">
        <v>18376429.742009129</v>
      </c>
    </row>
    <row r="20" spans="1:12" x14ac:dyDescent="0.45">
      <c r="A20" s="2" t="s">
        <v>18</v>
      </c>
      <c r="B20" s="12" t="s">
        <v>38</v>
      </c>
      <c r="D20" t="s">
        <v>39</v>
      </c>
      <c r="F20" s="2" t="s">
        <v>21</v>
      </c>
      <c r="G20" s="11">
        <v>43617</v>
      </c>
      <c r="I20" s="14">
        <v>3619576</v>
      </c>
      <c r="J20" s="14">
        <v>1801150</v>
      </c>
      <c r="L20" s="21">
        <v>20589781.166666672</v>
      </c>
    </row>
    <row r="21" spans="1:12" x14ac:dyDescent="0.45">
      <c r="A21" s="2" t="s">
        <v>18</v>
      </c>
      <c r="B21" s="12" t="s">
        <v>38</v>
      </c>
      <c r="D21" t="s">
        <v>40</v>
      </c>
      <c r="F21" s="2" t="s">
        <v>21</v>
      </c>
      <c r="G21" s="11">
        <v>43132</v>
      </c>
      <c r="I21" s="14">
        <v>3187550</v>
      </c>
      <c r="J21" s="14">
        <v>2562210</v>
      </c>
      <c r="L21" s="21">
        <v>23012656.083333328</v>
      </c>
    </row>
    <row r="22" spans="1:12" x14ac:dyDescent="0.45">
      <c r="A22" s="2" t="s">
        <v>18</v>
      </c>
      <c r="B22" s="12" t="s">
        <v>38</v>
      </c>
      <c r="D22" t="s">
        <v>41</v>
      </c>
      <c r="F22" s="2" t="s">
        <v>21</v>
      </c>
      <c r="G22" s="11">
        <v>37257</v>
      </c>
      <c r="I22" s="14">
        <v>3287551</v>
      </c>
      <c r="J22" s="14">
        <v>2768480</v>
      </c>
      <c r="L22" s="21">
        <v>79160779</v>
      </c>
    </row>
    <row r="23" spans="1:12" x14ac:dyDescent="0.45">
      <c r="A23" s="2" t="s">
        <v>18</v>
      </c>
      <c r="B23" s="12" t="s">
        <v>38</v>
      </c>
      <c r="D23" t="s">
        <v>42</v>
      </c>
      <c r="F23" s="2" t="s">
        <v>21</v>
      </c>
      <c r="G23" s="11">
        <v>40544</v>
      </c>
      <c r="I23" s="14">
        <v>3115291</v>
      </c>
      <c r="J23" s="14">
        <v>2797680</v>
      </c>
      <c r="L23" s="21">
        <v>45858946</v>
      </c>
    </row>
    <row r="24" spans="1:12" x14ac:dyDescent="0.45">
      <c r="A24" s="2" t="s">
        <v>18</v>
      </c>
      <c r="B24" s="12" t="s">
        <v>38</v>
      </c>
      <c r="D24" t="s">
        <v>43</v>
      </c>
      <c r="F24" s="2" t="s">
        <v>21</v>
      </c>
      <c r="G24" s="11">
        <v>38292</v>
      </c>
      <c r="I24" s="14">
        <v>2985281</v>
      </c>
      <c r="J24" s="14">
        <v>1371240</v>
      </c>
      <c r="L24" s="21">
        <v>61148741.5</v>
      </c>
    </row>
    <row r="25" spans="1:12" x14ac:dyDescent="0.45">
      <c r="A25" s="2" t="s">
        <v>18</v>
      </c>
      <c r="B25" s="12" t="s">
        <v>38</v>
      </c>
      <c r="D25" t="s">
        <v>44</v>
      </c>
      <c r="F25" s="2" t="s">
        <v>21</v>
      </c>
      <c r="G25" s="11">
        <v>41821</v>
      </c>
      <c r="I25" s="14">
        <v>2408105</v>
      </c>
      <c r="J25" s="14">
        <v>737440</v>
      </c>
      <c r="L25" s="21">
        <v>25366656</v>
      </c>
    </row>
    <row r="26" spans="1:12" x14ac:dyDescent="0.45">
      <c r="A26" s="2" t="s">
        <v>18</v>
      </c>
      <c r="B26" s="12" t="s">
        <v>38</v>
      </c>
      <c r="D26" t="s">
        <v>45</v>
      </c>
      <c r="F26" s="2" t="s">
        <v>21</v>
      </c>
      <c r="G26" s="11">
        <v>44328</v>
      </c>
      <c r="I26" s="14">
        <v>2060307</v>
      </c>
      <c r="J26" s="14">
        <v>630880</v>
      </c>
      <c r="L26" s="21">
        <v>7519821.0913242009</v>
      </c>
    </row>
    <row r="27" spans="1:12" x14ac:dyDescent="0.45">
      <c r="A27" s="2" t="s">
        <v>18</v>
      </c>
      <c r="B27" s="12" t="s">
        <v>38</v>
      </c>
      <c r="D27" t="s">
        <v>46</v>
      </c>
      <c r="F27" s="2" t="s">
        <v>21</v>
      </c>
      <c r="G27" s="11">
        <v>45078</v>
      </c>
      <c r="I27" s="14">
        <v>2120306</v>
      </c>
      <c r="J27" s="14">
        <v>405800</v>
      </c>
      <c r="L27" s="21">
        <v>3339915.0698630139</v>
      </c>
    </row>
    <row r="28" spans="1:12" x14ac:dyDescent="0.45">
      <c r="A28" s="2" t="s">
        <v>18</v>
      </c>
      <c r="B28" s="12" t="s">
        <v>47</v>
      </c>
      <c r="D28" t="s">
        <v>111</v>
      </c>
      <c r="F28" s="12" t="s">
        <v>49</v>
      </c>
      <c r="G28" s="11">
        <v>37712</v>
      </c>
      <c r="I28" s="14">
        <v>4580844.666666667</v>
      </c>
      <c r="J28" s="14">
        <v>1650000</v>
      </c>
      <c r="L28" s="21">
        <v>100393019.25</v>
      </c>
    </row>
    <row r="29" spans="1:12" x14ac:dyDescent="0.45">
      <c r="A29" s="2" t="s">
        <v>18</v>
      </c>
      <c r="B29" s="12" t="s">
        <v>47</v>
      </c>
      <c r="D29" t="s">
        <v>48</v>
      </c>
      <c r="F29" s="12" t="s">
        <v>49</v>
      </c>
      <c r="G29" s="11">
        <v>42278</v>
      </c>
      <c r="I29" s="14">
        <v>3670828.666666667</v>
      </c>
      <c r="J29" s="14">
        <v>2099900</v>
      </c>
      <c r="L29" s="21">
        <v>34800488.75</v>
      </c>
    </row>
    <row r="30" spans="1:12" x14ac:dyDescent="0.45">
      <c r="A30" s="2" t="s">
        <v>18</v>
      </c>
      <c r="B30" s="12" t="s">
        <v>47</v>
      </c>
      <c r="D30" t="s">
        <v>50</v>
      </c>
      <c r="F30" s="12" t="s">
        <v>49</v>
      </c>
      <c r="G30" s="11">
        <v>43952</v>
      </c>
      <c r="I30" s="14">
        <v>2871220.333333333</v>
      </c>
      <c r="J30" s="14">
        <v>1363650</v>
      </c>
      <c r="L30" s="21">
        <v>13626522</v>
      </c>
    </row>
    <row r="31" spans="1:12" x14ac:dyDescent="0.45">
      <c r="A31" s="2" t="s">
        <v>18</v>
      </c>
      <c r="B31" s="12" t="s">
        <v>47</v>
      </c>
      <c r="D31" t="s">
        <v>112</v>
      </c>
      <c r="F31" s="12" t="s">
        <v>49</v>
      </c>
      <c r="G31" s="11">
        <v>39264</v>
      </c>
      <c r="I31" s="14">
        <v>4260215</v>
      </c>
      <c r="J31" s="14">
        <v>2520250</v>
      </c>
      <c r="L31" s="21">
        <v>76528480</v>
      </c>
    </row>
    <row r="32" spans="1:12" x14ac:dyDescent="0.45">
      <c r="A32" s="2" t="s">
        <v>18</v>
      </c>
      <c r="B32" s="12" t="s">
        <v>47</v>
      </c>
      <c r="D32" t="s">
        <v>51</v>
      </c>
      <c r="F32" s="12" t="s">
        <v>49</v>
      </c>
      <c r="G32" s="11">
        <v>43647</v>
      </c>
      <c r="I32" s="14">
        <v>4079255</v>
      </c>
      <c r="J32" s="14">
        <v>2424500</v>
      </c>
      <c r="L32" s="21">
        <v>23035237.5</v>
      </c>
    </row>
    <row r="33" spans="1:12" x14ac:dyDescent="0.45">
      <c r="A33" s="2" t="s">
        <v>18</v>
      </c>
      <c r="B33" s="12" t="s">
        <v>47</v>
      </c>
      <c r="D33" t="s">
        <v>52</v>
      </c>
      <c r="F33" s="12" t="s">
        <v>49</v>
      </c>
      <c r="G33" s="11">
        <v>40634</v>
      </c>
      <c r="I33" s="14">
        <v>3706561.333333333</v>
      </c>
      <c r="J33" s="14">
        <v>1668010</v>
      </c>
      <c r="L33" s="21">
        <v>51726977.5</v>
      </c>
    </row>
    <row r="34" spans="1:12" x14ac:dyDescent="0.45">
      <c r="A34" s="2" t="s">
        <v>18</v>
      </c>
      <c r="B34" s="12" t="s">
        <v>47</v>
      </c>
      <c r="D34" t="s">
        <v>53</v>
      </c>
      <c r="F34" s="12" t="s">
        <v>49</v>
      </c>
      <c r="G34" s="11">
        <v>42125</v>
      </c>
      <c r="I34" s="14">
        <v>3750460.333333333</v>
      </c>
      <c r="J34" s="14">
        <v>1755800</v>
      </c>
      <c r="L34" s="21">
        <v>36849952</v>
      </c>
    </row>
    <row r="35" spans="1:12" x14ac:dyDescent="0.45">
      <c r="A35" s="2" t="s">
        <v>18</v>
      </c>
      <c r="B35" s="12" t="s">
        <v>47</v>
      </c>
      <c r="D35" t="s">
        <v>54</v>
      </c>
      <c r="F35" s="12" t="s">
        <v>49</v>
      </c>
      <c r="G35" s="11">
        <v>42786</v>
      </c>
      <c r="I35" s="14">
        <v>3272573.333333333</v>
      </c>
      <c r="J35" s="14">
        <v>416000</v>
      </c>
      <c r="L35" s="21">
        <v>25449887.60776256</v>
      </c>
    </row>
    <row r="36" spans="1:12" x14ac:dyDescent="0.45">
      <c r="A36" s="2" t="s">
        <v>18</v>
      </c>
      <c r="B36" s="12" t="s">
        <v>47</v>
      </c>
      <c r="D36" t="s">
        <v>55</v>
      </c>
      <c r="F36" s="12" t="s">
        <v>49</v>
      </c>
      <c r="G36" s="11">
        <v>45154</v>
      </c>
      <c r="I36" s="14">
        <v>3249110.666666667</v>
      </c>
      <c r="J36" s="14">
        <v>628880</v>
      </c>
      <c r="L36" s="21">
        <v>4447904.5296803657</v>
      </c>
    </row>
    <row r="37" spans="1:12" x14ac:dyDescent="0.45">
      <c r="A37" s="2" t="s">
        <v>18</v>
      </c>
      <c r="B37" s="12" t="s">
        <v>47</v>
      </c>
      <c r="D37" t="s">
        <v>113</v>
      </c>
      <c r="F37" s="12" t="s">
        <v>49</v>
      </c>
      <c r="G37" s="11">
        <v>42786</v>
      </c>
      <c r="I37" s="14">
        <v>3067583.333333333</v>
      </c>
      <c r="J37" s="14">
        <v>1379550</v>
      </c>
      <c r="L37" s="21">
        <v>24490343.707762562</v>
      </c>
    </row>
    <row r="38" spans="1:12" x14ac:dyDescent="0.45">
      <c r="A38" s="2" t="s">
        <v>18</v>
      </c>
      <c r="B38" s="12" t="s">
        <v>47</v>
      </c>
      <c r="D38" t="s">
        <v>56</v>
      </c>
      <c r="F38" s="12" t="s">
        <v>49</v>
      </c>
      <c r="G38" s="11">
        <v>45108</v>
      </c>
      <c r="I38" s="14">
        <v>2736068.333333333</v>
      </c>
      <c r="J38" s="14">
        <v>713070</v>
      </c>
      <c r="L38" s="21">
        <v>4102078.5</v>
      </c>
    </row>
    <row r="39" spans="1:12" x14ac:dyDescent="0.45">
      <c r="A39" s="2" t="s">
        <v>18</v>
      </c>
      <c r="B39" s="12" t="s">
        <v>47</v>
      </c>
      <c r="D39" t="s">
        <v>57</v>
      </c>
      <c r="F39" s="12" t="s">
        <v>49</v>
      </c>
      <c r="G39" s="11">
        <v>45231</v>
      </c>
      <c r="I39" s="14">
        <v>2712127.666666667</v>
      </c>
      <c r="J39" s="14">
        <v>316920</v>
      </c>
      <c r="L39" s="21">
        <v>3125504.666666667</v>
      </c>
    </row>
    <row r="40" spans="1:12" x14ac:dyDescent="0.45">
      <c r="A40" s="2" t="s">
        <v>18</v>
      </c>
      <c r="B40" s="12" t="s">
        <v>47</v>
      </c>
      <c r="D40" t="s">
        <v>114</v>
      </c>
      <c r="F40" s="12" t="s">
        <v>49</v>
      </c>
      <c r="G40" s="11">
        <v>45231</v>
      </c>
      <c r="I40" s="14">
        <v>3037317.666666667</v>
      </c>
      <c r="J40" s="14">
        <v>0</v>
      </c>
      <c r="L40" s="21">
        <v>3466503.833333333</v>
      </c>
    </row>
    <row r="41" spans="1:12" x14ac:dyDescent="0.45">
      <c r="A41" s="2" t="s">
        <v>18</v>
      </c>
      <c r="B41" s="12" t="s">
        <v>58</v>
      </c>
      <c r="D41" t="s">
        <v>115</v>
      </c>
      <c r="F41" s="12" t="s">
        <v>49</v>
      </c>
      <c r="G41" s="11">
        <v>33665</v>
      </c>
      <c r="I41" s="14">
        <v>4147242.333333333</v>
      </c>
      <c r="J41" s="14">
        <v>2507460</v>
      </c>
      <c r="L41" s="21">
        <v>139914286.7773973</v>
      </c>
    </row>
    <row r="42" spans="1:12" x14ac:dyDescent="0.45">
      <c r="A42" s="2" t="s">
        <v>18</v>
      </c>
      <c r="B42" s="12" t="s">
        <v>58</v>
      </c>
      <c r="D42" t="s">
        <v>59</v>
      </c>
      <c r="F42" s="12" t="s">
        <v>49</v>
      </c>
      <c r="G42" s="11">
        <v>38292</v>
      </c>
      <c r="I42" s="14">
        <v>4348901</v>
      </c>
      <c r="J42" s="14">
        <v>2668000</v>
      </c>
      <c r="L42" s="21">
        <v>90182489.833333328</v>
      </c>
    </row>
    <row r="43" spans="1:12" x14ac:dyDescent="0.45">
      <c r="A43" s="2" t="s">
        <v>18</v>
      </c>
      <c r="B43" s="12" t="s">
        <v>58</v>
      </c>
      <c r="D43" t="s">
        <v>60</v>
      </c>
      <c r="F43" s="12" t="s">
        <v>49</v>
      </c>
      <c r="G43" s="11">
        <v>34806</v>
      </c>
      <c r="I43" s="14">
        <v>4126538</v>
      </c>
      <c r="J43" s="14">
        <v>2419370</v>
      </c>
      <c r="L43" s="21">
        <v>125784478.8401826</v>
      </c>
    </row>
    <row r="44" spans="1:12" x14ac:dyDescent="0.45">
      <c r="A44" s="2" t="s">
        <v>18</v>
      </c>
      <c r="B44" s="12" t="s">
        <v>58</v>
      </c>
      <c r="D44" t="s">
        <v>61</v>
      </c>
      <c r="F44" s="12" t="s">
        <v>49</v>
      </c>
      <c r="G44" s="11">
        <v>39539</v>
      </c>
      <c r="I44" s="14">
        <v>3951098</v>
      </c>
      <c r="J44" s="14">
        <v>2451120</v>
      </c>
      <c r="L44" s="21">
        <v>68089152</v>
      </c>
    </row>
    <row r="45" spans="1:12" x14ac:dyDescent="0.45">
      <c r="A45" s="2" t="s">
        <v>18</v>
      </c>
      <c r="B45" s="12" t="s">
        <v>58</v>
      </c>
      <c r="D45" t="s">
        <v>62</v>
      </c>
      <c r="F45" s="12" t="s">
        <v>49</v>
      </c>
      <c r="G45" s="11">
        <v>37288</v>
      </c>
      <c r="I45" s="14">
        <v>4054516.666666667</v>
      </c>
      <c r="J45" s="14">
        <v>2027200</v>
      </c>
      <c r="L45" s="21">
        <v>94683302.083333328</v>
      </c>
    </row>
    <row r="46" spans="1:12" x14ac:dyDescent="0.45">
      <c r="A46" s="2" t="s">
        <v>18</v>
      </c>
      <c r="B46" s="12" t="s">
        <v>58</v>
      </c>
      <c r="D46" t="s">
        <v>63</v>
      </c>
      <c r="F46" s="12" t="s">
        <v>49</v>
      </c>
      <c r="G46" s="11">
        <v>38169</v>
      </c>
      <c r="I46" s="14">
        <v>3558095</v>
      </c>
      <c r="J46" s="14">
        <v>1893400</v>
      </c>
      <c r="L46" s="21">
        <v>74519509</v>
      </c>
    </row>
    <row r="47" spans="1:12" x14ac:dyDescent="0.45">
      <c r="A47" s="2" t="s">
        <v>18</v>
      </c>
      <c r="B47" s="12" t="s">
        <v>58</v>
      </c>
      <c r="D47" t="s">
        <v>64</v>
      </c>
      <c r="F47" s="12" t="s">
        <v>49</v>
      </c>
      <c r="G47" s="11">
        <v>43252</v>
      </c>
      <c r="I47" s="14">
        <v>3692259.333333333</v>
      </c>
      <c r="J47" s="14">
        <v>2195120</v>
      </c>
      <c r="L47" s="21">
        <v>24957034.833333328</v>
      </c>
    </row>
    <row r="48" spans="1:12" x14ac:dyDescent="0.45">
      <c r="A48" s="2" t="s">
        <v>18</v>
      </c>
      <c r="B48" s="12" t="s">
        <v>58</v>
      </c>
      <c r="D48" t="s">
        <v>65</v>
      </c>
      <c r="F48" s="12" t="s">
        <v>49</v>
      </c>
      <c r="G48" s="11">
        <v>44562</v>
      </c>
      <c r="I48" s="14">
        <v>3573134.333333333</v>
      </c>
      <c r="J48" s="14">
        <v>1740400</v>
      </c>
      <c r="L48" s="21">
        <v>10912011</v>
      </c>
    </row>
    <row r="49" spans="1:12" x14ac:dyDescent="0.45">
      <c r="A49" s="2" t="s">
        <v>18</v>
      </c>
      <c r="B49" s="12" t="s">
        <v>58</v>
      </c>
      <c r="D49" t="s">
        <v>67</v>
      </c>
      <c r="F49" s="12" t="s">
        <v>49</v>
      </c>
      <c r="G49" s="11">
        <v>37073</v>
      </c>
      <c r="I49" s="14">
        <v>3444918.333333333</v>
      </c>
      <c r="J49" s="14">
        <v>1740590</v>
      </c>
      <c r="L49" s="21">
        <v>82530214</v>
      </c>
    </row>
    <row r="50" spans="1:12" x14ac:dyDescent="0.45">
      <c r="A50" s="2" t="s">
        <v>18</v>
      </c>
      <c r="B50" s="12" t="s">
        <v>58</v>
      </c>
      <c r="D50" t="s">
        <v>68</v>
      </c>
      <c r="F50" s="12" t="s">
        <v>49</v>
      </c>
      <c r="G50" s="11">
        <v>38687</v>
      </c>
      <c r="I50" s="14">
        <v>3620500</v>
      </c>
      <c r="J50" s="14">
        <v>2198640</v>
      </c>
      <c r="L50" s="21">
        <v>71009655.833333328</v>
      </c>
    </row>
    <row r="51" spans="1:12" x14ac:dyDescent="0.45">
      <c r="A51" s="2" t="s">
        <v>18</v>
      </c>
      <c r="B51" s="12" t="s">
        <v>58</v>
      </c>
      <c r="D51" t="s">
        <v>69</v>
      </c>
      <c r="F51" s="12" t="s">
        <v>49</v>
      </c>
      <c r="G51" s="11">
        <v>40909</v>
      </c>
      <c r="I51" s="14">
        <v>3375151</v>
      </c>
      <c r="J51" s="14">
        <v>1635120</v>
      </c>
      <c r="L51" s="21">
        <v>44655975</v>
      </c>
    </row>
    <row r="52" spans="1:12" x14ac:dyDescent="0.45">
      <c r="A52" s="2" t="s">
        <v>18</v>
      </c>
      <c r="B52" s="12" t="s">
        <v>58</v>
      </c>
      <c r="D52" t="s">
        <v>70</v>
      </c>
      <c r="F52" s="12" t="s">
        <v>49</v>
      </c>
      <c r="G52" s="11">
        <v>44075</v>
      </c>
      <c r="I52" s="14">
        <v>3476699.666666667</v>
      </c>
      <c r="J52" s="14">
        <v>2089320</v>
      </c>
      <c r="L52" s="21">
        <v>15476257.33333333</v>
      </c>
    </row>
    <row r="53" spans="1:12" x14ac:dyDescent="0.45">
      <c r="A53" s="2" t="s">
        <v>18</v>
      </c>
      <c r="B53" s="12" t="s">
        <v>58</v>
      </c>
      <c r="D53" t="s">
        <v>71</v>
      </c>
      <c r="F53" s="12" t="s">
        <v>49</v>
      </c>
      <c r="G53" s="11">
        <v>43132</v>
      </c>
      <c r="I53" s="14">
        <v>3437783.333333333</v>
      </c>
      <c r="J53" s="14">
        <v>2082740</v>
      </c>
      <c r="L53" s="21">
        <v>24435455.916666672</v>
      </c>
    </row>
    <row r="54" spans="1:12" x14ac:dyDescent="0.45">
      <c r="A54" s="2" t="s">
        <v>18</v>
      </c>
      <c r="B54" s="12" t="s">
        <v>58</v>
      </c>
      <c r="D54" t="s">
        <v>72</v>
      </c>
      <c r="F54" s="12" t="s">
        <v>49</v>
      </c>
      <c r="G54" s="11">
        <v>39692</v>
      </c>
      <c r="I54" s="14">
        <v>3467239.666666667</v>
      </c>
      <c r="J54" s="14">
        <v>1998480</v>
      </c>
      <c r="L54" s="21">
        <v>58061472</v>
      </c>
    </row>
    <row r="55" spans="1:12" x14ac:dyDescent="0.45">
      <c r="A55" s="2" t="s">
        <v>18</v>
      </c>
      <c r="B55" s="12" t="s">
        <v>58</v>
      </c>
      <c r="D55" t="s">
        <v>73</v>
      </c>
      <c r="F55" s="12" t="s">
        <v>49</v>
      </c>
      <c r="G55" s="11">
        <v>43374</v>
      </c>
      <c r="I55" s="14">
        <v>3098788.666666667</v>
      </c>
      <c r="J55" s="14">
        <v>1414230</v>
      </c>
      <c r="L55" s="21">
        <v>19666962.5</v>
      </c>
    </row>
    <row r="56" spans="1:12" x14ac:dyDescent="0.45">
      <c r="A56" s="2" t="s">
        <v>18</v>
      </c>
      <c r="B56" s="12" t="s">
        <v>58</v>
      </c>
      <c r="D56" t="s">
        <v>66</v>
      </c>
      <c r="F56" s="12" t="s">
        <v>49</v>
      </c>
      <c r="G56" s="11">
        <v>40896</v>
      </c>
      <c r="I56" s="14">
        <v>3421123.333333333</v>
      </c>
      <c r="J56" s="14">
        <v>1531360</v>
      </c>
      <c r="L56" s="21">
        <v>45254315.671232879</v>
      </c>
    </row>
    <row r="57" spans="1:12" x14ac:dyDescent="0.45">
      <c r="A57" s="2" t="s">
        <v>18</v>
      </c>
      <c r="B57" s="12" t="s">
        <v>58</v>
      </c>
      <c r="D57" t="s">
        <v>74</v>
      </c>
      <c r="F57" s="12" t="s">
        <v>49</v>
      </c>
      <c r="G57" s="11">
        <v>42310</v>
      </c>
      <c r="I57" s="14">
        <v>3191721</v>
      </c>
      <c r="J57" s="14">
        <v>1442340</v>
      </c>
      <c r="L57" s="21">
        <v>29695540.631278541</v>
      </c>
    </row>
    <row r="58" spans="1:12" x14ac:dyDescent="0.45">
      <c r="A58" s="2" t="s">
        <v>18</v>
      </c>
      <c r="B58" s="12" t="s">
        <v>58</v>
      </c>
      <c r="D58" t="s">
        <v>75</v>
      </c>
      <c r="F58" s="12" t="s">
        <v>49</v>
      </c>
      <c r="G58" s="11">
        <v>42317</v>
      </c>
      <c r="I58" s="14">
        <v>3153114.333333333</v>
      </c>
      <c r="J58" s="14">
        <v>1456020</v>
      </c>
      <c r="L58" s="21">
        <v>29298173.325342469</v>
      </c>
    </row>
    <row r="59" spans="1:12" x14ac:dyDescent="0.45">
      <c r="A59" s="2" t="s">
        <v>18</v>
      </c>
      <c r="B59" s="12" t="s">
        <v>58</v>
      </c>
      <c r="D59" t="s">
        <v>76</v>
      </c>
      <c r="F59" s="12" t="s">
        <v>49</v>
      </c>
      <c r="G59" s="11">
        <v>42317</v>
      </c>
      <c r="I59" s="14">
        <v>3154037.666666667</v>
      </c>
      <c r="J59" s="14">
        <v>1306560</v>
      </c>
      <c r="L59" s="21">
        <v>29194993.384474888</v>
      </c>
    </row>
    <row r="60" spans="1:12" x14ac:dyDescent="0.45">
      <c r="A60" s="2" t="s">
        <v>18</v>
      </c>
      <c r="B60" s="12" t="s">
        <v>58</v>
      </c>
      <c r="D60" t="s">
        <v>77</v>
      </c>
      <c r="F60" s="12" t="s">
        <v>49</v>
      </c>
      <c r="G60" s="11">
        <v>42845</v>
      </c>
      <c r="I60" s="14">
        <v>2978444.666666667</v>
      </c>
      <c r="J60" s="14">
        <v>1336200</v>
      </c>
      <c r="L60" s="21">
        <v>20250207.305936068</v>
      </c>
    </row>
    <row r="61" spans="1:12" x14ac:dyDescent="0.45">
      <c r="A61" s="2" t="s">
        <v>18</v>
      </c>
      <c r="B61" s="12" t="s">
        <v>58</v>
      </c>
      <c r="D61" t="s">
        <v>78</v>
      </c>
      <c r="F61" s="12" t="s">
        <v>49</v>
      </c>
      <c r="G61" s="11">
        <v>43206</v>
      </c>
      <c r="I61" s="14">
        <v>3074644.666666667</v>
      </c>
      <c r="J61" s="14">
        <v>1257600</v>
      </c>
      <c r="L61" s="21">
        <v>20871849.724200919</v>
      </c>
    </row>
    <row r="62" spans="1:12" x14ac:dyDescent="0.45">
      <c r="A62" s="2" t="s">
        <v>18</v>
      </c>
      <c r="B62" s="12" t="s">
        <v>58</v>
      </c>
      <c r="D62" t="s">
        <v>79</v>
      </c>
      <c r="F62" s="12" t="s">
        <v>49</v>
      </c>
      <c r="G62" s="11">
        <v>43724</v>
      </c>
      <c r="I62" s="14">
        <v>2986249.666666667</v>
      </c>
      <c r="J62" s="14">
        <v>1155900</v>
      </c>
      <c r="L62" s="21">
        <v>15963889.519178079</v>
      </c>
    </row>
    <row r="63" spans="1:12" x14ac:dyDescent="0.45">
      <c r="A63" s="2" t="s">
        <v>18</v>
      </c>
      <c r="B63" s="12" t="s">
        <v>58</v>
      </c>
      <c r="D63" t="s">
        <v>80</v>
      </c>
      <c r="F63" s="12" t="s">
        <v>49</v>
      </c>
      <c r="G63" s="11">
        <v>43752</v>
      </c>
      <c r="I63" s="14">
        <v>3017718.666666667</v>
      </c>
      <c r="J63" s="14">
        <v>539420</v>
      </c>
      <c r="L63" s="21">
        <v>15627550.716894981</v>
      </c>
    </row>
    <row r="64" spans="1:12" x14ac:dyDescent="0.45">
      <c r="A64" s="2" t="s">
        <v>18</v>
      </c>
      <c r="B64" s="12" t="s">
        <v>58</v>
      </c>
      <c r="D64" t="s">
        <v>81</v>
      </c>
      <c r="F64" s="12" t="s">
        <v>49</v>
      </c>
      <c r="G64" s="11">
        <v>43864</v>
      </c>
      <c r="I64" s="14">
        <v>3087273.333333333</v>
      </c>
      <c r="J64" s="14">
        <v>1245280</v>
      </c>
      <c r="L64" s="21">
        <v>15336124.239269409</v>
      </c>
    </row>
    <row r="65" spans="1:12" x14ac:dyDescent="0.45">
      <c r="A65" s="2" t="s">
        <v>18</v>
      </c>
      <c r="B65" s="12" t="s">
        <v>58</v>
      </c>
      <c r="D65" t="s">
        <v>82</v>
      </c>
      <c r="F65" s="12" t="s">
        <v>49</v>
      </c>
      <c r="G65" s="11">
        <v>44606</v>
      </c>
      <c r="I65" s="14">
        <v>2928500</v>
      </c>
      <c r="J65" s="14">
        <v>1132950</v>
      </c>
      <c r="L65" s="21">
        <v>8524559.2059360743</v>
      </c>
    </row>
    <row r="66" spans="1:12" x14ac:dyDescent="0.45">
      <c r="A66" s="2" t="s">
        <v>18</v>
      </c>
      <c r="B66" s="12" t="s">
        <v>58</v>
      </c>
      <c r="D66" t="s">
        <v>83</v>
      </c>
      <c r="F66" s="12" t="s">
        <v>49</v>
      </c>
      <c r="G66" s="11">
        <v>45110</v>
      </c>
      <c r="I66" s="14">
        <v>3196298.333333333</v>
      </c>
      <c r="J66" s="14">
        <v>740000</v>
      </c>
      <c r="L66" s="21">
        <v>4768338.3257990861</v>
      </c>
    </row>
    <row r="67" spans="1:12" x14ac:dyDescent="0.45">
      <c r="A67" s="2" t="s">
        <v>18</v>
      </c>
      <c r="B67" s="12" t="s">
        <v>58</v>
      </c>
      <c r="D67" t="s">
        <v>84</v>
      </c>
      <c r="F67" s="12" t="s">
        <v>49</v>
      </c>
      <c r="G67" s="11">
        <v>45131</v>
      </c>
      <c r="I67" s="14">
        <v>3147235</v>
      </c>
      <c r="J67" s="14">
        <v>734940</v>
      </c>
      <c r="L67" s="21">
        <v>4515328.2488584481</v>
      </c>
    </row>
    <row r="68" spans="1:12" x14ac:dyDescent="0.45">
      <c r="A68" s="2" t="s">
        <v>18</v>
      </c>
      <c r="B68" s="12" t="s">
        <v>85</v>
      </c>
      <c r="D68" t="s">
        <v>86</v>
      </c>
      <c r="F68" s="12" t="s">
        <v>49</v>
      </c>
      <c r="G68" s="11">
        <v>42461</v>
      </c>
      <c r="I68" s="14">
        <v>2822778</v>
      </c>
      <c r="J68" s="14">
        <v>1080500</v>
      </c>
      <c r="L68" s="21">
        <v>24933098.75</v>
      </c>
    </row>
    <row r="69" spans="1:12" x14ac:dyDescent="0.45">
      <c r="A69" s="2" t="s">
        <v>18</v>
      </c>
      <c r="B69" s="12" t="s">
        <v>85</v>
      </c>
      <c r="D69" t="s">
        <v>87</v>
      </c>
      <c r="F69" s="12" t="s">
        <v>49</v>
      </c>
      <c r="G69" s="11">
        <v>37500</v>
      </c>
      <c r="I69" s="14">
        <v>2912773</v>
      </c>
      <c r="J69" s="14">
        <v>2176200</v>
      </c>
      <c r="L69" s="21">
        <v>67599851</v>
      </c>
    </row>
    <row r="70" spans="1:12" x14ac:dyDescent="0.45">
      <c r="A70" s="2" t="s">
        <v>18</v>
      </c>
      <c r="B70" s="12" t="s">
        <v>85</v>
      </c>
      <c r="D70" t="s">
        <v>88</v>
      </c>
      <c r="F70" s="12" t="s">
        <v>49</v>
      </c>
      <c r="G70" s="11">
        <v>44958</v>
      </c>
      <c r="I70" s="14">
        <v>2462780</v>
      </c>
      <c r="J70" s="14">
        <v>94270</v>
      </c>
      <c r="L70" s="21">
        <v>4632441.5</v>
      </c>
    </row>
    <row r="71" spans="1:12" x14ac:dyDescent="0.45">
      <c r="A71" s="2" t="s">
        <v>18</v>
      </c>
      <c r="B71" s="12" t="s">
        <v>85</v>
      </c>
      <c r="D71" t="s">
        <v>89</v>
      </c>
      <c r="F71" s="12" t="s">
        <v>49</v>
      </c>
      <c r="G71" s="11">
        <v>38749</v>
      </c>
      <c r="I71" s="14">
        <v>3949716.666666667</v>
      </c>
      <c r="J71" s="14">
        <v>1773180</v>
      </c>
      <c r="L71" s="21">
        <v>75825661.25</v>
      </c>
    </row>
    <row r="72" spans="1:12" x14ac:dyDescent="0.45">
      <c r="A72" s="2" t="s">
        <v>18</v>
      </c>
      <c r="B72" s="12" t="s">
        <v>85</v>
      </c>
      <c r="D72" t="s">
        <v>90</v>
      </c>
      <c r="F72" s="12" t="s">
        <v>49</v>
      </c>
      <c r="G72" s="11">
        <v>43710</v>
      </c>
      <c r="I72" s="14">
        <v>2461196.333333333</v>
      </c>
      <c r="J72" s="14">
        <v>862600</v>
      </c>
      <c r="L72" s="21">
        <v>13213235.219178081</v>
      </c>
    </row>
    <row r="73" spans="1:12" x14ac:dyDescent="0.45">
      <c r="A73" s="2" t="s">
        <v>18</v>
      </c>
      <c r="B73" s="12" t="s">
        <v>85</v>
      </c>
      <c r="D73" t="s">
        <v>91</v>
      </c>
      <c r="F73" s="12" t="s">
        <v>49</v>
      </c>
      <c r="G73" s="11">
        <v>39173</v>
      </c>
      <c r="I73" s="14">
        <v>3645138</v>
      </c>
      <c r="J73" s="14">
        <v>2271000</v>
      </c>
      <c r="L73" s="21">
        <v>66580800.25</v>
      </c>
    </row>
    <row r="74" spans="1:12" x14ac:dyDescent="0.45">
      <c r="A74" s="2" t="s">
        <v>18</v>
      </c>
      <c r="B74" s="12" t="s">
        <v>85</v>
      </c>
      <c r="D74" t="s">
        <v>92</v>
      </c>
      <c r="F74" s="12" t="s">
        <v>49</v>
      </c>
      <c r="G74" s="11">
        <v>42583</v>
      </c>
      <c r="I74" s="14">
        <v>3467437.333333333</v>
      </c>
      <c r="J74" s="14">
        <v>1731240</v>
      </c>
      <c r="L74" s="21">
        <v>29737690.916666672</v>
      </c>
    </row>
    <row r="75" spans="1:12" x14ac:dyDescent="0.45">
      <c r="A75" s="2" t="s">
        <v>18</v>
      </c>
      <c r="B75" s="12" t="s">
        <v>85</v>
      </c>
      <c r="D75" t="s">
        <v>93</v>
      </c>
      <c r="F75" s="12" t="s">
        <v>49</v>
      </c>
      <c r="G75" s="11">
        <v>44896</v>
      </c>
      <c r="I75" s="14">
        <v>3230963.333333333</v>
      </c>
      <c r="J75" s="14">
        <v>1747200</v>
      </c>
      <c r="L75" s="21">
        <v>6886860.2712328769</v>
      </c>
    </row>
    <row r="76" spans="1:12" x14ac:dyDescent="0.45">
      <c r="A76" s="2" t="s">
        <v>18</v>
      </c>
      <c r="B76" s="12" t="s">
        <v>94</v>
      </c>
      <c r="D76" t="s">
        <v>95</v>
      </c>
      <c r="F76" s="12" t="s">
        <v>49</v>
      </c>
      <c r="G76" s="11">
        <v>42461</v>
      </c>
      <c r="I76" s="14">
        <v>2327510</v>
      </c>
      <c r="J76" s="14">
        <v>1663830</v>
      </c>
      <c r="L76" s="21">
        <v>21109812.5</v>
      </c>
    </row>
    <row r="77" spans="1:12" x14ac:dyDescent="0.45">
      <c r="A77" s="2" t="s">
        <v>18</v>
      </c>
      <c r="B77" s="12" t="s">
        <v>94</v>
      </c>
      <c r="D77" t="s">
        <v>116</v>
      </c>
      <c r="F77" s="12" t="s">
        <v>49</v>
      </c>
      <c r="G77" s="11">
        <v>41277</v>
      </c>
      <c r="I77" s="14">
        <v>3414476.666666667</v>
      </c>
      <c r="J77" s="14"/>
      <c r="L77" s="21">
        <v>40070011.567123286</v>
      </c>
    </row>
    <row r="78" spans="1:12" x14ac:dyDescent="0.45">
      <c r="A78" s="2" t="s">
        <v>18</v>
      </c>
      <c r="B78" s="12" t="s">
        <v>94</v>
      </c>
      <c r="D78" t="s">
        <v>96</v>
      </c>
      <c r="F78" s="12" t="s">
        <v>49</v>
      </c>
      <c r="G78" s="11">
        <v>41548</v>
      </c>
      <c r="I78" s="14">
        <v>3242810</v>
      </c>
      <c r="J78" s="14">
        <v>633840</v>
      </c>
      <c r="L78" s="21">
        <v>36269831.25</v>
      </c>
    </row>
    <row r="79" spans="1:12" x14ac:dyDescent="0.45">
      <c r="A79" s="2" t="s">
        <v>18</v>
      </c>
      <c r="B79" s="12" t="s">
        <v>94</v>
      </c>
      <c r="D79" t="s">
        <v>117</v>
      </c>
      <c r="F79" s="12" t="s">
        <v>49</v>
      </c>
      <c r="G79" s="11">
        <v>42583</v>
      </c>
      <c r="I79" s="14">
        <v>2901960</v>
      </c>
      <c r="J79" s="14">
        <v>316920</v>
      </c>
      <c r="L79" s="21">
        <v>24111300.75</v>
      </c>
    </row>
    <row r="80" spans="1:12" x14ac:dyDescent="0.45">
      <c r="A80" s="2" t="s">
        <v>18</v>
      </c>
      <c r="B80" s="12" t="s">
        <v>94</v>
      </c>
      <c r="D80" t="s">
        <v>97</v>
      </c>
      <c r="F80" s="12" t="s">
        <v>49</v>
      </c>
      <c r="G80" s="11">
        <v>43811</v>
      </c>
      <c r="I80" s="14">
        <v>2868930</v>
      </c>
      <c r="J80" s="14"/>
      <c r="L80" s="21">
        <v>14186589.16438356</v>
      </c>
    </row>
    <row r="81" spans="1:12" x14ac:dyDescent="0.45">
      <c r="A81" s="2" t="s">
        <v>18</v>
      </c>
      <c r="B81" s="12" t="s">
        <v>94</v>
      </c>
      <c r="D81" t="s">
        <v>98</v>
      </c>
      <c r="F81" s="12" t="s">
        <v>49</v>
      </c>
      <c r="G81" s="11">
        <v>44562</v>
      </c>
      <c r="I81" s="14">
        <v>3052630</v>
      </c>
      <c r="J81" s="14">
        <v>1109220</v>
      </c>
      <c r="L81" s="21">
        <v>9230082</v>
      </c>
    </row>
    <row r="82" spans="1:12" x14ac:dyDescent="0.45">
      <c r="A82" s="2" t="s">
        <v>18</v>
      </c>
      <c r="B82" s="12" t="s">
        <v>94</v>
      </c>
      <c r="D82" t="s">
        <v>99</v>
      </c>
      <c r="F82" s="12" t="s">
        <v>49</v>
      </c>
      <c r="G82" s="11">
        <v>44562</v>
      </c>
      <c r="I82" s="14">
        <v>3035670</v>
      </c>
      <c r="J82" s="14">
        <v>1188450</v>
      </c>
      <c r="L82" s="21">
        <v>9199683</v>
      </c>
    </row>
    <row r="83" spans="1:12" x14ac:dyDescent="0.45">
      <c r="A83" s="2" t="s">
        <v>18</v>
      </c>
      <c r="B83" s="12" t="s">
        <v>94</v>
      </c>
      <c r="D83" t="s">
        <v>118</v>
      </c>
      <c r="F83" s="12" t="s">
        <v>49</v>
      </c>
      <c r="G83" s="11">
        <v>44916</v>
      </c>
      <c r="I83" s="14">
        <v>3282426.666666667</v>
      </c>
      <c r="J83" s="14">
        <v>2059980</v>
      </c>
      <c r="L83" s="21">
        <v>6859836.9369863011</v>
      </c>
    </row>
    <row r="84" spans="1:12" x14ac:dyDescent="0.45">
      <c r="A84" s="2" t="s">
        <v>18</v>
      </c>
      <c r="B84" s="12" t="s">
        <v>100</v>
      </c>
      <c r="D84" t="s">
        <v>101</v>
      </c>
      <c r="F84" s="12" t="s">
        <v>49</v>
      </c>
      <c r="G84" s="11">
        <v>44927</v>
      </c>
      <c r="I84" s="14">
        <v>4347779</v>
      </c>
      <c r="J84" s="14">
        <v>0</v>
      </c>
      <c r="L84" s="21">
        <v>8506524</v>
      </c>
    </row>
    <row r="85" spans="1:12" x14ac:dyDescent="0.45">
      <c r="A85" s="2" t="s">
        <v>18</v>
      </c>
      <c r="B85" s="12" t="s">
        <v>100</v>
      </c>
      <c r="D85" t="s">
        <v>102</v>
      </c>
      <c r="F85" s="12" t="s">
        <v>49</v>
      </c>
      <c r="G85" s="11">
        <v>42736</v>
      </c>
      <c r="I85" s="14">
        <v>3991987.333333333</v>
      </c>
      <c r="J85" s="14">
        <v>554100</v>
      </c>
      <c r="L85" s="21">
        <v>31603008</v>
      </c>
    </row>
    <row r="86" spans="1:12" x14ac:dyDescent="0.45">
      <c r="A86" s="2" t="s">
        <v>18</v>
      </c>
      <c r="B86" s="12" t="s">
        <v>100</v>
      </c>
      <c r="D86" t="s">
        <v>103</v>
      </c>
      <c r="F86" s="12" t="s">
        <v>49</v>
      </c>
      <c r="G86" s="11">
        <v>42736</v>
      </c>
      <c r="I86" s="14">
        <v>3941969.333333333</v>
      </c>
      <c r="J86" s="14">
        <v>538750</v>
      </c>
      <c r="L86" s="21">
        <v>31201552</v>
      </c>
    </row>
    <row r="87" spans="1:12" x14ac:dyDescent="0.45">
      <c r="A87" s="2" t="s">
        <v>18</v>
      </c>
      <c r="B87" s="12" t="s">
        <v>100</v>
      </c>
      <c r="D87" t="s">
        <v>119</v>
      </c>
      <c r="F87" s="12" t="s">
        <v>49</v>
      </c>
      <c r="G87" s="11">
        <v>45096</v>
      </c>
      <c r="I87" s="14">
        <v>2504293.666666667</v>
      </c>
      <c r="J87" s="14">
        <v>0</v>
      </c>
      <c r="L87" s="21">
        <v>3762033.0027397261</v>
      </c>
    </row>
    <row r="88" spans="1:12" x14ac:dyDescent="0.45">
      <c r="A88" s="2" t="s">
        <v>18</v>
      </c>
      <c r="B88" s="12" t="s">
        <v>100</v>
      </c>
      <c r="D88" t="s">
        <v>104</v>
      </c>
      <c r="F88" s="12" t="s">
        <v>49</v>
      </c>
      <c r="G88" s="11">
        <v>45243</v>
      </c>
      <c r="I88" s="14">
        <v>2920500</v>
      </c>
      <c r="J88" s="14">
        <v>0</v>
      </c>
      <c r="L88" s="21">
        <v>3243815.2351598172</v>
      </c>
    </row>
    <row r="89" spans="1:12" x14ac:dyDescent="0.45">
      <c r="A89" s="2" t="s">
        <v>18</v>
      </c>
      <c r="B89" s="12" t="s">
        <v>100</v>
      </c>
      <c r="D89" t="s">
        <v>105</v>
      </c>
      <c r="F89" s="12" t="s">
        <v>49</v>
      </c>
      <c r="G89" s="11">
        <v>45271</v>
      </c>
      <c r="I89" s="14">
        <v>2253833.333333333</v>
      </c>
      <c r="J89" s="14">
        <v>0</v>
      </c>
      <c r="L89" s="21">
        <v>2331689.5780821922</v>
      </c>
    </row>
    <row r="90" spans="1:12" x14ac:dyDescent="0.45">
      <c r="A90" s="2" t="s">
        <v>18</v>
      </c>
      <c r="B90" s="12" t="s">
        <v>100</v>
      </c>
      <c r="D90" t="s">
        <v>120</v>
      </c>
      <c r="F90" s="12" t="s">
        <v>49</v>
      </c>
      <c r="G90" s="11">
        <v>44858</v>
      </c>
      <c r="I90" s="14">
        <v>3659533</v>
      </c>
      <c r="J90" s="14">
        <v>0</v>
      </c>
      <c r="L90" s="21">
        <v>7835082.0826484011</v>
      </c>
    </row>
    <row r="91" spans="1:12" x14ac:dyDescent="0.45">
      <c r="A91" s="2" t="s">
        <v>18</v>
      </c>
      <c r="B91" s="12" t="s">
        <v>100</v>
      </c>
      <c r="D91" t="s">
        <v>106</v>
      </c>
      <c r="F91" s="12" t="s">
        <v>49</v>
      </c>
      <c r="G91" s="11">
        <v>44927</v>
      </c>
      <c r="I91" s="14">
        <v>2294460</v>
      </c>
      <c r="J91" s="14">
        <v>0</v>
      </c>
      <c r="L91" s="21">
        <v>4489160</v>
      </c>
    </row>
    <row r="92" spans="1:12" x14ac:dyDescent="0.45">
      <c r="A92" s="2" t="s">
        <v>18</v>
      </c>
      <c r="B92" s="12" t="s">
        <v>100</v>
      </c>
      <c r="D92" t="s">
        <v>107</v>
      </c>
      <c r="F92" s="12" t="s">
        <v>49</v>
      </c>
      <c r="G92" s="11">
        <v>44927</v>
      </c>
      <c r="I92" s="14">
        <v>2125440</v>
      </c>
      <c r="J92" s="14">
        <v>0</v>
      </c>
      <c r="L92" s="21">
        <v>4158468</v>
      </c>
    </row>
    <row r="93" spans="1:12" x14ac:dyDescent="0.45">
      <c r="A93" s="2" t="s">
        <v>18</v>
      </c>
      <c r="B93" s="12" t="s">
        <v>100</v>
      </c>
      <c r="D93" t="s">
        <v>108</v>
      </c>
      <c r="F93" s="12" t="s">
        <v>49</v>
      </c>
      <c r="G93" s="11">
        <v>44927</v>
      </c>
      <c r="I93" s="14">
        <v>2260120</v>
      </c>
      <c r="J93" s="14">
        <v>0</v>
      </c>
      <c r="L93" s="21">
        <v>4421972</v>
      </c>
    </row>
    <row r="94" spans="1:12" x14ac:dyDescent="0.45">
      <c r="A94" s="2"/>
      <c r="B94" s="12"/>
      <c r="L94" s="21"/>
    </row>
    <row r="95" spans="1:12" x14ac:dyDescent="0.45">
      <c r="A95" s="2"/>
      <c r="B95" s="12"/>
      <c r="L95" s="21"/>
    </row>
  </sheetData>
  <mergeCells count="4">
    <mergeCell ref="L1"/>
    <mergeCell ref="A1:E1"/>
    <mergeCell ref="F1:H1"/>
    <mergeCell ref="I1:K1"/>
  </mergeCells>
  <phoneticPr fontId="6" type="noConversion"/>
  <dataValidations count="1">
    <dataValidation type="list" allowBlank="1" showErrorMessage="1" error="제조원가 또는 판관비 중 선택하세요." sqref="F3:F295" xr:uid="{00000000-0002-0000-0100-000000000000}">
      <formula1>"제조원가,판관비"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18" sqref="F18"/>
    </sheetView>
  </sheetViews>
  <sheetFormatPr defaultRowHeight="17" x14ac:dyDescent="0.45"/>
  <cols>
    <col min="1" max="2" width="14" customWidth="1"/>
    <col min="3" max="3" width="16" customWidth="1"/>
    <col min="4" max="4" width="18" customWidth="1"/>
    <col min="5" max="5" width="14" customWidth="1"/>
  </cols>
  <sheetData>
    <row r="1" spans="1:6" ht="20" customHeight="1" x14ac:dyDescent="0.45">
      <c r="A1" s="28" t="s">
        <v>121</v>
      </c>
      <c r="B1" s="29"/>
      <c r="C1" s="29"/>
      <c r="D1" s="29"/>
      <c r="E1" s="29"/>
      <c r="F1" s="29"/>
    </row>
    <row r="2" spans="1:6" ht="34" x14ac:dyDescent="0.45">
      <c r="A2" s="1" t="s">
        <v>7</v>
      </c>
      <c r="B2" s="1" t="s">
        <v>8</v>
      </c>
      <c r="C2" s="1" t="s">
        <v>122</v>
      </c>
      <c r="D2" s="22" t="s">
        <v>123</v>
      </c>
      <c r="E2" s="22" t="s">
        <v>124</v>
      </c>
      <c r="F2" s="1" t="s">
        <v>17</v>
      </c>
    </row>
    <row r="3" spans="1:6" x14ac:dyDescent="0.45">
      <c r="A3" s="2"/>
      <c r="B3" s="2" t="s">
        <v>125</v>
      </c>
      <c r="C3" s="13">
        <v>26948388</v>
      </c>
      <c r="D3" s="23" t="s">
        <v>184</v>
      </c>
      <c r="E3" s="23"/>
      <c r="F3" s="2"/>
    </row>
    <row r="4" spans="1:6" x14ac:dyDescent="0.45">
      <c r="B4" t="s">
        <v>126</v>
      </c>
      <c r="C4" s="14">
        <v>3623877</v>
      </c>
      <c r="D4" s="23" t="s">
        <v>184</v>
      </c>
      <c r="E4" s="23"/>
    </row>
    <row r="5" spans="1:6" x14ac:dyDescent="0.45">
      <c r="B5" t="s">
        <v>111</v>
      </c>
      <c r="C5" s="14">
        <v>140729736</v>
      </c>
      <c r="D5" s="23" t="s">
        <v>184</v>
      </c>
      <c r="E5" s="23"/>
    </row>
    <row r="6" spans="1:6" x14ac:dyDescent="0.45">
      <c r="B6" t="s">
        <v>119</v>
      </c>
      <c r="C6" s="14">
        <v>6533457</v>
      </c>
      <c r="D6" s="23" t="s">
        <v>184</v>
      </c>
      <c r="E6" s="23"/>
    </row>
    <row r="7" spans="1:6" x14ac:dyDescent="0.45">
      <c r="B7" t="s">
        <v>118</v>
      </c>
      <c r="C7" s="14">
        <v>10027386</v>
      </c>
      <c r="D7" s="23" t="s">
        <v>184</v>
      </c>
      <c r="E7" s="23"/>
    </row>
    <row r="8" spans="1:6" x14ac:dyDescent="0.45">
      <c r="B8" t="s">
        <v>120</v>
      </c>
      <c r="C8" s="14">
        <v>9858060</v>
      </c>
      <c r="D8" s="23" t="s">
        <v>184</v>
      </c>
      <c r="E8" s="23"/>
    </row>
    <row r="9" spans="1:6" x14ac:dyDescent="0.45">
      <c r="B9" t="s">
        <v>109</v>
      </c>
      <c r="C9" s="14">
        <v>14660265</v>
      </c>
      <c r="D9" s="23" t="s">
        <v>184</v>
      </c>
      <c r="E9" s="23"/>
    </row>
    <row r="10" spans="1:6" x14ac:dyDescent="0.45">
      <c r="B10" t="s">
        <v>113</v>
      </c>
      <c r="C10" s="14">
        <v>24747816</v>
      </c>
      <c r="D10" s="23" t="s">
        <v>184</v>
      </c>
      <c r="E10" s="23"/>
    </row>
    <row r="11" spans="1:6" x14ac:dyDescent="0.45">
      <c r="B11" t="s">
        <v>115</v>
      </c>
      <c r="C11" s="14">
        <v>254925836</v>
      </c>
      <c r="D11" s="23" t="s">
        <v>184</v>
      </c>
      <c r="E11" s="23"/>
    </row>
    <row r="12" spans="1:6" x14ac:dyDescent="0.45">
      <c r="B12" t="s">
        <v>127</v>
      </c>
      <c r="C12" s="14">
        <v>5754136</v>
      </c>
      <c r="D12" s="23" t="s">
        <v>184</v>
      </c>
      <c r="E12" s="23"/>
    </row>
    <row r="13" spans="1:6" x14ac:dyDescent="0.45">
      <c r="B13" t="s">
        <v>111</v>
      </c>
      <c r="C13" s="14">
        <v>21323837</v>
      </c>
      <c r="D13" s="23" t="s">
        <v>184</v>
      </c>
      <c r="E13" s="23"/>
    </row>
    <row r="14" spans="1:6" x14ac:dyDescent="0.45">
      <c r="B14" t="s">
        <v>110</v>
      </c>
      <c r="C14" s="14">
        <v>47076081</v>
      </c>
      <c r="D14" s="23" t="s">
        <v>184</v>
      </c>
      <c r="E14" s="23"/>
    </row>
    <row r="15" spans="1:6" x14ac:dyDescent="0.45">
      <c r="B15" t="s">
        <v>112</v>
      </c>
      <c r="C15" s="14">
        <v>133493624</v>
      </c>
      <c r="D15" s="23" t="s">
        <v>184</v>
      </c>
      <c r="E15" s="23"/>
    </row>
    <row r="16" spans="1:6" x14ac:dyDescent="0.45">
      <c r="B16" t="s">
        <v>75</v>
      </c>
      <c r="C16" s="14">
        <v>49038215</v>
      </c>
      <c r="D16" s="23" t="s">
        <v>185</v>
      </c>
      <c r="E16" s="23"/>
    </row>
    <row r="17" spans="2:5" x14ac:dyDescent="0.45">
      <c r="B17" t="s">
        <v>101</v>
      </c>
      <c r="C17" s="14">
        <v>12766162</v>
      </c>
      <c r="D17" s="23" t="s">
        <v>184</v>
      </c>
      <c r="E17" s="23"/>
    </row>
    <row r="18" spans="2:5" x14ac:dyDescent="0.45">
      <c r="B18" t="s">
        <v>106</v>
      </c>
      <c r="C18" s="14">
        <v>6923648</v>
      </c>
      <c r="D18" s="23" t="s">
        <v>184</v>
      </c>
      <c r="E18" s="23"/>
    </row>
    <row r="19" spans="2:5" x14ac:dyDescent="0.45">
      <c r="B19" t="s">
        <v>108</v>
      </c>
      <c r="C19" s="14">
        <v>6820779</v>
      </c>
      <c r="D19" s="23" t="s">
        <v>184</v>
      </c>
      <c r="E19" s="23"/>
    </row>
    <row r="20" spans="2:5" x14ac:dyDescent="0.45">
      <c r="B20" t="s">
        <v>107</v>
      </c>
      <c r="C20" s="14">
        <v>6417230</v>
      </c>
      <c r="D20" s="23" t="s">
        <v>184</v>
      </c>
      <c r="E20" s="23"/>
    </row>
    <row r="21" spans="2:5" x14ac:dyDescent="0.45">
      <c r="B21" t="s">
        <v>114</v>
      </c>
      <c r="C21" s="14">
        <v>8261169</v>
      </c>
      <c r="D21" s="23" t="s">
        <v>184</v>
      </c>
      <c r="E21" s="23"/>
    </row>
    <row r="22" spans="2:5" x14ac:dyDescent="0.45">
      <c r="C22" s="14"/>
      <c r="D22" s="23"/>
      <c r="E22" s="23"/>
    </row>
  </sheetData>
  <mergeCells count="1">
    <mergeCell ref="A1:F1"/>
  </mergeCells>
  <phoneticPr fontId="6" type="noConversion"/>
  <dataValidations count="1">
    <dataValidation type="list" allowBlank="1" showErrorMessage="1" error="실제퇴사 또는 중간정산 중 선택하세요." sqref="D3:D22" xr:uid="{00000000-0002-0000-0200-000000000000}">
      <formula1>"실제퇴사,중간정산"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A20" sqref="A20"/>
    </sheetView>
  </sheetViews>
  <sheetFormatPr defaultRowHeight="17" x14ac:dyDescent="0.45"/>
  <cols>
    <col min="1" max="1" width="42" customWidth="1"/>
    <col min="2" max="2" width="18" customWidth="1"/>
    <col min="3" max="3" width="46" customWidth="1"/>
  </cols>
  <sheetData>
    <row r="1" spans="1:3" ht="20.5" customHeight="1" x14ac:dyDescent="0.55000000000000004">
      <c r="A1" s="4" t="s">
        <v>128</v>
      </c>
    </row>
    <row r="3" spans="1:3" x14ac:dyDescent="0.45">
      <c r="A3" s="1" t="s">
        <v>129</v>
      </c>
      <c r="B3" s="1" t="s">
        <v>130</v>
      </c>
      <c r="C3" s="1" t="s">
        <v>131</v>
      </c>
    </row>
    <row r="4" spans="1:3" ht="51" customHeight="1" x14ac:dyDescent="0.45">
      <c r="A4" s="2" t="s">
        <v>132</v>
      </c>
      <c r="B4" s="5">
        <v>2138222117.3187218</v>
      </c>
      <c r="C4" s="6" t="s">
        <v>133</v>
      </c>
    </row>
    <row r="5" spans="1:3" ht="34" customHeight="1" x14ac:dyDescent="0.45">
      <c r="A5" s="2" t="s">
        <v>134</v>
      </c>
      <c r="B5" s="5">
        <v>5703361273.3184929</v>
      </c>
      <c r="C5" s="6" t="s">
        <v>135</v>
      </c>
    </row>
    <row r="6" spans="1:3" ht="34" customHeight="1" x14ac:dyDescent="0.45">
      <c r="A6" s="2" t="s">
        <v>136</v>
      </c>
      <c r="B6" s="5">
        <v>2717134990.7885847</v>
      </c>
      <c r="C6" s="6" t="s">
        <v>137</v>
      </c>
    </row>
    <row r="7" spans="1:3" x14ac:dyDescent="0.45">
      <c r="A7" s="2" t="s">
        <v>138</v>
      </c>
      <c r="B7" s="5">
        <v>6305600176.2972593</v>
      </c>
      <c r="C7" s="6" t="s">
        <v>139</v>
      </c>
    </row>
    <row r="8" spans="1:3" ht="85" customHeight="1" x14ac:dyDescent="0.45">
      <c r="A8" s="15" t="s">
        <v>140</v>
      </c>
      <c r="B8" s="16">
        <v>789929702</v>
      </c>
      <c r="C8" s="17" t="s">
        <v>141</v>
      </c>
    </row>
    <row r="9" spans="1:3" x14ac:dyDescent="0.45">
      <c r="A9" s="7"/>
    </row>
    <row r="10" spans="1:3" x14ac:dyDescent="0.45">
      <c r="A10" s="18" t="s">
        <v>142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0"/>
  <sheetViews>
    <sheetView workbookViewId="0"/>
  </sheetViews>
  <sheetFormatPr defaultRowHeight="17" x14ac:dyDescent="0.45"/>
  <cols>
    <col min="1" max="1" width="100" customWidth="1"/>
  </cols>
  <sheetData>
    <row r="1" spans="1:1" ht="20.5" customHeight="1" x14ac:dyDescent="0.45">
      <c r="A1" s="8" t="s">
        <v>143</v>
      </c>
    </row>
    <row r="2" spans="1:1" x14ac:dyDescent="0.45">
      <c r="A2" s="9"/>
    </row>
    <row r="3" spans="1:1" x14ac:dyDescent="0.45">
      <c r="A3" s="9" t="s">
        <v>144</v>
      </c>
    </row>
    <row r="4" spans="1:1" x14ac:dyDescent="0.45">
      <c r="A4" s="9" t="s">
        <v>145</v>
      </c>
    </row>
    <row r="5" spans="1:1" x14ac:dyDescent="0.45">
      <c r="A5" s="9" t="s">
        <v>146</v>
      </c>
    </row>
    <row r="6" spans="1:1" x14ac:dyDescent="0.45">
      <c r="A6" s="9" t="s">
        <v>147</v>
      </c>
    </row>
    <row r="7" spans="1:1" x14ac:dyDescent="0.45">
      <c r="A7" s="9"/>
    </row>
    <row r="8" spans="1:1" x14ac:dyDescent="0.45">
      <c r="A8" s="9" t="s">
        <v>148</v>
      </c>
    </row>
    <row r="9" spans="1:1" x14ac:dyDescent="0.45">
      <c r="A9" s="9" t="s">
        <v>149</v>
      </c>
    </row>
    <row r="10" spans="1:1" x14ac:dyDescent="0.45">
      <c r="A10" s="9" t="s">
        <v>150</v>
      </c>
    </row>
    <row r="11" spans="1:1" x14ac:dyDescent="0.45">
      <c r="A11" s="9" t="s">
        <v>151</v>
      </c>
    </row>
    <row r="12" spans="1:1" x14ac:dyDescent="0.45">
      <c r="A12" s="9" t="s">
        <v>152</v>
      </c>
    </row>
    <row r="13" spans="1:1" x14ac:dyDescent="0.45">
      <c r="A13" s="9" t="s">
        <v>153</v>
      </c>
    </row>
    <row r="14" spans="1:1" x14ac:dyDescent="0.45">
      <c r="A14" s="9"/>
    </row>
    <row r="15" spans="1:1" x14ac:dyDescent="0.45">
      <c r="A15" s="9" t="s">
        <v>154</v>
      </c>
    </row>
    <row r="16" spans="1:1" x14ac:dyDescent="0.45">
      <c r="A16" s="9" t="s">
        <v>155</v>
      </c>
    </row>
    <row r="17" spans="1:1" x14ac:dyDescent="0.45">
      <c r="A17" s="9"/>
    </row>
    <row r="18" spans="1:1" x14ac:dyDescent="0.45">
      <c r="A18" s="9" t="s">
        <v>156</v>
      </c>
    </row>
    <row r="19" spans="1:1" x14ac:dyDescent="0.45">
      <c r="A19" s="9" t="s">
        <v>157</v>
      </c>
    </row>
    <row r="20" spans="1:1" x14ac:dyDescent="0.45">
      <c r="A20" s="9" t="s">
        <v>158</v>
      </c>
    </row>
    <row r="21" spans="1:1" x14ac:dyDescent="0.45">
      <c r="A21" s="9" t="s">
        <v>159</v>
      </c>
    </row>
    <row r="22" spans="1:1" x14ac:dyDescent="0.45">
      <c r="A22" s="9" t="s">
        <v>160</v>
      </c>
    </row>
    <row r="23" spans="1:1" x14ac:dyDescent="0.45">
      <c r="A23" s="9" t="s">
        <v>161</v>
      </c>
    </row>
    <row r="24" spans="1:1" x14ac:dyDescent="0.45">
      <c r="A24" s="9"/>
    </row>
    <row r="25" spans="1:1" x14ac:dyDescent="0.45">
      <c r="A25" s="9" t="s">
        <v>162</v>
      </c>
    </row>
    <row r="26" spans="1:1" x14ac:dyDescent="0.45">
      <c r="A26" s="9" t="s">
        <v>163</v>
      </c>
    </row>
    <row r="27" spans="1:1" x14ac:dyDescent="0.45">
      <c r="A27" s="9" t="s">
        <v>164</v>
      </c>
    </row>
    <row r="28" spans="1:1" x14ac:dyDescent="0.45">
      <c r="A28" s="9" t="s">
        <v>165</v>
      </c>
    </row>
    <row r="29" spans="1:1" x14ac:dyDescent="0.45">
      <c r="A29" s="9" t="s">
        <v>166</v>
      </c>
    </row>
    <row r="30" spans="1:1" x14ac:dyDescent="0.45">
      <c r="A30" s="9" t="s">
        <v>167</v>
      </c>
    </row>
    <row r="31" spans="1:1" x14ac:dyDescent="0.45">
      <c r="A31" s="9" t="s">
        <v>168</v>
      </c>
    </row>
    <row r="32" spans="1:1" x14ac:dyDescent="0.45">
      <c r="A32" s="9" t="s">
        <v>169</v>
      </c>
    </row>
    <row r="33" spans="1:1" x14ac:dyDescent="0.45">
      <c r="A33" s="9" t="s">
        <v>170</v>
      </c>
    </row>
    <row r="34" spans="1:1" ht="34" customHeight="1" x14ac:dyDescent="0.45">
      <c r="A34" s="9" t="s">
        <v>171</v>
      </c>
    </row>
    <row r="35" spans="1:1" x14ac:dyDescent="0.45">
      <c r="A35" s="9"/>
    </row>
    <row r="36" spans="1:1" x14ac:dyDescent="0.45">
      <c r="A36" s="9" t="s">
        <v>172</v>
      </c>
    </row>
    <row r="37" spans="1:1" x14ac:dyDescent="0.45">
      <c r="A37" s="9" t="s">
        <v>173</v>
      </c>
    </row>
    <row r="38" spans="1:1" x14ac:dyDescent="0.45">
      <c r="A38" s="9" t="s">
        <v>174</v>
      </c>
    </row>
    <row r="39" spans="1:1" x14ac:dyDescent="0.45">
      <c r="A39" s="9" t="s">
        <v>175</v>
      </c>
    </row>
    <row r="40" spans="1:1" x14ac:dyDescent="0.45">
      <c r="A40" s="9"/>
    </row>
    <row r="41" spans="1:1" x14ac:dyDescent="0.45">
      <c r="A41" s="9" t="s">
        <v>176</v>
      </c>
    </row>
    <row r="42" spans="1:1" x14ac:dyDescent="0.45">
      <c r="A42" s="9" t="s">
        <v>177</v>
      </c>
    </row>
    <row r="43" spans="1:1" x14ac:dyDescent="0.45">
      <c r="A43" s="9" t="s">
        <v>178</v>
      </c>
    </row>
    <row r="44" spans="1:1" x14ac:dyDescent="0.45">
      <c r="A44" s="9"/>
    </row>
    <row r="45" spans="1:1" x14ac:dyDescent="0.45">
      <c r="A45" s="9" t="s">
        <v>179</v>
      </c>
    </row>
    <row r="46" spans="1:1" x14ac:dyDescent="0.45">
      <c r="A46" s="9" t="s">
        <v>180</v>
      </c>
    </row>
    <row r="47" spans="1:1" x14ac:dyDescent="0.45">
      <c r="A47" s="9" t="s">
        <v>181</v>
      </c>
    </row>
    <row r="48" spans="1:1" x14ac:dyDescent="0.45">
      <c r="A48" s="9"/>
    </row>
    <row r="49" spans="1:1" x14ac:dyDescent="0.45">
      <c r="A49" s="9" t="s">
        <v>182</v>
      </c>
    </row>
    <row r="50" spans="1:1" x14ac:dyDescent="0.45">
      <c r="A50" s="9" t="s">
        <v>183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당기정보</vt:lpstr>
      <vt:lpstr>전기정보</vt:lpstr>
      <vt:lpstr>당기퇴사자</vt:lpstr>
      <vt:lpstr>기준정보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2026-08-17T06:43:54Z</dcterms:created>
  <dcterms:modified xsi:type="dcterms:W3CDTF">2026-08-18T01:50:04Z</dcterms:modified>
</cp:coreProperties>
</file>