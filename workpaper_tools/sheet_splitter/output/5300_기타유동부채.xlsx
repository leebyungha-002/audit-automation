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DA04CC42-D44D-4D7E-8E86-3495C9C090D5}" xr6:coauthVersionLast="47" xr6:coauthVersionMax="47" xr10:uidLastSave="{00000000-0000-0000-0000-000000000000}"/>
  <bookViews>
    <workbookView xWindow="-110" yWindow="-110" windowWidth="25820" windowHeight="16220" xr2:uid="{1FDDDA00-5092-44D0-AC7B-0AAFC3370EFF}"/>
  </bookViews>
  <sheets>
    <sheet name="5300_기타유동부채" sheetId="22" r:id="rId1"/>
    <sheet name="5300-계정명세_미지급금" sheetId="24" r:id="rId2"/>
    <sheet name="5300-계정명세_미지급금(사원)상세" sheetId="25" r:id="rId3"/>
    <sheet name="5300_계정명세_예수금" sheetId="26" r:id="rId4"/>
    <sheet name="5300_계정명세_일반선수금" sheetId="27" r:id="rId5"/>
    <sheet name="5300-계정명세_미지급비용" sheetId="29" r:id="rId6"/>
    <sheet name="5300_기타유동부채_총계정원장" sheetId="23" r:id="rId7"/>
    <sheet name="5300_주석" sheetId="3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_" localSheetId="4">#REF!</definedName>
    <definedName name="_" localSheetId="5">#REF!</definedName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 localSheetId="4">[2]시산표!#REF!</definedName>
    <definedName name="____TB112" localSheetId="5">[2]시산표!#REF!</definedName>
    <definedName name="____TB112">#REF!</definedName>
    <definedName name="____TB115" localSheetId="4">[3]시산표!#REF!</definedName>
    <definedName name="____TB115" localSheetId="5">[3]시산표!#REF!</definedName>
    <definedName name="____TB115">#REF!</definedName>
    <definedName name="____TB124" localSheetId="4">[3]시산표!#REF!</definedName>
    <definedName name="____TB124" localSheetId="5">[3]시산표!#REF!</definedName>
    <definedName name="____TB124">#REF!</definedName>
    <definedName name="____TB125" localSheetId="4">[3]시산표!#REF!</definedName>
    <definedName name="____TB125" localSheetId="5">[3]시산표!#REF!</definedName>
    <definedName name="____TB125">#REF!</definedName>
    <definedName name="____TB126" localSheetId="4">[3]시산표!#REF!</definedName>
    <definedName name="____TB126" localSheetId="5">[3]시산표!#REF!</definedName>
    <definedName name="____TB126">#REF!</definedName>
    <definedName name="____TB131" localSheetId="4">[3]시산표!#REF!</definedName>
    <definedName name="____TB131" localSheetId="5">[3]시산표!#REF!</definedName>
    <definedName name="____TB131">#REF!</definedName>
    <definedName name="____TB132" localSheetId="4">[3]시산표!#REF!</definedName>
    <definedName name="____TB132" localSheetId="5">[3]시산표!#REF!</definedName>
    <definedName name="____TB132">#REF!</definedName>
    <definedName name="____TB211" localSheetId="4">[3]시산표!#REF!</definedName>
    <definedName name="____TB211" localSheetId="5">[3]시산표!#REF!</definedName>
    <definedName name="____TB211">#REF!</definedName>
    <definedName name="____TB213" localSheetId="4">[3]시산표!#REF!</definedName>
    <definedName name="____TB213" localSheetId="5">[3]시산표!#REF!</definedName>
    <definedName name="____TB213">#REF!</definedName>
    <definedName name="____TB214" localSheetId="4">[3]시산표!#REF!</definedName>
    <definedName name="____TB214" localSheetId="5">[3]시산표!#REF!</definedName>
    <definedName name="____TB214">#REF!</definedName>
    <definedName name="____TB215" localSheetId="4">[3]시산표!#REF!</definedName>
    <definedName name="____TB215" localSheetId="5">[3]시산표!#REF!</definedName>
    <definedName name="____TB215">#REF!</definedName>
    <definedName name="____TB221" localSheetId="4">[3]시산표!#REF!</definedName>
    <definedName name="____TB221" localSheetId="5">[3]시산표!#REF!</definedName>
    <definedName name="____TB221">#REF!</definedName>
    <definedName name="____TB2210" localSheetId="4">[2]시산표!#REF!</definedName>
    <definedName name="____TB2210" localSheetId="5">[2]시산표!#REF!</definedName>
    <definedName name="____TB2210">#REF!</definedName>
    <definedName name="____TB222" localSheetId="4">[3]시산표!#REF!</definedName>
    <definedName name="____TB222" localSheetId="5">[3]시산표!#REF!</definedName>
    <definedName name="____TB222">#REF!</definedName>
    <definedName name="____TB223" localSheetId="4">[3]시산표!#REF!</definedName>
    <definedName name="____TB223" localSheetId="5">[3]시산표!#REF!</definedName>
    <definedName name="____TB223">#REF!</definedName>
    <definedName name="____TB224" localSheetId="4">[3]시산표!#REF!</definedName>
    <definedName name="____TB224" localSheetId="5">[3]시산표!#REF!</definedName>
    <definedName name="____TB224">#REF!</definedName>
    <definedName name="____TB225" localSheetId="4">[2]시산표!#REF!</definedName>
    <definedName name="____TB225" localSheetId="5">[2]시산표!#REF!</definedName>
    <definedName name="____TB225">#REF!</definedName>
    <definedName name="____TB227" localSheetId="4">[2]시산표!#REF!</definedName>
    <definedName name="____TB227" localSheetId="5">[2]시산표!#REF!</definedName>
    <definedName name="____TB227">#REF!</definedName>
    <definedName name="____TB229" localSheetId="4">[2]시산표!#REF!</definedName>
    <definedName name="____TB229" localSheetId="5">[2]시산표!#REF!</definedName>
    <definedName name="____TB229">#REF!</definedName>
    <definedName name="____TB311" localSheetId="4">[3]시산표!#REF!</definedName>
    <definedName name="____TB311" localSheetId="5">[3]시산표!#REF!</definedName>
    <definedName name="____TB311">#REF!</definedName>
    <definedName name="____TB313" localSheetId="4">[3]시산표!#REF!</definedName>
    <definedName name="____TB313" localSheetId="5">[3]시산표!#REF!</definedName>
    <definedName name="____TB313">#REF!</definedName>
    <definedName name="____TB317" localSheetId="4">[3]시산표!#REF!</definedName>
    <definedName name="____TB317" localSheetId="5">[3]시산표!#REF!</definedName>
    <definedName name="____TB317">#REF!</definedName>
    <definedName name="____TB318" localSheetId="4">[3]시산표!#REF!</definedName>
    <definedName name="____TB318" localSheetId="5">[3]시산표!#REF!</definedName>
    <definedName name="____TB318">#REF!</definedName>
    <definedName name="____TB319" localSheetId="4">[2]시산표!#REF!</definedName>
    <definedName name="____TB319" localSheetId="5">[2]시산표!#REF!</definedName>
    <definedName name="____TB319">#REF!</definedName>
    <definedName name="____TB322" localSheetId="4">[3]시산표!#REF!</definedName>
    <definedName name="____TB322" localSheetId="5">[3]시산표!#REF!</definedName>
    <definedName name="____TB322">#REF!</definedName>
    <definedName name="____TB323" localSheetId="4">[3]시산표!#REF!</definedName>
    <definedName name="____TB323" localSheetId="5">[3]시산표!#REF!</definedName>
    <definedName name="____TB323">#REF!</definedName>
    <definedName name="____TB324" localSheetId="4">[3]시산표!#REF!</definedName>
    <definedName name="____TB324" localSheetId="5">[3]시산표!#REF!</definedName>
    <definedName name="____TB324">#REF!</definedName>
    <definedName name="____TB325" localSheetId="4">[3]시산표!#REF!</definedName>
    <definedName name="____TB325" localSheetId="5">[3]시산표!#REF!</definedName>
    <definedName name="____TB325">#REF!</definedName>
    <definedName name="____TB401" localSheetId="4">[3]시산표!#REF!</definedName>
    <definedName name="____TB401" localSheetId="5">[3]시산표!#REF!</definedName>
    <definedName name="____TB401">#REF!</definedName>
    <definedName name="____TB402" localSheetId="4">[3]시산표!#REF!</definedName>
    <definedName name="____TB402" localSheetId="5">[3]시산표!#REF!</definedName>
    <definedName name="____TB402">#REF!</definedName>
    <definedName name="____TB403" localSheetId="4">[3]시산표!#REF!</definedName>
    <definedName name="____TB403" localSheetId="5">[3]시산표!#REF!</definedName>
    <definedName name="____TB403">#REF!</definedName>
    <definedName name="____TB404" localSheetId="4">[3]시산표!#REF!</definedName>
    <definedName name="____TB404" localSheetId="5">[3]시산표!#REF!</definedName>
    <definedName name="____TB404">#REF!</definedName>
    <definedName name="____TB405" localSheetId="4">[3]시산표!#REF!</definedName>
    <definedName name="____TB405" localSheetId="5">[3]시산표!#REF!</definedName>
    <definedName name="____TB405">#REF!</definedName>
    <definedName name="____TB510" localSheetId="4">[2]시산표!#REF!</definedName>
    <definedName name="____TB510" localSheetId="5">[2]시산표!#REF!</definedName>
    <definedName name="____TB510">#REF!</definedName>
    <definedName name="____TB511" localSheetId="4">[3]시산표!#REF!</definedName>
    <definedName name="____TB511" localSheetId="5">[3]시산표!#REF!</definedName>
    <definedName name="____TB511">#REF!</definedName>
    <definedName name="____TB601" localSheetId="4">[3]시산표!#REF!</definedName>
    <definedName name="____TB601" localSheetId="5">[3]시산표!#REF!</definedName>
    <definedName name="____TB601">#REF!</definedName>
    <definedName name="____TB604" localSheetId="4">[3]시산표!#REF!</definedName>
    <definedName name="____TB604" localSheetId="5">[3]시산표!#REF!</definedName>
    <definedName name="____TB604">#REF!</definedName>
    <definedName name="____TB605" localSheetId="4">[3]시산표!#REF!</definedName>
    <definedName name="____TB605" localSheetId="5">[3]시산표!#REF!</definedName>
    <definedName name="____TB605">#REF!</definedName>
    <definedName name="____TB811" localSheetId="4">[3]시산표!#REF!</definedName>
    <definedName name="____TB811" localSheetId="5">[3]시산표!#REF!</definedName>
    <definedName name="____TB811">#REF!</definedName>
    <definedName name="____TB812" localSheetId="4">[3]시산표!#REF!</definedName>
    <definedName name="____TB812" localSheetId="5">[3]시산표!#REF!</definedName>
    <definedName name="____TB812">#REF!</definedName>
    <definedName name="____TB813" localSheetId="4">[3]시산표!#REF!</definedName>
    <definedName name="____TB813" localSheetId="5">[3]시산표!#REF!</definedName>
    <definedName name="____TB813">#REF!</definedName>
    <definedName name="____TB814" localSheetId="4">[3]시산표!#REF!</definedName>
    <definedName name="____TB814" localSheetId="5">[3]시산표!#REF!</definedName>
    <definedName name="____TB814">#REF!</definedName>
    <definedName name="____TB820" localSheetId="4">[3]시산표!#REF!</definedName>
    <definedName name="____TB820" localSheetId="5">[3]시산표!#REF!</definedName>
    <definedName name="____TB820">#REF!</definedName>
    <definedName name="____TBI1001" localSheetId="4">[3]시산표!#REF!</definedName>
    <definedName name="____TBI1001" localSheetId="5">[3]시산표!#REF!</definedName>
    <definedName name="____TBI1001">#REF!</definedName>
    <definedName name="____TBI1002" localSheetId="4">[3]시산표!#REF!</definedName>
    <definedName name="____TBI1002" localSheetId="5">[3]시산표!#REF!</definedName>
    <definedName name="____TBI1002">#REF!</definedName>
    <definedName name="____TBI1003" localSheetId="4">[3]시산표!#REF!</definedName>
    <definedName name="____TBI1003" localSheetId="5">[3]시산표!#REF!</definedName>
    <definedName name="____TBI1003">#REF!</definedName>
    <definedName name="____TBI1004" localSheetId="4">[3]시산표!#REF!</definedName>
    <definedName name="____TBI1004" localSheetId="5">[3]시산표!#REF!</definedName>
    <definedName name="____TBI1004">#REF!</definedName>
    <definedName name="____TBI1005" localSheetId="4">[3]시산표!#REF!</definedName>
    <definedName name="____TBI1005" localSheetId="5">[3]시산표!#REF!</definedName>
    <definedName name="____TBI1005">#REF!</definedName>
    <definedName name="____TBI102" localSheetId="4">[3]시산표!#REF!</definedName>
    <definedName name="____TBI102" localSheetId="5">[3]시산표!#REF!</definedName>
    <definedName name="____TBI102">#REF!</definedName>
    <definedName name="____TBI1200" localSheetId="4">[3]시산표!#REF!</definedName>
    <definedName name="____TBI1200" localSheetId="5">[3]시산표!#REF!</definedName>
    <definedName name="____TBI1200">#REF!</definedName>
    <definedName name="____TBI403" localSheetId="4">[2]시산표!#REF!</definedName>
    <definedName name="____TBI403" localSheetId="5">[2]시산표!#REF!</definedName>
    <definedName name="____TBI403">#REF!</definedName>
    <definedName name="____TBI425" localSheetId="4">[3]시산표!#REF!</definedName>
    <definedName name="____TBI425" localSheetId="5">[3]시산표!#REF!</definedName>
    <definedName name="____TBI425">#REF!</definedName>
    <definedName name="____TBI603" localSheetId="4">[3]시산표!#REF!</definedName>
    <definedName name="____TBI603" localSheetId="5">[3]시산표!#REF!</definedName>
    <definedName name="____TBI603">#REF!</definedName>
    <definedName name="____TBI604" localSheetId="4">[3]시산표!#REF!</definedName>
    <definedName name="____TBI604" localSheetId="5">[3]시산표!#REF!</definedName>
    <definedName name="____TBI604">#REF!</definedName>
    <definedName name="____TBI605" localSheetId="4">[3]시산표!#REF!</definedName>
    <definedName name="____TBI605" localSheetId="5">[3]시산표!#REF!</definedName>
    <definedName name="____TBI605">#REF!</definedName>
    <definedName name="____TBI606" localSheetId="4">[3]시산표!#REF!</definedName>
    <definedName name="____TBI606" localSheetId="5">[3]시산표!#REF!</definedName>
    <definedName name="____TBI606">#REF!</definedName>
    <definedName name="____TBI607" localSheetId="4">[3]시산표!#REF!</definedName>
    <definedName name="____TBI607" localSheetId="5">[3]시산표!#REF!</definedName>
    <definedName name="____TBI607">#REF!</definedName>
    <definedName name="____TBI608" localSheetId="4">[3]시산표!#REF!</definedName>
    <definedName name="____TBI608" localSheetId="5">[3]시산표!#REF!</definedName>
    <definedName name="____TBI608">#REF!</definedName>
    <definedName name="____TBI609" localSheetId="4">[3]시산표!#REF!</definedName>
    <definedName name="____TBI609" localSheetId="5">[3]시산표!#REF!</definedName>
    <definedName name="____TBI609">#REF!</definedName>
    <definedName name="____TBI611" localSheetId="4">[3]시산표!#REF!</definedName>
    <definedName name="____TBI611" localSheetId="5">[3]시산표!#REF!</definedName>
    <definedName name="____TBI611">#REF!</definedName>
    <definedName name="____TBI613" localSheetId="4">[3]시산표!#REF!</definedName>
    <definedName name="____TBI613" localSheetId="5">[3]시산표!#REF!</definedName>
    <definedName name="____TBI613">#REF!</definedName>
    <definedName name="____TBI703" localSheetId="4">[3]시산표!#REF!</definedName>
    <definedName name="____TBI703" localSheetId="5">[3]시산표!#REF!</definedName>
    <definedName name="____TBI703">#REF!</definedName>
    <definedName name="____TBI704" localSheetId="4">[3]시산표!#REF!</definedName>
    <definedName name="____TBI704" localSheetId="5">[3]시산표!#REF!</definedName>
    <definedName name="____TBI704">#REF!</definedName>
    <definedName name="____TBI705" localSheetId="4">[3]시산표!#REF!</definedName>
    <definedName name="____TBI705" localSheetId="5">[3]시산표!#REF!</definedName>
    <definedName name="____TBI705">#REF!</definedName>
    <definedName name="____TBI706" localSheetId="4">[3]시산표!#REF!</definedName>
    <definedName name="____TBI706" localSheetId="5">[3]시산표!#REF!</definedName>
    <definedName name="____TBI706">#REF!</definedName>
    <definedName name="____TBI707" localSheetId="4">[3]시산표!#REF!</definedName>
    <definedName name="____TBI707" localSheetId="5">[3]시산표!#REF!</definedName>
    <definedName name="____TBI707">#REF!</definedName>
    <definedName name="____TBI708" localSheetId="4">[3]시산표!#REF!</definedName>
    <definedName name="____TBI708" localSheetId="5">[3]시산표!#REF!</definedName>
    <definedName name="____TBI708">#REF!</definedName>
    <definedName name="____TBI710" localSheetId="4">[3]시산표!#REF!</definedName>
    <definedName name="____TBI710" localSheetId="5">[3]시산표!#REF!</definedName>
    <definedName name="____TBI710">#REF!</definedName>
    <definedName name="____TBI711" localSheetId="4">[3]시산표!#REF!</definedName>
    <definedName name="____TBI711" localSheetId="5">[3]시산표!#REF!</definedName>
    <definedName name="____TBI711">#REF!</definedName>
    <definedName name="____TBI712" localSheetId="4">[3]시산표!#REF!</definedName>
    <definedName name="____TBI712" localSheetId="5">[3]시산표!#REF!</definedName>
    <definedName name="____TBI712">#REF!</definedName>
    <definedName name="____TBI713" localSheetId="4">[3]시산표!#REF!</definedName>
    <definedName name="____TBI713" localSheetId="5">[3]시산표!#REF!</definedName>
    <definedName name="____TBI713">#REF!</definedName>
    <definedName name="____TBI715" localSheetId="4">[3]시산표!#REF!</definedName>
    <definedName name="____TBI715" localSheetId="5">[3]시산표!#REF!</definedName>
    <definedName name="____TBI715">#REF!</definedName>
    <definedName name="____TBI717" localSheetId="4">[2]시산표!#REF!</definedName>
    <definedName name="____TBI717" localSheetId="5">[2]시산표!#REF!</definedName>
    <definedName name="____TBI717">#REF!</definedName>
    <definedName name="____TBI719" localSheetId="4">[2]시산표!#REF!</definedName>
    <definedName name="____TBI719" localSheetId="5">[2]시산표!#REF!</definedName>
    <definedName name="____TBI719">#REF!</definedName>
    <definedName name="____TBI903" localSheetId="4">[3]시산표!#REF!</definedName>
    <definedName name="____TBI903" localSheetId="5">[3]시산표!#REF!</definedName>
    <definedName name="____TBI903">#REF!</definedName>
    <definedName name="____TBI904" localSheetId="4">[3]시산표!#REF!</definedName>
    <definedName name="____TBI904" localSheetId="5">[3]시산표!#REF!</definedName>
    <definedName name="____TBI904">#REF!</definedName>
    <definedName name="____TBI905" localSheetId="4">[3]시산표!#REF!</definedName>
    <definedName name="____TBI905" localSheetId="5">[3]시산표!#REF!</definedName>
    <definedName name="____TBI905">#REF!</definedName>
    <definedName name="____TBI906" localSheetId="4">[3]시산표!#REF!</definedName>
    <definedName name="____TBI906" localSheetId="5">[3]시산표!#REF!</definedName>
    <definedName name="____TBI906">#REF!</definedName>
    <definedName name="____TBI907" localSheetId="4">[3]시산표!#REF!</definedName>
    <definedName name="____TBI907" localSheetId="5">[3]시산표!#REF!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 localSheetId="5">#REF!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 localSheetId="4">[4]업무연락!#REF!</definedName>
    <definedName name="___H31285" localSheetId="5">[4]업무연락!#REF!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 localSheetId="5">#REF!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 localSheetId="3">BlankMacro1</definedName>
    <definedName name="___K24" localSheetId="4">BlankMacro1</definedName>
    <definedName name="___K24" localSheetId="5">BlankMacro1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 localSheetId="4">[5]작업통제용!#REF!</definedName>
    <definedName name="___oct2" localSheetId="5">[5]작업통제용!#REF!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 localSheetId="5">[2]시산표!#REF!</definedName>
    <definedName name="___TB112">#REF!</definedName>
    <definedName name="___TB113">#REF!</definedName>
    <definedName name="___TB114">#REF!</definedName>
    <definedName name="___TB115" localSheetId="5">[3]시산표!#REF!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 localSheetId="5">[3]시산표!#REF!</definedName>
    <definedName name="___TB124">#REF!</definedName>
    <definedName name="___TB125" localSheetId="5">[3]시산표!#REF!</definedName>
    <definedName name="___TB125">#REF!</definedName>
    <definedName name="___TB126" localSheetId="5">[3]시산표!#REF!</definedName>
    <definedName name="___TB126">#REF!</definedName>
    <definedName name="___TB131" localSheetId="5">[3]시산표!#REF!</definedName>
    <definedName name="___TB131">#REF!</definedName>
    <definedName name="___TB132">#REF!</definedName>
    <definedName name="___TB211">#REF!</definedName>
    <definedName name="___TB212">#REF!</definedName>
    <definedName name="___TB213" localSheetId="5">[3]시산표!#REF!</definedName>
    <definedName name="___TB213">#REF!</definedName>
    <definedName name="___TB214" localSheetId="5">[3]시산표!#REF!</definedName>
    <definedName name="___TB214">#REF!</definedName>
    <definedName name="___TB215" localSheetId="5">[3]시산표!#REF!</definedName>
    <definedName name="___TB215">#REF!</definedName>
    <definedName name="___TB221" localSheetId="5">[3]시산표!#REF!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 localSheetId="5">[2]시산표!#REF!</definedName>
    <definedName name="___TB227">#REF!</definedName>
    <definedName name="___TB228">#REF!</definedName>
    <definedName name="___TB229" localSheetId="5">[2]시산표!#REF!</definedName>
    <definedName name="___TB229">#REF!</definedName>
    <definedName name="___TB311" localSheetId="5">[3]시산표!#REF!</definedName>
    <definedName name="___TB311">#REF!</definedName>
    <definedName name="___TB312">#REF!</definedName>
    <definedName name="___TB313" localSheetId="5">[3]시산표!#REF!</definedName>
    <definedName name="___TB313">#REF!</definedName>
    <definedName name="___TB314">#REF!</definedName>
    <definedName name="___TB315">#REF!</definedName>
    <definedName name="___TB316">#REF!</definedName>
    <definedName name="___TB317" localSheetId="5">[3]시산표!#REF!</definedName>
    <definedName name="___TB317">#REF!</definedName>
    <definedName name="___TB318" localSheetId="5">[3]시산표!#REF!</definedName>
    <definedName name="___TB318">#REF!</definedName>
    <definedName name="___TB319" localSheetId="5">[2]시산표!#REF!</definedName>
    <definedName name="___TB319">#REF!</definedName>
    <definedName name="___TB321">#REF!</definedName>
    <definedName name="___TB322" localSheetId="5">[3]시산표!#REF!</definedName>
    <definedName name="___TB322">#REF!</definedName>
    <definedName name="___TB323" localSheetId="5">[3]시산표!#REF!</definedName>
    <definedName name="___TB323">#REF!</definedName>
    <definedName name="___TB324" localSheetId="5">[3]시산표!#REF!</definedName>
    <definedName name="___TB324">#REF!</definedName>
    <definedName name="___TB325" localSheetId="5">[3]시산표!#REF!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 localSheetId="5">[2]시산표!#REF!</definedName>
    <definedName name="___TB510">#REF!</definedName>
    <definedName name="___TB511" localSheetId="5">[3]시산표!#REF!</definedName>
    <definedName name="___TB511">#REF!</definedName>
    <definedName name="___TB512">#REF!</definedName>
    <definedName name="___TB513">#REF!</definedName>
    <definedName name="___TB601" localSheetId="5">[3]시산표!#REF!</definedName>
    <definedName name="___TB601">#REF!</definedName>
    <definedName name="___TB602">#REF!</definedName>
    <definedName name="___TB603">#REF!</definedName>
    <definedName name="___TB604" localSheetId="5">[3]시산표!#REF!</definedName>
    <definedName name="___TB604">#REF!</definedName>
    <definedName name="___TB605" localSheetId="5">[3]시산표!#REF!</definedName>
    <definedName name="___TB605">#REF!</definedName>
    <definedName name="___TB701">#REF!</definedName>
    <definedName name="___TB811" localSheetId="5">[3]시산표!#REF!</definedName>
    <definedName name="___TB811">#REF!</definedName>
    <definedName name="___TB812" localSheetId="5">[3]시산표!#REF!</definedName>
    <definedName name="___TB812">#REF!</definedName>
    <definedName name="___TB813" localSheetId="5">[3]시산표!#REF!</definedName>
    <definedName name="___TB813">#REF!</definedName>
    <definedName name="___TB814" localSheetId="5">[3]시산표!#REF!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 localSheetId="5">[3]시산표!#REF!</definedName>
    <definedName name="___TBI1001">#REF!</definedName>
    <definedName name="___TBI1002" localSheetId="5">[3]시산표!#REF!</definedName>
    <definedName name="___TBI1002">#REF!</definedName>
    <definedName name="___TBI1003" localSheetId="5">[3]시산표!#REF!</definedName>
    <definedName name="___TBI1003">#REF!</definedName>
    <definedName name="___TBI1004" localSheetId="5">[3]시산표!#REF!</definedName>
    <definedName name="___TBI1004">#REF!</definedName>
    <definedName name="___TBI1005">#REF!</definedName>
    <definedName name="___TBI101">#REF!</definedName>
    <definedName name="___TBI102" localSheetId="5">[3]시산표!#REF!</definedName>
    <definedName name="___TBI102">#REF!</definedName>
    <definedName name="___TBI1100">#REF!</definedName>
    <definedName name="___TBI1200" localSheetId="5">[3]시산표!#REF!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 localSheetId="5">[2]시산표!#REF!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 localSheetId="5">[3]시산표!#REF!</definedName>
    <definedName name="___TBI425">#REF!</definedName>
    <definedName name="___TBI601">#REF!</definedName>
    <definedName name="___TBI602">#REF!</definedName>
    <definedName name="___TBI603" localSheetId="5">[3]시산표!#REF!</definedName>
    <definedName name="___TBI603">#REF!</definedName>
    <definedName name="___TBI604" localSheetId="5">[3]시산표!#REF!</definedName>
    <definedName name="___TBI604">#REF!</definedName>
    <definedName name="___TBI605" localSheetId="5">[3]시산표!#REF!</definedName>
    <definedName name="___TBI605">#REF!</definedName>
    <definedName name="___TBI606" localSheetId="5">[3]시산표!#REF!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 localSheetId="5">[3]시산표!#REF!</definedName>
    <definedName name="___TBI611">#REF!</definedName>
    <definedName name="___TBI612">#REF!</definedName>
    <definedName name="___TBI613" localSheetId="5">[3]시산표!#REF!</definedName>
    <definedName name="___TBI613">#REF!</definedName>
    <definedName name="___TBI614">#REF!</definedName>
    <definedName name="___TBI701">#REF!</definedName>
    <definedName name="___TBI702">#REF!</definedName>
    <definedName name="___TBI703" localSheetId="5">[3]시산표!#REF!</definedName>
    <definedName name="___TBI703">#REF!</definedName>
    <definedName name="___TBI704" localSheetId="5">[3]시산표!#REF!</definedName>
    <definedName name="___TBI704">#REF!</definedName>
    <definedName name="___TBI705" localSheetId="5">[3]시산표!#REF!</definedName>
    <definedName name="___TBI705">#REF!</definedName>
    <definedName name="___TBI706" localSheetId="5">[3]시산표!#REF!</definedName>
    <definedName name="___TBI706">#REF!</definedName>
    <definedName name="___TBI707">#REF!</definedName>
    <definedName name="___TBI708">#REF!</definedName>
    <definedName name="___TBI709">#REF!</definedName>
    <definedName name="___TBI710" localSheetId="5">[3]시산표!#REF!</definedName>
    <definedName name="___TBI710">#REF!</definedName>
    <definedName name="___TBI711" localSheetId="5">[3]시산표!#REF!</definedName>
    <definedName name="___TBI711">#REF!</definedName>
    <definedName name="___TBI712" localSheetId="5">[3]시산표!#REF!</definedName>
    <definedName name="___TBI712">#REF!</definedName>
    <definedName name="___TBI713" localSheetId="5">[3]시산표!#REF!</definedName>
    <definedName name="___TBI713">#REF!</definedName>
    <definedName name="___TBI714">#REF!</definedName>
    <definedName name="___TBI715" localSheetId="5">[3]시산표!#REF!</definedName>
    <definedName name="___TBI715">#REF!</definedName>
    <definedName name="___TBI716">#REF!</definedName>
    <definedName name="___TBI717" localSheetId="5">[2]시산표!#REF!</definedName>
    <definedName name="___TBI717">#REF!</definedName>
    <definedName name="___TBI718">#REF!</definedName>
    <definedName name="___TBI719" localSheetId="5">[2]시산표!#REF!</definedName>
    <definedName name="___TBI719">#REF!</definedName>
    <definedName name="___TBI901">#REF!</definedName>
    <definedName name="___TBI902">#REF!</definedName>
    <definedName name="___TBI903" localSheetId="5">[3]시산표!#REF!</definedName>
    <definedName name="___TBI903">#REF!</definedName>
    <definedName name="___TBI904" localSheetId="5">[3]시산표!#REF!</definedName>
    <definedName name="___TBI904">#REF!</definedName>
    <definedName name="___TBI905" localSheetId="5">[3]시산표!#REF!</definedName>
    <definedName name="___TBI905">#REF!</definedName>
    <definedName name="___TBI906" localSheetId="5">[3]시산표!#REF!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 localSheetId="5">#REF!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localSheetId="3" hidden="1">[6]시산표!#REF!</definedName>
    <definedName name="__123Graph_A" hidden="1">#REF!</definedName>
    <definedName name="__123Graph_A그래프2" hidden="1">#REF!</definedName>
    <definedName name="__123Graph_B" localSheetId="3" hidden="1">[6]시산표!#REF!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localSheetId="3" hidden="1">[6]시산표!#REF!</definedName>
    <definedName name="__123Graph_LBL_A" hidden="1">#REF!</definedName>
    <definedName name="__123Graph_LBL_B" localSheetId="3" hidden="1">[6]시산표!#REF!</definedName>
    <definedName name="__123Graph_LBL_B" hidden="1">#REF!</definedName>
    <definedName name="__123Graph_LBL_E" hidden="1">#REF!</definedName>
    <definedName name="__123Graph_X" localSheetId="3" hidden="1">[6]시산표!#REF!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 localSheetId="5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 localSheetId="5">#REF!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 localSheetId="5">#REF!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 localSheetId="3">BlankMacro1</definedName>
    <definedName name="__K24" localSheetId="4">BlankMacro1</definedName>
    <definedName name="__K24" localSheetId="5">BlankMacro1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 localSheetId="3">#REF!</definedName>
    <definedName name="__LN1" localSheetId="4">#REF!</definedName>
    <definedName name="__LN1" localSheetId="5">#REF!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 localSheetId="5">[5]작업통제용!#REF!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 localSheetId="5">#REF!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 localSheetId="5">#REF!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 localSheetId="5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 localSheetId="3">BlankMacro1</definedName>
    <definedName name="_10K24_" localSheetId="4">BlankMacro1</definedName>
    <definedName name="_10K24_" localSheetId="5">BlankMacro1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 localSheetId="3">#REF!</definedName>
    <definedName name="_11R__PA" localSheetId="4">#REF!</definedName>
    <definedName name="_11R__PA" localSheetId="5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 localSheetId="5">'[7]000000'!#REF!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 localSheetId="5">#REF!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 localSheetId="5">'[8]scale &amp; Income'!#REF!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 localSheetId="3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 localSheetId="5">#REF!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 localSheetId="5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 localSheetId="5">'[8]scale &amp; Income'!#REF!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 localSheetId="5">#REF!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 localSheetId="5">#REF!</definedName>
    <definedName name="_5bs2_">#REF!</definedName>
    <definedName name="_5h2_" hidden="1">{"'표지'!$B$5"}</definedName>
    <definedName name="_5item">#REF!</definedName>
    <definedName name="_5K24_" localSheetId="3">BlankMacro1</definedName>
    <definedName name="_5K24_" localSheetId="4">BlankMacro1</definedName>
    <definedName name="_5K24_" localSheetId="5">BlankMacro1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 localSheetId="5">#REF!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 localSheetId="5">#REF!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 localSheetId="3">#REF!</definedName>
    <definedName name="_bs2">#REF!</definedName>
    <definedName name="_C111142" localSheetId="3">#REF!</definedName>
    <definedName name="_C111142">#REF!</definedName>
    <definedName name="_C199999" localSheetId="3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localSheetId="3" hidden="1">#REF!</definedName>
    <definedName name="_Fill" hidden="1">#REF!</definedName>
    <definedName name="_FILL1" hidden="1">#REF!</definedName>
    <definedName name="_xlnm._FilterDatabase" localSheetId="4" hidden="1">'5300_계정명세_일반선수금'!$A$12:$J$13</definedName>
    <definedName name="_xlnm._FilterDatabase" localSheetId="1" hidden="1">'5300-계정명세_미지급금'!$A$13:$J$440</definedName>
    <definedName name="_xlnm._FilterDatabase" localSheetId="2" hidden="1">'5300-계정명세_미지급금(사원)상세'!$A$9:$G$204</definedName>
    <definedName name="_xlnm._FilterDatabase" localSheetId="5" hidden="1">'5300-계정명세_미지급비용'!$A$12:$H$29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 localSheetId="3">BlankMacro1</definedName>
    <definedName name="_K24" localSheetId="4">BlankMacro1</definedName>
    <definedName name="_K24" localSheetId="5">BlankMacro1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localSheetId="3" hidden="1">#REF!</definedName>
    <definedName name="_Key1" hidden="1">#REF!</definedName>
    <definedName name="_Key11" hidden="1">#REF!</definedName>
    <definedName name="_Key2" localSheetId="3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 localSheetId="3">#REF!</definedName>
    <definedName name="_PAN1">#REF!</definedName>
    <definedName name="_PAN2" localSheetId="3">#REF!</definedName>
    <definedName name="_PAN2">#REF!</definedName>
    <definedName name="_PAN3" localSheetId="3">#REF!</definedName>
    <definedName name="_PAN3">#REF!</definedName>
    <definedName name="_PAN4" localSheetId="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 localSheetId="5">#REF!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localSheetId="3" hidden="1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 localSheetId="3">[2]시산표!#REF!</definedName>
    <definedName name="_TB112">#REF!</definedName>
    <definedName name="_TB113">#REF!</definedName>
    <definedName name="_TB114">#REF!</definedName>
    <definedName name="_TB115" localSheetId="3">[3]시산표!#REF!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 localSheetId="3">[3]시산표!#REF!</definedName>
    <definedName name="_TB124">#REF!</definedName>
    <definedName name="_TB125" localSheetId="3">[3]시산표!#REF!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 localSheetId="3">[3]시산표!#REF!</definedName>
    <definedName name="_TB213">#REF!</definedName>
    <definedName name="_TB214" localSheetId="3">[3]시산표!#REF!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 localSheetId="3">[2]시산표!#REF!</definedName>
    <definedName name="_TB227">#REF!</definedName>
    <definedName name="_TB228">#REF!</definedName>
    <definedName name="_TB229" localSheetId="3">[2]시산표!#REF!</definedName>
    <definedName name="_TB229">#REF!</definedName>
    <definedName name="_TB3" hidden="1">#REF!</definedName>
    <definedName name="_TB311" localSheetId="3">[3]시산표!#REF!</definedName>
    <definedName name="_TB311">#REF!</definedName>
    <definedName name="_TB312">#REF!</definedName>
    <definedName name="_TB313" localSheetId="3">[3]시산표!#REF!</definedName>
    <definedName name="_TB313">#REF!</definedName>
    <definedName name="_TB314">#REF!</definedName>
    <definedName name="_TB315">#REF!</definedName>
    <definedName name="_TB316">#REF!</definedName>
    <definedName name="_TB317" localSheetId="3">[3]시산표!#REF!</definedName>
    <definedName name="_TB317">#REF!</definedName>
    <definedName name="_TB318" localSheetId="3">[3]시산표!#REF!</definedName>
    <definedName name="_TB318">#REF!</definedName>
    <definedName name="_TB319">#REF!</definedName>
    <definedName name="_TB321">#REF!</definedName>
    <definedName name="_TB322" localSheetId="3">[3]시산표!#REF!</definedName>
    <definedName name="_TB322">#REF!</definedName>
    <definedName name="_TB323" localSheetId="3">[3]시산표!#REF!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 localSheetId="3">[2]시산표!#REF!</definedName>
    <definedName name="_TB510">#REF!</definedName>
    <definedName name="_TB511" localSheetId="3">[3]시산표!#REF!</definedName>
    <definedName name="_TB511">#REF!</definedName>
    <definedName name="_TB512">#REF!</definedName>
    <definedName name="_TB513">#REF!</definedName>
    <definedName name="_TB601" localSheetId="3">[3]시산표!#REF!</definedName>
    <definedName name="_TB601">#REF!</definedName>
    <definedName name="_TB602">#REF!</definedName>
    <definedName name="_TB603">#REF!</definedName>
    <definedName name="_TB604" localSheetId="3">[3]시산표!#REF!</definedName>
    <definedName name="_TB604">#REF!</definedName>
    <definedName name="_TB605" localSheetId="3">[3]시산표!#REF!</definedName>
    <definedName name="_TB605">#REF!</definedName>
    <definedName name="_TB701">#REF!</definedName>
    <definedName name="_TB811" localSheetId="3">[3]시산표!#REF!</definedName>
    <definedName name="_TB811">#REF!</definedName>
    <definedName name="_TB812" localSheetId="3">[3]시산표!#REF!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 localSheetId="3">[3]시산표!#REF!</definedName>
    <definedName name="_TBI1001">#REF!</definedName>
    <definedName name="_TBI1002" localSheetId="3">[3]시산표!#REF!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 localSheetId="3">[3]시산표!#REF!</definedName>
    <definedName name="_TBI102">#REF!</definedName>
    <definedName name="_TBI1100">#REF!</definedName>
    <definedName name="_TBI1200" localSheetId="3">[3]시산표!#REF!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 localSheetId="3">[2]시산표!#REF!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 localSheetId="3">[3]시산표!#REF!</definedName>
    <definedName name="_TBI425">#REF!</definedName>
    <definedName name="_TBI601">#REF!</definedName>
    <definedName name="_TBI602">#REF!</definedName>
    <definedName name="_TBI603" localSheetId="3">[3]시산표!#REF!</definedName>
    <definedName name="_TBI603">#REF!</definedName>
    <definedName name="_TBI604" localSheetId="3">[3]시산표!#REF!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 localSheetId="3">[3]시산표!#REF!</definedName>
    <definedName name="_TBI611">#REF!</definedName>
    <definedName name="_TBI612">#REF!</definedName>
    <definedName name="_TBI613" localSheetId="3">[3]시산표!#REF!</definedName>
    <definedName name="_TBI613">#REF!</definedName>
    <definedName name="_TBI614">#REF!</definedName>
    <definedName name="_TBI701">#REF!</definedName>
    <definedName name="_TBI702">#REF!</definedName>
    <definedName name="_TBI703" localSheetId="3">[3]시산표!#REF!</definedName>
    <definedName name="_TBI703">#REF!</definedName>
    <definedName name="_TBI704" localSheetId="3">[3]시산표!#REF!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 localSheetId="3">[3]시산표!#REF!</definedName>
    <definedName name="_TBI710">#REF!</definedName>
    <definedName name="_TBI711" localSheetId="3">[3]시산표!#REF!</definedName>
    <definedName name="_TBI711">#REF!</definedName>
    <definedName name="_TBI712">#REF!</definedName>
    <definedName name="_TBI713">#REF!</definedName>
    <definedName name="_TBI714">#REF!</definedName>
    <definedName name="_TBI715" localSheetId="3">[3]시산표!#REF!</definedName>
    <definedName name="_TBI715">#REF!</definedName>
    <definedName name="_TBI716">#REF!</definedName>
    <definedName name="_TBI717" localSheetId="3">[2]시산표!#REF!</definedName>
    <definedName name="_TBI717">#REF!</definedName>
    <definedName name="_TBI718">#REF!</definedName>
    <definedName name="_TBI719" localSheetId="3">[2]시산표!#REF!</definedName>
    <definedName name="_TBI719">#REF!</definedName>
    <definedName name="_TBI901">#REF!</definedName>
    <definedName name="_TBI902">#REF!</definedName>
    <definedName name="_TBI903" localSheetId="3">[3]시산표!#REF!</definedName>
    <definedName name="_TBI903">#REF!</definedName>
    <definedName name="_TBI904" localSheetId="3">[3]시산표!#REF!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 localSheetId="5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 localSheetId="3">#REF!</definedName>
    <definedName name="\a">#REF!</definedName>
    <definedName name="\b">#REF!</definedName>
    <definedName name="\c" localSheetId="3">[6]시산표!#REF!</definedName>
    <definedName name="\c">#REF!</definedName>
    <definedName name="\d">#N/A</definedName>
    <definedName name="\e" localSheetId="3">#REF!</definedName>
    <definedName name="\e">#REF!</definedName>
    <definedName name="\GGG" hidden="1">{#N/A,#N/A,TRUE,"Y생산";#N/A,#N/A,TRUE,"Y판매";#N/A,#N/A,TRUE,"Y총물량";#N/A,#N/A,TRUE,"Y능력";#N/A,#N/A,TRUE,"YKD"}</definedName>
    <definedName name="\h" localSheetId="3">[6]시산표!#REF!</definedName>
    <definedName name="\h">#REF!</definedName>
    <definedName name="\l" localSheetId="5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 localSheetId="3">[6]시산표!#REF!</definedName>
    <definedName name="\p">#REF!</definedName>
    <definedName name="\q">#N/A</definedName>
    <definedName name="\r">#N/A</definedName>
    <definedName name="\s" localSheetId="3">#REF!</definedName>
    <definedName name="\s">#REF!</definedName>
    <definedName name="\SMALL">#REF!</definedName>
    <definedName name="\v">#REF!</definedName>
    <definedName name="\w">#N/A</definedName>
    <definedName name="\x" localSheetId="3">#REF!</definedName>
    <definedName name="\x">#REF!</definedName>
    <definedName name="\y">#REF!</definedName>
    <definedName name="\z" localSheetId="3">#REF!</definedName>
    <definedName name="\z">#REF!</definedName>
    <definedName name="Ⅱ" hidden="1">{#N/A,#N/A,FALSE,"정공"}</definedName>
    <definedName name="A" localSheetId="3">#REF!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 localSheetId="3">#REF!</definedName>
    <definedName name="AA" localSheetId="4">#REF!</definedName>
    <definedName name="AA" localSheetId="5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localSheetId="3">[0]!Common [0]!DataBase.xls</definedName>
    <definedName name="aaaaa" localSheetId="4">[0]!Common [0]!DataBase.xls</definedName>
    <definedName name="aaaaa" localSheetId="5">[0]!Common [0]!DataBase.xls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localSheetId="3">BlankMacro1</definedName>
    <definedName name="aaaaaa" localSheetId="4">BlankMacro1</definedName>
    <definedName name="aaaaaa" localSheetId="5">BlankMacro1</definedName>
    <definedName name="aaaaaa" hidden="1">{#N/A,#N/A,FALSE,"단축1";#N/A,#N/A,FALSE,"단축2";#N/A,#N/A,FALSE,"단축3";#N/A,#N/A,FALSE,"장축";#N/A,#N/A,FALSE,"4WD"}</definedName>
    <definedName name="aaaaaaa" localSheetId="3">BlankMacro1</definedName>
    <definedName name="aaaaaaa" localSheetId="4">BlankMacro1</definedName>
    <definedName name="aaaaaaa" localSheetId="5">BlankMacro1</definedName>
    <definedName name="AAAAAAA" hidden="1">{#N/A,#N/A,TRUE,"Y생산";#N/A,#N/A,TRUE,"Y판매";#N/A,#N/A,TRUE,"Y총물량";#N/A,#N/A,TRUE,"Y능력";#N/A,#N/A,TRUE,"YKD"}</definedName>
    <definedName name="aaaaaaaa" localSheetId="3">BlankMacro1</definedName>
    <definedName name="aaaaaaaa" localSheetId="4">BlankMacro1</definedName>
    <definedName name="aaaaaaaa" localSheetId="5">BlankMacro1</definedName>
    <definedName name="aaaaaaaa">BlankMacro1</definedName>
    <definedName name="AAAAAAAAA" hidden="1">{"'Sheet1'!$A$1:$H$36"}</definedName>
    <definedName name="aaaaaaaaaa" localSheetId="3">#REF!</definedName>
    <definedName name="aaaaaaaaaa" localSheetId="4">#REF!</definedName>
    <definedName name="aaaaaaaaaa" localSheetId="5">#REF!</definedName>
    <definedName name="AAAAAAAAAA" hidden="1">{"'7월NINO현황'!$K$30"}</definedName>
    <definedName name="aaaaaaaaaaa" localSheetId="3">BlankMacro1</definedName>
    <definedName name="aaaaaaaaaaa" localSheetId="4">BlankMacro1</definedName>
    <definedName name="aaaaaaaaaaa" localSheetId="5">BlankMacro1</definedName>
    <definedName name="aaaaaaaaaaa">BlankMacro1</definedName>
    <definedName name="aaaaaaaaaaaaaaa" localSheetId="3">BlankMacro1</definedName>
    <definedName name="aaaaaaaaaaaaaaa" localSheetId="4">BlankMacro1</definedName>
    <definedName name="aaaaaaaaaaaaaaa" localSheetId="5">BlankMacro1</definedName>
    <definedName name="aaaaaaaaaaaaaaa">BlankMacro1</definedName>
    <definedName name="aaaaaaaaaaaaaaaaaaaaaa" localSheetId="3">BlankMacro1</definedName>
    <definedName name="aaaaaaaaaaaaaaaaaaaaaa" localSheetId="4">BlankMacro1</definedName>
    <definedName name="aaaaaaaaaaaaaaaaaaaaaa" localSheetId="5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 localSheetId="3">#REF!</definedName>
    <definedName name="aam" localSheetId="4">#REF!</definedName>
    <definedName name="aam" localSheetId="5">#REF!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 localSheetId="5">#REF!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 localSheetId="3">'[9]Excess Calc'!#REF!</definedName>
    <definedName name="Account_Balance">#REF!</definedName>
    <definedName name="ACCOUNTEDPERIODTYPE1" localSheetId="3">#REF!</definedName>
    <definedName name="ACCOUNTEDPERIODTYPE1" localSheetId="4">#REF!</definedName>
    <definedName name="ACCOUNTEDPERIODTYPE1" localSheetId="5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localSheetId="3" hidden="1">[10]시산표!#REF!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 localSheetId="3">#REF!</definedName>
    <definedName name="AM" localSheetId="4">#REF!</definedName>
    <definedName name="AM" localSheetId="5">#REF!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 localSheetId="3">#REF!</definedName>
    <definedName name="APPSUSERNAME1" localSheetId="4">#REF!</definedName>
    <definedName name="APPSUSERNAME1" localSheetId="5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localSheetId="5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 localSheetId="3">+#REF!</definedName>
    <definedName name="asr" localSheetId="4">+#REF!</definedName>
    <definedName name="asr" localSheetId="5">+#REF!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 localSheetId="3">BlankMacro1</definedName>
    <definedName name="ASSIGN" localSheetId="4">BlankMacro1</definedName>
    <definedName name="ASSIGN" localSheetId="5">BlankMacro1</definedName>
    <definedName name="ASSIGN">BlankMacro1</definedName>
    <definedName name="ASSIGN." localSheetId="3">BlankMacro1</definedName>
    <definedName name="ASSIGN." localSheetId="4">BlankMacro1</definedName>
    <definedName name="ASSIGN." localSheetId="5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 localSheetId="5">#REF!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 localSheetId="3">[11]결손금!#REF!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localSheetId="3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 localSheetId="3">#REF!</definedName>
    <definedName name="BBB">#REF!</definedName>
    <definedName name="bbbb" localSheetId="3">'5300_계정명세_예수금'!bbbb</definedName>
    <definedName name="bbbb" localSheetId="4">'5300_계정명세_일반선수금'!bbbb</definedName>
    <definedName name="bbbb" localSheetId="5">'5300-계정명세_미지급비용'!bbbb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 localSheetId="4">[12]BLOOMBERG!#REF!</definedName>
    <definedName name="BDNa" localSheetId="5">[12]BLOOMBERG!#REF!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 localSheetId="3">#REF!</definedName>
    <definedName name="BFGBANKFRANK" localSheetId="4">#REF!</definedName>
    <definedName name="BFGBANKFRANK" localSheetId="5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 localSheetId="5">#REF!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 localSheetId="3">#REF!</definedName>
    <definedName name="BP" localSheetId="4">#REF!</definedName>
    <definedName name="BP" localSheetId="5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 localSheetId="3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 localSheetId="3">#REF!</definedName>
    <definedName name="bumwi" localSheetId="4">#REF!</definedName>
    <definedName name="bumwi" localSheetId="5">#REF!</definedName>
    <definedName name="bumwi">#REF!</definedName>
    <definedName name="BusEntDetail" localSheetId="3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 localSheetId="3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 localSheetId="3">'5300_계정명세_예수금'!cashflow</definedName>
    <definedName name="cashflow" localSheetId="4">'5300_계정명세_일반선수금'!cashflow</definedName>
    <definedName name="cashflow" localSheetId="5">'5300-계정명세_미지급비용'!cashflow</definedName>
    <definedName name="cashflow">[0]!cashflow</definedName>
    <definedName name="CashFlow_Button1_Click">[0]!CashFlow_Button1_Click</definedName>
    <definedName name="cashIndex">[0]!cashIndex</definedName>
    <definedName name="CASHM" localSheetId="3">'5300_계정명세_예수금'!CASHM</definedName>
    <definedName name="CASHM" localSheetId="4">'5300_계정명세_일반선수금'!CASHM</definedName>
    <definedName name="CASHM" localSheetId="5">'5300-계정명세_미지급비용'!CASHM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 localSheetId="3">#REF!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localSheetId="3">'5300_계정명세_예수금'!CC</definedName>
    <definedName name="CC" localSheetId="4">'5300_계정명세_일반선수금'!CC</definedName>
    <definedName name="CC" localSheetId="5">'5300-계정명세_미지급비용'!CC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 localSheetId="3">#REF!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 localSheetId="3">[0]!Common [0]!DataBase.xls</definedName>
    <definedName name="CDB" localSheetId="4">[0]!Common [0]!DataBase.xls</definedName>
    <definedName name="CDB" localSheetId="5">[0]!Common [0]!DataBase.xls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localSheetId="3">'[13]T6-6(2)'!#REF!</definedName>
    <definedName name="cf" localSheetId="4">'[13]T6-6(2)'!#REF!</definedName>
    <definedName name="cf" localSheetId="5">'[13]T6-6(2)'!#REF!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 localSheetId="3">#REF!</definedName>
    <definedName name="CHARTOFACCOUNTSID1" localSheetId="4">#REF!</definedName>
    <definedName name="CHARTOFACCOUNTSID1" localSheetId="5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 localSheetId="3">[12]BLOOMBERG!#REF!</definedName>
    <definedName name="CHEILa" localSheetId="4">[12]BLOOMBERG!#REF!</definedName>
    <definedName name="CHEILa" localSheetId="5">[12]BLOOMBERG!#REF!</definedName>
    <definedName name="CHEILa">#REF!</definedName>
    <definedName name="CHEILb" localSheetId="3">[12]BLOOMBERG!#REF!</definedName>
    <definedName name="CHEILb" localSheetId="4">[12]BLOOMBERG!#REF!</definedName>
    <definedName name="CHEILb" localSheetId="5">[12]BLOOMBERG!#REF!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 localSheetId="3">#REF!</definedName>
    <definedName name="ClientFilter">#REF!</definedName>
    <definedName name="CM" hidden="1">{"'Broadway ML#4'!$J$7:$N$490"}</definedName>
    <definedName name="cmklldje" hidden="1">{"'Sheet1'!$A$1:$H$36"}</definedName>
    <definedName name="CODE" localSheetId="3">#REF!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 localSheetId="3">#REF!</definedName>
    <definedName name="COLL" localSheetId="4">#REF!</definedName>
    <definedName name="COLL" localSheetId="5">#REF!</definedName>
    <definedName name="COLL">#REF!</definedName>
    <definedName name="COMMERa" localSheetId="3">[12]BLOOMBERG!#REF!</definedName>
    <definedName name="COMMERa" localSheetId="4">[12]BLOOMBERG!#REF!</definedName>
    <definedName name="COMMERa" localSheetId="5">[12]BLOOMBERG!#REF!</definedName>
    <definedName name="COMMERa">#REF!</definedName>
    <definedName name="COMMERb" localSheetId="3">[12]BLOOMBERG!#REF!</definedName>
    <definedName name="COMMERb" localSheetId="4">[12]BLOOMBERG!#REF!</definedName>
    <definedName name="COMMERb" localSheetId="5">[12]BLOOMBERG!#REF!</definedName>
    <definedName name="COMMERb">#REF!</definedName>
    <definedName name="CommonDatabase" localSheetId="3">#REF!</definedName>
    <definedName name="CommonDatabase" localSheetId="4">#REF!</definedName>
    <definedName name="CommonDatabase" localSheetId="5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 localSheetId="3">'[14]control sheet'!#REF!</definedName>
    <definedName name="COMPANY">#REF!</definedName>
    <definedName name="CoName1">#REF!</definedName>
    <definedName name="condition">#REF!</definedName>
    <definedName name="CONNECTSTRING1" localSheetId="3">#REF!</definedName>
    <definedName name="CONNECTSTRING1" localSheetId="4">#REF!</definedName>
    <definedName name="CONNECTSTRING1" localSheetId="5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 localSheetId="3">'[14]control sheet'!#REF!</definedName>
    <definedName name="CONTROL">#REF!</definedName>
    <definedName name="controlsheet">#REF!</definedName>
    <definedName name="CoNum1">#REF!</definedName>
    <definedName name="COST">#REF!</definedName>
    <definedName name="CostPerKm" localSheetId="3">#REF!</definedName>
    <definedName name="CostPerKm">#REF!</definedName>
    <definedName name="Cover" localSheetId="3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 localSheetId="3">#REF!</definedName>
    <definedName name="CRITERIACOLUMN1" localSheetId="4">#REF!</definedName>
    <definedName name="CRITERIACOLUMN1" localSheetId="5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 localSheetId="5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 localSheetId="5">[16]손익계산서!#REF!</definedName>
    <definedName name="CY_Cash_Div_Dec">#REF!</definedName>
    <definedName name="CY_Common_Equity" localSheetId="3">#REF!</definedName>
    <definedName name="CY_Common_Equity" localSheetId="4">#REF!</definedName>
    <definedName name="CY_Common_Equity" localSheetId="5">#REF!</definedName>
    <definedName name="CY_Common_Equity">#REF!</definedName>
    <definedName name="CY_Cost_of_Sales">#REF!</definedName>
    <definedName name="CY_Current_Liabilities">#REF!</definedName>
    <definedName name="CY_Depreciation" localSheetId="5">[16]손익계산서!#REF!</definedName>
    <definedName name="CY_Depreciation">#REF!</definedName>
    <definedName name="CY_Gross_Profit" localSheetId="3">#REF!</definedName>
    <definedName name="CY_Gross_Profit" localSheetId="4">#REF!</definedName>
    <definedName name="CY_Gross_Profit" localSheetId="5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 localSheetId="5">[16]손익계산서!#REF!</definedName>
    <definedName name="CY_Market_Value_of_Equity">#REF!</definedName>
    <definedName name="CY_Marketable_Sec" localSheetId="3">#REF!</definedName>
    <definedName name="CY_Marketable_Sec" localSheetId="4">#REF!</definedName>
    <definedName name="CY_Marketable_Sec" localSheetId="5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 localSheetId="5">[16]손익계산서!#REF!</definedName>
    <definedName name="CY_Other">#REF!</definedName>
    <definedName name="CY_Other_Curr_Assets" localSheetId="5">[16]대차대조표!#REF!</definedName>
    <definedName name="CY_Other_Curr_Assets">#REF!</definedName>
    <definedName name="CY_Other_LT_Assets" localSheetId="5">[16]대차대조표!#REF!</definedName>
    <definedName name="CY_Other_LT_Assets">#REF!</definedName>
    <definedName name="CY_Other_LT_Liabilities" localSheetId="5">[16]대차대조표!#REF!</definedName>
    <definedName name="CY_Other_LT_Liabilities">#REF!</definedName>
    <definedName name="CY_Preferred_Stock" localSheetId="3">#REF!</definedName>
    <definedName name="CY_Preferred_Stock" localSheetId="4">#REF!</definedName>
    <definedName name="CY_Preferred_Stock" localSheetId="5">#REF!</definedName>
    <definedName name="CY_Preferred_Stock">#REF!</definedName>
    <definedName name="CY_QUICK_ASSETS">#REF!</definedName>
    <definedName name="CY_Retained_Earnings">#REF!</definedName>
    <definedName name="CY_Selling" localSheetId="5">[16]손익계산서!#REF!</definedName>
    <definedName name="CY_Selling">#REF!</definedName>
    <definedName name="CY_Tangible_Assets" localSheetId="3">#REF!</definedName>
    <definedName name="CY_Tangible_Assets" localSheetId="4">#REF!</definedName>
    <definedName name="CY_Tangible_Assets" localSheetId="5">#REF!</definedName>
    <definedName name="CY_Tangible_Assets">#REF!</definedName>
    <definedName name="CY_Tangible_Net_Worth" localSheetId="3">[16]손익계산서!#REF!</definedName>
    <definedName name="CY_Tangible_Net_Worth" localSheetId="4">[16]손익계산서!#REF!</definedName>
    <definedName name="CY_Tangible_Net_Worth" localSheetId="5">[16]손익계산서!#REF!</definedName>
    <definedName name="CY_Tangible_Net_Worth">#REF!</definedName>
    <definedName name="CY_Taxes" localSheetId="3">#REF!</definedName>
    <definedName name="CY_Taxes" localSheetId="4">#REF!</definedName>
    <definedName name="CY_Taxes" localSheetId="5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 localSheetId="5">[16]손익계산서!#REF!</definedName>
    <definedName name="CY_Weighted_Average">#REF!</definedName>
    <definedName name="CY_Working_Capital" localSheetId="5">[16]손익계산서!#REF!</definedName>
    <definedName name="CY_Working_Capital">#REF!</definedName>
    <definedName name="CY_경상이익" localSheetId="3">#REF!</definedName>
    <definedName name="CY_경상이익" localSheetId="4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 localSheetId="3">#REF!</definedName>
    <definedName name="data" localSheetId="4">#REF!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 localSheetId="3">#REF!</definedName>
    <definedName name="_xlnm.Database">#REF!</definedName>
    <definedName name="Database_MI" localSheetId="5">'[15]경수97.02'!#REF!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 localSheetId="3">BlankMacro1</definedName>
    <definedName name="dbehd" localSheetId="4">BlankMacro1</definedName>
    <definedName name="dbehd" localSheetId="5">BlankMacro1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 localSheetId="3">#REF!</definedName>
    <definedName name="DBNAME1" localSheetId="4">#REF!</definedName>
    <definedName name="DBNAME1" localSheetId="5">#REF!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localSheetId="3">'5300_계정명세_예수금'!dd</definedName>
    <definedName name="dd" localSheetId="4">'5300_계정명세_일반선수금'!dd</definedName>
    <definedName name="dd" localSheetId="5">'5300-계정명세_미지급비용'!dd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localSheetId="3">BlankMacro1</definedName>
    <definedName name="dddd" localSheetId="4">BlankMacro1</definedName>
    <definedName name="dddd" localSheetId="5">BlankMacro1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 localSheetId="3">#REF!</definedName>
    <definedName name="DELETELOGICTYPE1" localSheetId="4">#REF!</definedName>
    <definedName name="DELETELOGICTYPE1" localSheetId="5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 localSheetId="3">#REF!</definedName>
    <definedName name="DEPRE" localSheetId="4">#REF!</definedName>
    <definedName name="DEPRE" localSheetId="5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 localSheetId="3">'[9]Excess Calc'!#REF!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localSheetId="3">[0]!영광원자력5,'[17]6호기'!$A$1</definedName>
    <definedName name="dk" localSheetId="4">[0]!영광원자력5,'[17]6호기'!$A$1</definedName>
    <definedName name="dk" localSheetId="5">[0]!영광원자력5,'[17]6호기'!$A$1</definedName>
    <definedName name="DK" hidden="1">#REF!</definedName>
    <definedName name="DKD" localSheetId="3">[0]!영광원자력5,'[17]6호기'!$A$1</definedName>
    <definedName name="DKD" localSheetId="4">[0]!영광원자력5,'[17]6호기'!$A$1</definedName>
    <definedName name="DKD" localSheetId="5">[0]!영광원자력5,'[17]6호기'!$A$1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localSheetId="5">#REF!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localSheetId="5">#REF!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 localSheetId="5">#REF!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 localSheetId="3">#REF!</definedName>
    <definedName name="d을지" localSheetId="4">#REF!</definedName>
    <definedName name="d을지" localSheetId="5">#REF!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 localSheetId="5">#REF!</definedName>
    <definedName name="EDU.TAX">#REF!</definedName>
    <definedName name="ee" localSheetId="3">[0]!Common [0]!DataBase.xls</definedName>
    <definedName name="ee" localSheetId="4">[0]!Common [0]!DataBase.xls</definedName>
    <definedName name="ee" localSheetId="5">[0]!Common [0]!DataBase.xls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 localSheetId="3">BlankMacro1</definedName>
    <definedName name="eeeeeeeee" localSheetId="4">BlankMacro1</definedName>
    <definedName name="eeeeeeeee" localSheetId="5">BlankMacro1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 localSheetId="3">#REF!</definedName>
    <definedName name="efg" localSheetId="4">#REF!</definedName>
    <definedName name="efg" localSheetId="5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 localSheetId="3">#REF!</definedName>
    <definedName name="ELAP">#REF!</definedName>
    <definedName name="ELAPP" localSheetId="3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 localSheetId="3">#REF!</definedName>
    <definedName name="ELWI">#REF!</definedName>
    <definedName name="ELWIP" localSheetId="3">#REF!</definedName>
    <definedName name="ELWIP">#REF!</definedName>
    <definedName name="EMC_종평보고" hidden="1">#N/A</definedName>
    <definedName name="END" localSheetId="3">#REF!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 localSheetId="3">#REF!</definedName>
    <definedName name="EUR" localSheetId="4">#REF!</definedName>
    <definedName name="EUR" localSheetId="5">#REF!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 localSheetId="3">'[9]Excess Calc'!#REF!</definedName>
    <definedName name="Expected_balance">#REF!</definedName>
    <definedName name="_xlnm.Extract">#REF!</definedName>
    <definedName name="Extract_MI" localSheetId="3">#REF!</definedName>
    <definedName name="Extract_MI" localSheetId="4">#REF!</definedName>
    <definedName name="Extract_MI" localSheetId="5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 localSheetId="3">#REF!</definedName>
    <definedName name="factor" localSheetId="4">#REF!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 localSheetId="3">#REF!</definedName>
    <definedName name="FA증감" localSheetId="4">#REF!</definedName>
    <definedName name="FA증감" localSheetId="5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localSheetId="3">BlankMacro1</definedName>
    <definedName name="FF" localSheetId="4">BlankMacro1</definedName>
    <definedName name="FF" localSheetId="5">BlankMacro1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 localSheetId="3">#REF!</definedName>
    <definedName name="FFAPPCOLNAME1_1" localSheetId="4">#REF!</definedName>
    <definedName name="FFAPPCOLNAME1_1" localSheetId="5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 localSheetId="3">#REF!</definedName>
    <definedName name="FirstCell" localSheetId="4">#REF!</definedName>
    <definedName name="FirstCell" localSheetId="5">#REF!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 localSheetId="3">#REF!</definedName>
    <definedName name="FUNCTIONALCURRENCY1" localSheetId="4">#REF!</definedName>
    <definedName name="FUNCTIONALCURRENCY1" localSheetId="5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 localSheetId="3">#REF!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 localSheetId="5">#REF!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 localSheetId="3">[0]!Common [0]!DataBase.xls</definedName>
    <definedName name="gkswk" localSheetId="4">[0]!Common [0]!DataBase.xls</definedName>
    <definedName name="gkswk" localSheetId="5">[0]!Common [0]!DataBase.xls</definedName>
    <definedName name="gkswk">[0]!Common [0]!DataBase.xls</definedName>
    <definedName name="GL_Convert" localSheetId="3">#REF!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localSheetId="3">'5300_계정명세_예수금'!gus</definedName>
    <definedName name="gus" localSheetId="4">'5300_계정명세_일반선수금'!gus</definedName>
    <definedName name="gus" localSheetId="5">'5300-계정명세_미지급비용'!gus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localSheetId="3">'5300_계정명세_예수금'!gusrmagmfma</definedName>
    <definedName name="gusrmagmfma" localSheetId="4">'5300_계정명세_일반선수금'!gusrmagmfma</definedName>
    <definedName name="gusrmagmfma" localSheetId="5">'5300-계정명세_미지급비용'!gusrmagmfma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 localSheetId="3">#REF!</definedName>
    <definedName name="GWYUID1" localSheetId="4">#REF!</definedName>
    <definedName name="GWYUID1" localSheetId="5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 localSheetId="3">[12]BLOOMBERG!#REF!</definedName>
    <definedName name="HANK01a" localSheetId="4">[12]BLOOMBERG!#REF!</definedName>
    <definedName name="HANK01a" localSheetId="5">[12]BLOOMBERG!#REF!</definedName>
    <definedName name="HANK01a">#REF!</definedName>
    <definedName name="HANK01b" localSheetId="5">[12]BLOOMBERG!#REF!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 localSheetId="3">#REF!</definedName>
    <definedName name="head" localSheetId="4">#REF!</definedName>
    <definedName name="head" localSheetId="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" hidden="1">#REF!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 localSheetId="5">'[18]Korea Sign-Internal'!#REF!</definedName>
    <definedName name="highlight1">#REF!</definedName>
    <definedName name="highlight2" localSheetId="5">'[18]Korea Sign-Internal'!#REF!</definedName>
    <definedName name="highlight2">#REF!</definedName>
    <definedName name="highlight3" localSheetId="5">'[18]Korea Sign-Internal'!#REF!</definedName>
    <definedName name="highlight3">#REF!</definedName>
    <definedName name="highlight4" localSheetId="5">'[18]Korea Sign-Internal'!#REF!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 localSheetId="3">#REF!</definedName>
    <definedName name="HKD" localSheetId="4">#REF!</definedName>
    <definedName name="HKD" localSheetId="5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localSheetId="3" hidden="1">{"'어음수표'!$A$1"}</definedName>
    <definedName name="HTML_Control" localSheetId="4" hidden="1">{"'어음수표'!$A$1"}</definedName>
    <definedName name="HTML_Control" localSheetId="5" hidden="1">{"'어음수표'!$A$1"}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 localSheetId="5">[12]BLOOMBERG!#REF!</definedName>
    <definedName name="HUNGARa">#REF!</definedName>
    <definedName name="HUNGARb" localSheetId="5">[12]BLOOMBERG!#REF!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 localSheetId="5">[12]BLOOMBERG!#REF!</definedName>
    <definedName name="HYOSUN3a">#REF!</definedName>
    <definedName name="HYOSUN3b" localSheetId="5">[12]BLOOMBERG!#REF!</definedName>
    <definedName name="HYOSUN3b">#REF!</definedName>
    <definedName name="i" localSheetId="3">#REF!</definedName>
    <definedName name="I">#N/A</definedName>
    <definedName name="i_?3" localSheetId="3">#REF!</definedName>
    <definedName name="i_?3">#REF!</definedName>
    <definedName name="i_E" localSheetId="3">#REF!</definedName>
    <definedName name="i_E">#REF!</definedName>
    <definedName name="i_E__.3" localSheetId="3">#REF!</definedName>
    <definedName name="i_E__.3">#REF!</definedName>
    <definedName name="i_E_O" localSheetId="3">#REF!</definedName>
    <definedName name="i_E_O">#REF!</definedName>
    <definedName name="i_E_O__.3" localSheetId="3">#REF!</definedName>
    <definedName name="i_E_O__.3">#REF!</definedName>
    <definedName name="ibt">#REF!</definedName>
    <definedName name="ibt.4">#REF!</definedName>
    <definedName name="ICBTDATA" localSheetId="3">#REF!</definedName>
    <definedName name="ICBTDATA">#REF!</definedName>
    <definedName name="ID" localSheetId="3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 localSheetId="3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 localSheetId="3">#REF!</definedName>
    <definedName name="INTERBRANCH" localSheetId="4">#REF!</definedName>
    <definedName name="INTERBRANCH" localSheetId="5">#REF!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 localSheetId="5">[12]BLOOMBERG!#REF!</definedName>
    <definedName name="JINDOa">#REF!</definedName>
    <definedName name="JINDOb" localSheetId="5">[12]BLOOMBERG!#REF!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 localSheetId="5">#REF!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 localSheetId="3">#REF!</definedName>
    <definedName name="jung" localSheetId="4">#REF!</definedName>
    <definedName name="jung" localSheetId="5">#REF!</definedName>
    <definedName name="jung">#REF!</definedName>
    <definedName name="jungyon">#REF!</definedName>
    <definedName name="JUSO" localSheetId="3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 localSheetId="5">#REF!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 localSheetId="5">[12]BLOOMBERG!#REF!</definedName>
    <definedName name="KANGW_a">#REF!</definedName>
    <definedName name="KANGW_b">#REF!</definedName>
    <definedName name="KANGWOa">#REF!</definedName>
    <definedName name="KANGWOb">#REF!</definedName>
    <definedName name="KANSOLa" localSheetId="5">[12]BLOOMBERG!#REF!</definedName>
    <definedName name="KANSOLa">#REF!</definedName>
    <definedName name="KANSOLb" localSheetId="5">[12]BLOOMBERG!#REF!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 localSheetId="3">#REF!</definedName>
    <definedName name="KEB" localSheetId="4">#REF!</definedName>
    <definedName name="KEB" localSheetId="5">#REF!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localSheetId="5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localSheetId="5">#REF!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 localSheetId="5">[12]BLOOMBERG!#REF!</definedName>
    <definedName name="KORCOMa">#REF!</definedName>
    <definedName name="KORCOMb" localSheetId="5">[12]BLOOMBERG!#REF!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 localSheetId="5">#REF!</definedName>
    <definedName name="L0">#REF!</definedName>
    <definedName name="L1C6___1">#REF!</definedName>
    <definedName name="LABEL" localSheetId="3">BlankMacro1</definedName>
    <definedName name="LABEL" localSheetId="4">BlankMacro1</definedName>
    <definedName name="LABEL" localSheetId="5">BlankMacro1</definedName>
    <definedName name="LABEL">BlankMacro1</definedName>
    <definedName name="LABELTEXTCOLUMN1" localSheetId="3">#REF!</definedName>
    <definedName name="LABELTEXTCOLUMN1" localSheetId="4">#REF!</definedName>
    <definedName name="LABELTEXTCOLUMN1" localSheetId="5">#REF!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 localSheetId="3">#REF!</definedName>
    <definedName name="LAP">#REF!</definedName>
    <definedName name="LAPP" localSheetId="3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 localSheetId="3">#REF!</definedName>
    <definedName name="liab" localSheetId="4">#REF!</definedName>
    <definedName name="liab" localSheetId="5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 localSheetId="3">#REF!</definedName>
    <definedName name="List" localSheetId="4">#REF!</definedName>
    <definedName name="List" localSheetId="5">#REF!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 localSheetId="5">#REF!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 localSheetId="3">#REF!</definedName>
    <definedName name="LWI">#REF!</definedName>
    <definedName name="LWIP" localSheetId="3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localSheetId="3" hidden="1">[19]INMD1198!$B$30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 localSheetId="3">[19]INFG1198!$BE$8</definedName>
    <definedName name="md">#REF!</definedName>
    <definedName name="MEDISOa" localSheetId="5">[12]BLOOMBERG!#REF!</definedName>
    <definedName name="MEDISOa">#REF!</definedName>
    <definedName name="MEDISOb" localSheetId="5">[12]BLOOMBERG!#REF!</definedName>
    <definedName name="MEDISOb">#REF!</definedName>
    <definedName name="menu_button_Click">[0]!menu_button_Click</definedName>
    <definedName name="MENU1" localSheetId="3">#REF!</definedName>
    <definedName name="MENU1" localSheetId="4">#REF!</definedName>
    <definedName name="MENU1" localSheetId="5">#REF!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 localSheetId="3">#REF!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localSheetId="3">BlankMacro1</definedName>
    <definedName name="MMM" localSheetId="4">BlankMacro1</definedName>
    <definedName name="MMM" localSheetId="5">BlankMacro1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 localSheetId="3">#REF!</definedName>
    <definedName name="nbv" localSheetId="4">#REF!</definedName>
    <definedName name="nbv" localSheetId="5">#REF!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 localSheetId="3">#REF!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localSheetId="3">'5300_계정명세_예수금'!nn</definedName>
    <definedName name="nn" localSheetId="4">'5300_계정명세_일반선수금'!nn</definedName>
    <definedName name="nn" localSheetId="5">'5300-계정명세_미지급비용'!nn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 localSheetId="5">#REF!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 localSheetId="3">#REF!</definedName>
    <definedName name="ood" localSheetId="4">#REF!</definedName>
    <definedName name="ood" localSheetId="5">#REF!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 localSheetId="3">#REF!</definedName>
    <definedName name="original">#REF!</definedName>
    <definedName name="OS">#REF!</definedName>
    <definedName name="OtherExp" localSheetId="3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localSheetId="3">#REF!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 localSheetId="3">'[21]T6-6(2)'!#REF!</definedName>
    <definedName name="PAGE4">#REF!</definedName>
    <definedName name="PAGE5" localSheetId="3">'[21]T6-6(2)'!#REF!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 localSheetId="3">#REF!</definedName>
    <definedName name="PBC" localSheetId="4">#REF!</definedName>
    <definedName name="PBC" localSheetId="5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 localSheetId="3">#REF!</definedName>
    <definedName name="PERIOD_END">#REF!</definedName>
    <definedName name="PERIODSETNAME1">#REF!</definedName>
    <definedName name="PG_Convert" localSheetId="3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 localSheetId="3">#REF!</definedName>
    <definedName name="PIPE40" localSheetId="4">#REF!</definedName>
    <definedName name="PIPE40" localSheetId="5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 localSheetId="3">'5300_계정명세_예수금'!PL환산</definedName>
    <definedName name="PL환산" localSheetId="4">'5300_계정명세_일반선수금'!PL환산</definedName>
    <definedName name="PL환산" localSheetId="5">'5300-계정명세_미지급비용'!PL환산</definedName>
    <definedName name="PL환산">[0]!PL환산</definedName>
    <definedName name="pm" localSheetId="3">[19]INMD1198!$AX$10</definedName>
    <definedName name="pm">#REF!</definedName>
    <definedName name="PMXa" localSheetId="5">[12]BLOOMBERG!#REF!</definedName>
    <definedName name="PMXa">#REF!</definedName>
    <definedName name="PMXb" localSheetId="5">[12]BLOOMBERG!#REF!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 localSheetId="3">#REF!</definedName>
    <definedName name="POSTERRORSTOSUSP1" localSheetId="4">#REF!</definedName>
    <definedName name="POSTERRORSTOSUSP1" localSheetId="5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 localSheetId="5">#REF!</definedName>
    <definedName name="print">#REF!</definedName>
    <definedName name="_xlnm.Print_Area" localSheetId="3">'5300_계정명세_예수금'!$A$8:$G$10</definedName>
    <definedName name="_xlnm.Print_Area" localSheetId="4">'5300_계정명세_일반선수금'!$A$8:$H$16</definedName>
    <definedName name="_xlnm.Print_Area" localSheetId="1">'5300-계정명세_미지급금'!$A$8:$H$440</definedName>
    <definedName name="_xlnm.Print_Area" localSheetId="5">'5300-계정명세_미지급비용'!$A$8:$H$29</definedName>
    <definedName name="_xlnm.Print_Area">#REF!</definedName>
    <definedName name="PRINT_AREA_MI" localSheetId="3">#REF!</definedName>
    <definedName name="Print_Area_MI">#REF!</definedName>
    <definedName name="Print_Areea">#REF!</definedName>
    <definedName name="Print_Dedail">#REF!</definedName>
    <definedName name="_xlnm.Print_Titles" localSheetId="4">'5300_계정명세_일반선수금'!$12:$12</definedName>
    <definedName name="_xlnm.Print_Titles" localSheetId="1">'5300-계정명세_미지급금'!$13:$13</definedName>
    <definedName name="_xlnm.Print_Titles" localSheetId="5">'5300-계정명세_미지급비용'!$8:$12</definedName>
    <definedName name="_xlnm.Print_Titles">#REF!</definedName>
    <definedName name="PRINT_TITLES_MI" localSheetId="3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 localSheetId="3">'5300_계정명세_예수금'!Printing</definedName>
    <definedName name="Printing" localSheetId="4">'5300_계정명세_일반선수금'!Printing</definedName>
    <definedName name="Printing" localSheetId="5">'5300-계정명세_미지급비용'!Printing</definedName>
    <definedName name="Printing">[0]!Printing</definedName>
    <definedName name="PROFILE">#REF!</definedName>
    <definedName name="Progress" localSheetId="3">#REF!</definedName>
    <definedName name="Progress" localSheetId="4">#REF!</definedName>
    <definedName name="Progress" localSheetId="5">#REF!</definedName>
    <definedName name="Progress">#REF!</definedName>
    <definedName name="ProjectName" localSheetId="3">{"Client Name or Project Name"}</definedName>
    <definedName name="ProjectName" localSheetId="4">{"Client Name or Project Name"}</definedName>
    <definedName name="ProjectName" localSheetId="5">{"Client Name or Project Name"}</definedName>
    <definedName name="ProjectName">{"Client Name or Project Name"}</definedName>
    <definedName name="ProjectName2">{"Client Name or Project Name"}</definedName>
    <definedName name="PROJNO">#N/A</definedName>
    <definedName name="property_type" localSheetId="5">#REF!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 localSheetId="3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 localSheetId="3">#REF!</definedName>
    <definedName name="PY_Common_Equity" localSheetId="4">#REF!</definedName>
    <definedName name="PY_Common_Equity" localSheetId="5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 localSheetId="3">#REF!</definedName>
    <definedName name="PY_Gross_Profit" localSheetId="4">#REF!</definedName>
    <definedName name="PY_Gross_Profit" localSheetId="5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 localSheetId="3">#REF!</definedName>
    <definedName name="PY_Marketable_Sec" localSheetId="4">#REF!</definedName>
    <definedName name="PY_Marketable_Sec" localSheetId="5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 localSheetId="3">#REF!</definedName>
    <definedName name="PY_Operating_Income" localSheetId="4">#REF!</definedName>
    <definedName name="PY_Operating_Income" localSheetId="5">#REF!</definedName>
    <definedName name="PY_Operating_Income">#REF!</definedName>
    <definedName name="PY_Other_Curr_Assets" localSheetId="3">[16]대차대조표!#REF!</definedName>
    <definedName name="PY_Other_Curr_Assets" localSheetId="4">[16]대차대조표!#REF!</definedName>
    <definedName name="PY_Other_Curr_Assets" localSheetId="5">[16]대차대조표!#REF!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 localSheetId="3">#REF!</definedName>
    <definedName name="PY_Preferred_Stock" localSheetId="4">#REF!</definedName>
    <definedName name="PY_Preferred_Stock" localSheetId="5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 localSheetId="3">#REF!</definedName>
    <definedName name="PY_Tangible_Assets" localSheetId="4">#REF!</definedName>
    <definedName name="PY_Tangible_Assets" localSheetId="5">#REF!</definedName>
    <definedName name="PY_Tangible_Assets">#REF!</definedName>
    <definedName name="PY_Tangible_Net_Worth" localSheetId="3">[16]손익계산서!#REF!</definedName>
    <definedName name="PY_Tangible_Net_Worth" localSheetId="4">[16]손익계산서!#REF!</definedName>
    <definedName name="PY_Tangible_Net_Worth" localSheetId="5">[16]손익계산서!#REF!</definedName>
    <definedName name="PY_Tangible_Net_Worth">#REF!</definedName>
    <definedName name="PY_Taxes" localSheetId="3">#REF!</definedName>
    <definedName name="PY_Taxes" localSheetId="4">#REF!</definedName>
    <definedName name="PY_Taxes" localSheetId="5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 localSheetId="3">#REF!</definedName>
    <definedName name="PY_경상이익" localSheetId="4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 localSheetId="3">#REF!</definedName>
    <definedName name="PY2_Common_Equity" localSheetId="4">#REF!</definedName>
    <definedName name="PY2_Common_Equity" localSheetId="5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 localSheetId="3">#REF!</definedName>
    <definedName name="PY2_Gross_Profit" localSheetId="4">#REF!</definedName>
    <definedName name="PY2_Gross_Profit" localSheetId="5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 localSheetId="3">#REF!</definedName>
    <definedName name="PY2_Operating_Income" localSheetId="4">#REF!</definedName>
    <definedName name="PY2_Operating_Income" localSheetId="5">#REF!</definedName>
    <definedName name="PY2_Operating_Income">#REF!</definedName>
    <definedName name="PY2_Other_Curr_Assets" localSheetId="3">[16]대차대조표!#REF!</definedName>
    <definedName name="PY2_Other_Curr_Assets" localSheetId="4">[16]대차대조표!#REF!</definedName>
    <definedName name="PY2_Other_Curr_Assets" localSheetId="5">[16]대차대조표!#REF!</definedName>
    <definedName name="PY2_Other_Curr_Assets">#REF!</definedName>
    <definedName name="PY2_Other_Exp." localSheetId="3">[16]손익계산서!#REF!</definedName>
    <definedName name="PY2_Other_Exp." localSheetId="4">[16]손익계산서!#REF!</definedName>
    <definedName name="PY2_Other_Exp." localSheetId="5">[16]손익계산서!#REF!</definedName>
    <definedName name="PY2_Other_Exp.">#REF!</definedName>
    <definedName name="PY2_Other_LT_Assets">#REF!</definedName>
    <definedName name="PY2_Other_LT_Liabilities">#REF!</definedName>
    <definedName name="PY2_Preferred_Stock" localSheetId="3">#REF!</definedName>
    <definedName name="PY2_Preferred_Stock" localSheetId="4">#REF!</definedName>
    <definedName name="PY2_Preferred_Stock" localSheetId="5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 localSheetId="3">#REF!</definedName>
    <definedName name="PY2_Tangible_Assets" localSheetId="4">#REF!</definedName>
    <definedName name="PY2_Tangible_Assets" localSheetId="5">#REF!</definedName>
    <definedName name="PY2_Tangible_Assets">#REF!</definedName>
    <definedName name="PY2_Tangible_Net_Worth" localSheetId="3">[16]손익계산서!#REF!</definedName>
    <definedName name="PY2_Tangible_Net_Worth" localSheetId="4">[16]손익계산서!#REF!</definedName>
    <definedName name="PY2_Tangible_Net_Worth" localSheetId="5">[16]손익계산서!#REF!</definedName>
    <definedName name="PY2_Tangible_Net_Worth">#REF!</definedName>
    <definedName name="PY2_Taxes" localSheetId="3">#REF!</definedName>
    <definedName name="PY2_Taxes" localSheetId="4">#REF!</definedName>
    <definedName name="PY2_Taxes" localSheetId="5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 localSheetId="3">#REF!</definedName>
    <definedName name="PY2_경상이익" localSheetId="4">#REF!</definedName>
    <definedName name="PY2_경상이익" localSheetId="5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localSheetId="5">#REF!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 localSheetId="5">[22]주채무!#REF!</definedName>
    <definedName name="QNTKS">#REF!</definedName>
    <definedName name="QOTHR" hidden="1">{#N/A,#N/A,FALSE,"P.C.B"}</definedName>
    <definedName name="QQ" localSheetId="3">[0]!Common [0]!DataBase.xls</definedName>
    <definedName name="QQ" localSheetId="4">[0]!Common [0]!DataBase.xls</definedName>
    <definedName name="QQ" localSheetId="5">[0]!Common [0]!DataBase.xls</definedName>
    <definedName name="qq" hidden="1">{#N/A,#N/A,FALSE,"정공"}</definedName>
    <definedName name="qqq" localSheetId="3">#REF!</definedName>
    <definedName name="qqq" localSheetId="4">#REF!</definedName>
    <definedName name="qqq" localSheetId="5">#REF!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localSheetId="3">#REF!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 localSheetId="5">#REF!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 localSheetId="3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 localSheetId="3">[20]공급설비!#REF!</definedName>
    <definedName name="REPORT1" localSheetId="4">[20]공급설비!#REF!</definedName>
    <definedName name="REPORT1" localSheetId="5">[20]공급설비!#REF!</definedName>
    <definedName name="REPORT1">#REF!</definedName>
    <definedName name="REPORT2" localSheetId="3">[20]공급설비!#REF!</definedName>
    <definedName name="REPORT2" localSheetId="4">[20]공급설비!#REF!</definedName>
    <definedName name="REPORT2" localSheetId="5">[20]공급설비!#REF!</definedName>
    <definedName name="REPORT2">#REF!</definedName>
    <definedName name="REPORT3" localSheetId="3">[20]공급설비!#REF!</definedName>
    <definedName name="REPORT3" localSheetId="4">[20]공급설비!#REF!</definedName>
    <definedName name="REPORT3" localSheetId="5">[20]공급설비!#REF!</definedName>
    <definedName name="REPORT3">#REF!</definedName>
    <definedName name="REPORT4" localSheetId="3">[20]공급설비!#REF!</definedName>
    <definedName name="REPORT4" localSheetId="4">[20]공급설비!#REF!</definedName>
    <definedName name="REPORT4" localSheetId="5">[20]공급설비!#REF!</definedName>
    <definedName name="REPORT4">#REF!</definedName>
    <definedName name="REPORT5" localSheetId="3">[20]공급설비!#REF!</definedName>
    <definedName name="REPORT5" localSheetId="4">[20]공급설비!#REF!</definedName>
    <definedName name="REPORT5" localSheetId="5">[20]공급설비!#REF!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 localSheetId="3">#REF!</definedName>
    <definedName name="Reset" localSheetId="4">#REF!</definedName>
    <definedName name="Reset" localSheetId="5">#REF!</definedName>
    <definedName name="Reset">#REF!</definedName>
    <definedName name="Residual_difference" localSheetId="3">'[9]Excess Calc'!#REF!</definedName>
    <definedName name="Residual_difference">#REF!</definedName>
    <definedName name="RESPONSIBILITYAPPLICATIONID1" localSheetId="3">#REF!</definedName>
    <definedName name="RESPONSIBILITYAPPLICATIONID1" localSheetId="4">#REF!</definedName>
    <definedName name="RESPONSIBILITYAPPLICATIONID1" localSheetId="5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 localSheetId="3">#REF!</definedName>
    <definedName name="review">#REF!</definedName>
    <definedName name="REVISED" localSheetId="3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 localSheetId="3">BlankMacro1</definedName>
    <definedName name="rkatnwl" localSheetId="4">BlankMacro1</definedName>
    <definedName name="rkatnwl" localSheetId="5">BlankMacro1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 localSheetId="3">#REF!</definedName>
    <definedName name="rlawjdgus" localSheetId="4">#REF!</definedName>
    <definedName name="rlawjdgus" localSheetId="5">#REF!</definedName>
    <definedName name="rlawjdgus">#REF!</definedName>
    <definedName name="rm" localSheetId="3">[19]INFG1198!$B$53:$AZ$279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 localSheetId="3">#REF!</definedName>
    <definedName name="ROWSTOUPLOAD1" localSheetId="4">#REF!</definedName>
    <definedName name="ROWSTOUPLOAD1" localSheetId="5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localSheetId="3">'5300_계정명세_예수금'!s</definedName>
    <definedName name="s" localSheetId="4">'5300_계정명세_일반선수금'!s</definedName>
    <definedName name="s" localSheetId="5">'5300-계정명세_미지급비용'!s</definedName>
    <definedName name="s" hidden="1">{#N/A,#N/A,FALSE,"BS";#N/A,#N/A,FALSE,"PL";#N/A,#N/A,FALSE,"처분";#N/A,#N/A,FALSE,"현금";#N/A,#N/A,FALSE,"매출";#N/A,#N/A,FALSE,"원가";#N/A,#N/A,FALSE,"경영"}</definedName>
    <definedName name="S_AcctDes" localSheetId="3">#REF!</definedName>
    <definedName name="S_AcctDes" localSheetId="4">#REF!</definedName>
    <definedName name="S_AcctDes" localSheetId="5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 localSheetId="3">[23]시산표!#REF!</definedName>
    <definedName name="safd">#REF!</definedName>
    <definedName name="sales" localSheetId="3">#REF!</definedName>
    <definedName name="sales" localSheetId="4">#REF!</definedName>
    <definedName name="sales" localSheetId="5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 localSheetId="5">[12]BLOOMBERG!#REF!</definedName>
    <definedName name="SAMSNGa">#REF!</definedName>
    <definedName name="SAMSNGb" localSheetId="5">[12]BLOOMBERG!#REF!</definedName>
    <definedName name="SAMSNGb">#REF!</definedName>
    <definedName name="SAMSUN2a" localSheetId="5">[12]BLOOMBERG!#REF!</definedName>
    <definedName name="SAMSUN2a">#REF!</definedName>
    <definedName name="SAMSUN2b" localSheetId="5">[12]BLOOMBERG!#REF!</definedName>
    <definedName name="SAMSUN2b">#REF!</definedName>
    <definedName name="SAMSUNa">#REF!</definedName>
    <definedName name="SAMSUNb">#REF!</definedName>
    <definedName name="sang" localSheetId="3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 localSheetId="3">#REF!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 localSheetId="3">#REF!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 localSheetId="3">#REF!</definedName>
    <definedName name="SETOFBOOKSID1" localSheetId="4">#REF!</definedName>
    <definedName name="SETOFBOOKSID1" localSheetId="5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 localSheetId="3">#REF!</definedName>
    <definedName name="SHORT" localSheetId="4">#REF!</definedName>
    <definedName name="SHORT" localSheetId="5">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 localSheetId="5">[12]BLOOMBERG!#REF!</definedName>
    <definedName name="SKCHEMa">#REF!</definedName>
    <definedName name="SKCHEMb" localSheetId="5">[12]BLOOMBERG!#REF!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 localSheetId="3">#REF!</definedName>
    <definedName name="small_ch" localSheetId="4">#REF!</definedName>
    <definedName name="small_ch" localSheetId="5">#REF!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 localSheetId="3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localSheetId="3">'5300_계정명세_예수금'!ss</definedName>
    <definedName name="ss" localSheetId="4">'5300_계정명세_일반선수금'!ss</definedName>
    <definedName name="ss" localSheetId="5">'5300-계정명세_미지급비용'!ss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 localSheetId="3">[0]!Common [0]!DataBase.xls</definedName>
    <definedName name="sssssssss" localSheetId="4">[0]!Common [0]!DataBase.xls</definedName>
    <definedName name="sssssssss" localSheetId="5">[0]!Common [0]!DataBase.xls</definedName>
    <definedName name="sssssssss">[0]!Common [0]!DataBase.xls</definedName>
    <definedName name="ssssssssssss" localSheetId="3">[0]!Common [0]!DataBase.xls</definedName>
    <definedName name="ssssssssssss" localSheetId="4">[0]!Common [0]!DataBase.xls</definedName>
    <definedName name="ssssssssssss" localSheetId="5">[0]!Common [0]!DataBase.xls</definedName>
    <definedName name="ssssssssssss">[0]!Common [0]!DataBase.xls</definedName>
    <definedName name="Start" localSheetId="3">#REF!</definedName>
    <definedName name="Start" localSheetId="4">#REF!</definedName>
    <definedName name="Start" localSheetId="5">#REF!</definedName>
    <definedName name="Start">#REF!</definedName>
    <definedName name="STARTJOURNALIMPORT1">#REF!</definedName>
    <definedName name="stat_copy" localSheetId="3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 localSheetId="3">[24]Oct!#REF!</definedName>
    <definedName name="SWDB" localSheetId="4">[24]Oct!#REF!</definedName>
    <definedName name="SWDB" localSheetId="5">[24]Oct!#REF!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 localSheetId="3">#REF!</definedName>
    <definedName name="T" localSheetId="4">#REF!</definedName>
    <definedName name="T" localSheetId="5">#REF!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 localSheetId="3">#REF!</definedName>
    <definedName name="TABLE">#REF!</definedName>
    <definedName name="TABLE1" localSheetId="3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localSheetId="3">#REF!</definedName>
    <definedName name="TAX" localSheetId="4">#REF!</definedName>
    <definedName name="TAX" localSheetId="5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 localSheetId="3">[3]시산표!#REF!</definedName>
    <definedName name="TB112.1">#REF!</definedName>
    <definedName name="TB113.1">#REF!</definedName>
    <definedName name="TB114.1">#REF!</definedName>
    <definedName name="TB115.1" localSheetId="3">[3]시산표!#REF!</definedName>
    <definedName name="TB115.1">#REF!</definedName>
    <definedName name="TB116.1" localSheetId="3">[2]시산표!#REF!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 localSheetId="3">[3]시산표!#REF!</definedName>
    <definedName name="TB213.1">#REF!</definedName>
    <definedName name="TB221.1" localSheetId="3">[3]시산표!#REF!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 localSheetId="3">[3]시산표!#REF!</definedName>
    <definedName name="TB313.1">#REF!</definedName>
    <definedName name="TB314.1">#REF!</definedName>
    <definedName name="TB315.1">#REF!</definedName>
    <definedName name="TB316.1">#REF!</definedName>
    <definedName name="TB317.1" localSheetId="3">[3]시산표!#REF!</definedName>
    <definedName name="TB317.1">#REF!</definedName>
    <definedName name="TB318.1" localSheetId="3">[3]시산표!#REF!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 localSheetId="3">#REF!</definedName>
    <definedName name="TEMPLATENUMBER1" localSheetId="4">#REF!</definedName>
    <definedName name="TEMPLATENUMBER1" localSheetId="5">#REF!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 localSheetId="3">#REF!</definedName>
    <definedName name="TextRefCopy1">#REF!</definedName>
    <definedName name="TextRefCopy10" localSheetId="3">#REF!</definedName>
    <definedName name="TextRefCopy10">#REF!</definedName>
    <definedName name="TextRefCopy11" localSheetId="3">#REF!</definedName>
    <definedName name="TextRefCopy11">#REF!</definedName>
    <definedName name="TextRefCopy12">#REF!</definedName>
    <definedName name="TextRefCopy13" localSheetId="3">[25]분석적검토!#REF!</definedName>
    <definedName name="TextRefCopy13">#REF!</definedName>
    <definedName name="TextRefCopy14" localSheetId="3">#REF!</definedName>
    <definedName name="TextRefCopy14" localSheetId="4">#REF!</definedName>
    <definedName name="TextRefCopy14" localSheetId="5">#REF!</definedName>
    <definedName name="TextRefCopy14">#REF!</definedName>
    <definedName name="TextRefCopy15" localSheetId="3">#REF!</definedName>
    <definedName name="TextRefCopy15">#REF!</definedName>
    <definedName name="TextRefCopy16" localSheetId="3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 localSheetId="3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 localSheetId="3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 localSheetId="3">#REF!</definedName>
    <definedName name="TextRefCopy30" localSheetId="4">#REF!</definedName>
    <definedName name="TextRefCopy30" localSheetId="5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 localSheetId="3">#REF!</definedName>
    <definedName name="TextRefCopy40" localSheetId="4">#REF!</definedName>
    <definedName name="TextRefCopy40" localSheetId="5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 localSheetId="3">#REF!</definedName>
    <definedName name="TextRefCopy60" localSheetId="4">#REF!</definedName>
    <definedName name="TextRefCopy60" localSheetId="5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localSheetId="3">#REF!</definedName>
    <definedName name="TO" localSheetId="4">#REF!</definedName>
    <definedName name="TO" localSheetId="5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 localSheetId="5">#REF!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 localSheetId="3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 localSheetId="3">#REF!</definedName>
    <definedName name="UNPTA" localSheetId="4">#REF!</definedName>
    <definedName name="UNPTA" localSheetId="5">#REF!</definedName>
    <definedName name="UNPTA">#REF!</definedName>
    <definedName name="UNYANG">#REF!</definedName>
    <definedName name="UploadFile">#REF!</definedName>
    <definedName name="USD" localSheetId="3">#REF!</definedName>
    <definedName name="USD" localSheetId="4">#REF!</definedName>
    <definedName name="USD" localSheetId="5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localSheetId="3">'5300_계정명세_예수금'!vv</definedName>
    <definedName name="vv" localSheetId="4">'5300_계정명세_일반선수금'!vv</definedName>
    <definedName name="vv" localSheetId="5">'5300-계정명세_미지급비용'!vv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 localSheetId="5">'[26]Stock Div Accural'!#REF!</definedName>
    <definedName name="warrant">#REF!</definedName>
    <definedName name="warrants" localSheetId="3">#REF!</definedName>
    <definedName name="warrants" localSheetId="4">#REF!</definedName>
    <definedName name="warrants" localSheetId="5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 localSheetId="3">#REF!</definedName>
    <definedName name="widebs" localSheetId="4">#REF!</definedName>
    <definedName name="widebs" localSheetId="5">#REF!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 localSheetId="5">#REF!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3">BlankMacro1</definedName>
    <definedName name="ww" localSheetId="4">BlankMacro1</definedName>
    <definedName name="ww" localSheetId="5">BlankMacro1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localSheetId="3">BlankMacro1</definedName>
    <definedName name="www" localSheetId="4">BlankMacro1</definedName>
    <definedName name="www" localSheetId="5">BlankMacro1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localSheetId="3">[0]!Common [0]!DataBase.xls</definedName>
    <definedName name="wwww" localSheetId="4">[0]!Common [0]!DataBase.xls</definedName>
    <definedName name="wwww" localSheetId="5">[0]!Common [0]!DataBase.xls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localSheetId="3">BlankMacro1</definedName>
    <definedName name="wwwww" localSheetId="4">BlankMacro1</definedName>
    <definedName name="wwwww" localSheetId="5">BlankMacro1</definedName>
    <definedName name="WWWWW" hidden="1">{"'호선별현황(방식)'!$K$22:$P$22","'호선별현황(방식)'!$K$22:$P$22"}</definedName>
    <definedName name="wwwwww" localSheetId="3">BlankMacro1</definedName>
    <definedName name="wwwwww" localSheetId="4">BlankMacro1</definedName>
    <definedName name="wwwwww" localSheetId="5">BlankMacro1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localSheetId="3">BlankMacro1</definedName>
    <definedName name="wwwwwwww" localSheetId="4">BlankMacro1</definedName>
    <definedName name="wwwwwwww" localSheetId="5">BlankMacro1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 localSheetId="3">BlankMacro1</definedName>
    <definedName name="wwwwwwwwww" localSheetId="4">BlankMacro1</definedName>
    <definedName name="wwwwwwwwww" localSheetId="5">BlankMacro1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localSheetId="3">BlankMacro1</definedName>
    <definedName name="wwwwwwwwwwwwww" localSheetId="4">BlankMacro1</definedName>
    <definedName name="wwwwwwwwwwwwww" localSheetId="5">BlankMacro1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 localSheetId="3">BlankMacro1</definedName>
    <definedName name="wwwwwwwwwwwwwwwww" localSheetId="4">BlankMacro1</definedName>
    <definedName name="wwwwwwwwwwwwwwwww" localSheetId="5">BlankMacro1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 localSheetId="3">[27]손익!#REF!</definedName>
    <definedName name="XIII._당기순이익" localSheetId="4">[27]손익!#REF!</definedName>
    <definedName name="XIII._당기순이익" localSheetId="5">[27]손익!#REF!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localSheetId="3" hidden="1">#REF!</definedName>
    <definedName name="XREF_COLUMN_1" hidden="1">#N/A</definedName>
    <definedName name="XREF_COLUMN_10" localSheetId="3" hidden="1">#REF!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localSheetId="3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localSheetId="3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localSheetId="3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localSheetId="3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localSheetId="3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localSheetId="3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localSheetId="3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localSheetId="3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localSheetId="3" hidden="1">#REF!</definedName>
    <definedName name="XREF_COLUMN_19" hidden="1">#REF!</definedName>
    <definedName name="XREF_COLUMN_2" localSheetId="3" hidden="1">#REF!</definedName>
    <definedName name="XREF_COLUMN_2" hidden="1">#REF!</definedName>
    <definedName name="XREF_COLUMN_20" localSheetId="3" hidden="1">#REF!</definedName>
    <definedName name="XREF_COLUMN_20" hidden="1">#N/A</definedName>
    <definedName name="XREF_COLUMN_21" localSheetId="3" hidden="1">#REF!</definedName>
    <definedName name="XREF_COLUMN_21" hidden="1">#REF!</definedName>
    <definedName name="XREF_COLUMN_22" localSheetId="3" hidden="1">#REF!</definedName>
    <definedName name="XREF_COLUMN_22" hidden="1">#REF!</definedName>
    <definedName name="XREF_COLUMN_23" localSheetId="3" hidden="1">#REF!</definedName>
    <definedName name="XREF_COLUMN_23" hidden="1">#N/A</definedName>
    <definedName name="XREF_COLUMN_24" localSheetId="3" hidden="1">#REF!</definedName>
    <definedName name="XREF_COLUMN_24" hidden="1">#REF!</definedName>
    <definedName name="XREF_COLUMN_25" localSheetId="3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localSheetId="3" hidden="1">'[28]E Lead'!#REF!</definedName>
    <definedName name="XREF_COLUMN_28" localSheetId="4" hidden="1">'[28]E Lead'!#REF!</definedName>
    <definedName name="XREF_COLUMN_28" localSheetId="5" hidden="1">'[28]E Lead'!#REF!</definedName>
    <definedName name="XREF_COLUMN_28" hidden="1">#REF!</definedName>
    <definedName name="XREF_COLUMN_29" localSheetId="3" hidden="1">#REF!</definedName>
    <definedName name="XREF_COLUMN_29" hidden="1">#REF!</definedName>
    <definedName name="XREF_COLUMN_3" localSheetId="3" hidden="1">#REF!</definedName>
    <definedName name="XREF_COLUMN_3" hidden="1">#REF!</definedName>
    <definedName name="XREF_COLUMN_30" localSheetId="3" hidden="1">#REF!</definedName>
    <definedName name="XREF_COLUMN_30" hidden="1">#REF!</definedName>
    <definedName name="XREF_COLUMN_31" localSheetId="3" hidden="1">#REF!</definedName>
    <definedName name="XREF_COLUMN_31" hidden="1">#REF!</definedName>
    <definedName name="XREF_COLUMN_32" localSheetId="3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localSheetId="3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localSheetId="3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localSheetId="3" hidden="1">[29]LEAD!#REF!</definedName>
    <definedName name="XREF_COLUMN_6" localSheetId="4" hidden="1">[29]LEAD!#REF!</definedName>
    <definedName name="XREF_COLUMN_6" localSheetId="5" hidden="1">[29]LEAD!#REF!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localSheetId="3" hidden="1">[29]LEAD!#REF!</definedName>
    <definedName name="XREF_COLUMN_7" localSheetId="4" hidden="1">[29]LEAD!#REF!</definedName>
    <definedName name="XREF_COLUMN_7" localSheetId="5" hidden="1">[29]LEAD!#REF!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localSheetId="3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localSheetId="3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localSheetId="3" hidden="1">#REF!</definedName>
    <definedName name="XRefActiveRow" hidden="1">#REF!</definedName>
    <definedName name="XRefColumnsCount" hidden="1">1</definedName>
    <definedName name="XRefCopy1" localSheetId="3" hidden="1">#REF!</definedName>
    <definedName name="XRefCopy1" hidden="1">#N/A</definedName>
    <definedName name="XRefCopy10" localSheetId="3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3" hidden="1">#REF!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localSheetId="3" hidden="1">[30]XREF!#REF!</definedName>
    <definedName name="XRefCopy12Row" localSheetId="4" hidden="1">[30]XREF!#REF!</definedName>
    <definedName name="XRefCopy12Row" localSheetId="5" hidden="1">[30]XREF!#REF!</definedName>
    <definedName name="XRefCopy12Row" hidden="1">#N/A</definedName>
    <definedName name="XRefCopy13" localSheetId="3" hidden="1">#REF!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localSheetId="3" hidden="1">[31]XREF!#REF!</definedName>
    <definedName name="XRefCopy15Row" localSheetId="4" hidden="1">[31]XREF!#REF!</definedName>
    <definedName name="XRefCopy15Row" localSheetId="5" hidden="1">[31]XREF!#REF!</definedName>
    <definedName name="XRefCopy15Row" hidden="1">#N/A</definedName>
    <definedName name="XRefCopy16" localSheetId="3" hidden="1">#REF!</definedName>
    <definedName name="XRefCopy16" localSheetId="4" hidden="1">#REF!</definedName>
    <definedName name="XRefCopy16" localSheetId="5" hidden="1">#REF!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localSheetId="3" hidden="1">#REF!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localSheetId="3" hidden="1">[31]XREF!#REF!</definedName>
    <definedName name="XRefCopy1Row" localSheetId="4" hidden="1">[31]XREF!#REF!</definedName>
    <definedName name="XRefCopy1Row" localSheetId="5" hidden="1">[31]XREF!#REF!</definedName>
    <definedName name="XRefCopy1Row" hidden="1">#N/A</definedName>
    <definedName name="XRefCopy2" localSheetId="3" hidden="1">[30]무형!#REF!</definedName>
    <definedName name="XRefCopy2" localSheetId="4" hidden="1">[30]무형!#REF!</definedName>
    <definedName name="XRefCopy2" localSheetId="5" hidden="1">[30]무형!#REF!</definedName>
    <definedName name="XRefCopy2" hidden="1">#REF!</definedName>
    <definedName name="XRefCopy20" localSheetId="3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localSheetId="3" hidden="1">#REF!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localSheetId="3" hidden="1">#REF!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localSheetId="3" hidden="1">#REF!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localSheetId="3" hidden="1">#REF!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localSheetId="3" hidden="1">#REF!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localSheetId="3" hidden="1">#REF!</definedName>
    <definedName name="XRefCopy27" hidden="1">#REF!</definedName>
    <definedName name="XRefCopy27Row" hidden="1">#N/A</definedName>
    <definedName name="XRefCopy28" localSheetId="3" hidden="1">#REF!</definedName>
    <definedName name="XRefCopy28" hidden="1">#REF!</definedName>
    <definedName name="XRefCopy28Row" localSheetId="3" hidden="1">#REF!</definedName>
    <definedName name="XRefCopy28Row" hidden="1">#N/A</definedName>
    <definedName name="XRefCopy29" localSheetId="3" hidden="1">#REF!</definedName>
    <definedName name="XRefCopy29" hidden="1">#REF!</definedName>
    <definedName name="XRefCopy29Row" hidden="1">#N/A</definedName>
    <definedName name="XRefCopy2Row" localSheetId="3" hidden="1">[31]XREF!#REF!</definedName>
    <definedName name="XRefCopy2Row" localSheetId="4" hidden="1">[31]XREF!#REF!</definedName>
    <definedName name="XRefCopy2Row" localSheetId="5" hidden="1">[31]XREF!#REF!</definedName>
    <definedName name="XRefCopy2Row" hidden="1">#N/A</definedName>
    <definedName name="XRefCopy3" localSheetId="3" hidden="1">[30]무형!#REF!</definedName>
    <definedName name="XRefCopy3" localSheetId="4" hidden="1">[30]무형!#REF!</definedName>
    <definedName name="XRefCopy3" localSheetId="5" hidden="1">[30]무형!#REF!</definedName>
    <definedName name="XRefCopy3" hidden="1">#REF!</definedName>
    <definedName name="XRefCopy30" localSheetId="3" hidden="1">#REF!</definedName>
    <definedName name="XRefCopy30" hidden="1">#REF!</definedName>
    <definedName name="XRefCopy30Row" localSheetId="3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localSheetId="3" hidden="1">[32]XREF!#REF!</definedName>
    <definedName name="XRefCopy3Row" localSheetId="4" hidden="1">[32]XREF!#REF!</definedName>
    <definedName name="XRefCopy3Row" localSheetId="5" hidden="1">[32]XREF!#REF!</definedName>
    <definedName name="XRefCopy3Row" hidden="1">#N/A</definedName>
    <definedName name="XRefCopy4" localSheetId="3" hidden="1">#REF!</definedName>
    <definedName name="XRefCopy4" localSheetId="4" hidden="1">#REF!</definedName>
    <definedName name="XRefCopy4" localSheetId="5" hidden="1">#REF!</definedName>
    <definedName name="XRefCopy4" hidden="1">#REF!</definedName>
    <definedName name="XRefCopy40" hidden="1">#REF!</definedName>
    <definedName name="XRefCopy40Row" localSheetId="3" hidden="1">#REF!</definedName>
    <definedName name="XRefCopy40Row" hidden="1">#N/A</definedName>
    <definedName name="XRefCopy41" localSheetId="3" hidden="1">#REF!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localSheetId="3" hidden="1">#REF!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localSheetId="3" hidden="1">[30]무형!#REF!</definedName>
    <definedName name="XRefCopy48" localSheetId="4" hidden="1">[30]무형!#REF!</definedName>
    <definedName name="XRefCopy48" localSheetId="5" hidden="1">[30]무형!#REF!</definedName>
    <definedName name="XRefCopy48" hidden="1">#REF!</definedName>
    <definedName name="XRefCopy48Row" localSheetId="3" hidden="1">[33]XREF!#REF!</definedName>
    <definedName name="XRefCopy48Row" localSheetId="4" hidden="1">[33]XREF!#REF!</definedName>
    <definedName name="XRefCopy48Row" localSheetId="5" hidden="1">[33]XREF!#REF!</definedName>
    <definedName name="XRefCopy48Row" hidden="1">#N/A</definedName>
    <definedName name="XRefCopy49" localSheetId="3" hidden="1">[30]무형!#REF!</definedName>
    <definedName name="XRefCopy49" localSheetId="4" hidden="1">[30]무형!#REF!</definedName>
    <definedName name="XRefCopy49" localSheetId="5" hidden="1">[30]무형!#REF!</definedName>
    <definedName name="XRefCopy49" hidden="1">#REF!</definedName>
    <definedName name="XRefCopy49Row" hidden="1">#N/A</definedName>
    <definedName name="XRefCopy4Row" localSheetId="3" hidden="1">#REF!</definedName>
    <definedName name="XRefCopy4Row" localSheetId="4" hidden="1">#REF!</definedName>
    <definedName name="XRefCopy4Row" localSheetId="5" hidden="1">#REF!</definedName>
    <definedName name="XRefCopy4Row" hidden="1">#N/A</definedName>
    <definedName name="XRefCopy5" localSheetId="3" hidden="1">[30]무형!#REF!</definedName>
    <definedName name="XRefCopy5" localSheetId="4" hidden="1">[30]무형!#REF!</definedName>
    <definedName name="XRefCopy5" localSheetId="5" hidden="1">[30]무형!#REF!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localSheetId="3" hidden="1">#REF!</definedName>
    <definedName name="XRefCopy5Row" localSheetId="4" hidden="1">#REF!</definedName>
    <definedName name="XRefCopy5Row" localSheetId="5" hidden="1">#REF!</definedName>
    <definedName name="XRefCopy5Row" hidden="1">#N/A</definedName>
    <definedName name="XRefCopy6" localSheetId="3" hidden="1">#REF!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localSheetId="3" hidden="1">#REF!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localSheetId="3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localSheetId="3" hidden="1">#REF!</definedName>
    <definedName name="XRefPaste1" hidden="1">#N/A</definedName>
    <definedName name="XRefPaste10" localSheetId="3" hidden="1">#REF!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localSheetId="3" hidden="1">[31]XREF!#REF!</definedName>
    <definedName name="XRefPaste10Row" localSheetId="4" hidden="1">[31]XREF!#REF!</definedName>
    <definedName name="XRefPaste10Row" localSheetId="5" hidden="1">[31]XREF!#REF!</definedName>
    <definedName name="XRefPaste10Row" hidden="1">#REF!</definedName>
    <definedName name="XRefPaste11" localSheetId="3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localSheetId="3" hidden="1">[31]XREF!#REF!</definedName>
    <definedName name="XRefPaste11Row" localSheetId="4" hidden="1">[31]XREF!#REF!</definedName>
    <definedName name="XRefPaste11Row" localSheetId="5" hidden="1">[31]XREF!#REF!</definedName>
    <definedName name="XRefPaste11Row" hidden="1">#REF!</definedName>
    <definedName name="XRefPaste12" localSheetId="3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localSheetId="3" hidden="1">[31]XREF!#REF!</definedName>
    <definedName name="XRefPaste12Row" localSheetId="4" hidden="1">[31]XREF!#REF!</definedName>
    <definedName name="XRefPaste12Row" localSheetId="5" hidden="1">[31]XREF!#REF!</definedName>
    <definedName name="XRefPaste12Row" hidden="1">#REF!</definedName>
    <definedName name="XRefPaste13" localSheetId="3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localSheetId="3" hidden="1">[31]XREF!#REF!</definedName>
    <definedName name="XRefPaste13Row" localSheetId="4" hidden="1">[31]XREF!#REF!</definedName>
    <definedName name="XRefPaste13Row" localSheetId="5" hidden="1">[31]XREF!#REF!</definedName>
    <definedName name="XRefPaste13Row" hidden="1">#REF!</definedName>
    <definedName name="XRefPaste14" localSheetId="3" hidden="1">#REF!</definedName>
    <definedName name="XRefPaste14" localSheetId="4" hidden="1">#REF!</definedName>
    <definedName name="XRefPaste14" localSheetId="5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localSheetId="3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localSheetId="3" hidden="1">[31]XREF!#REF!</definedName>
    <definedName name="XRefPaste15Row" localSheetId="4" hidden="1">[31]XREF!#REF!</definedName>
    <definedName name="XRefPaste15Row" localSheetId="5" hidden="1">[31]XREF!#REF!</definedName>
    <definedName name="XRefPaste15Row" hidden="1">#REF!</definedName>
    <definedName name="XRefPaste16" localSheetId="3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localSheetId="3" hidden="1">[31]XREF!#REF!</definedName>
    <definedName name="XRefPaste16Row" localSheetId="4" hidden="1">[31]XREF!#REF!</definedName>
    <definedName name="XRefPaste16Row" localSheetId="5" hidden="1">[31]XREF!#REF!</definedName>
    <definedName name="XRefPaste16Row" hidden="1">#REF!</definedName>
    <definedName name="XRefPaste17" localSheetId="3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localSheetId="3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localSheetId="3" hidden="1">[31]외상샘플링!#REF!</definedName>
    <definedName name="XRefPaste19" localSheetId="4" hidden="1">[31]외상샘플링!#REF!</definedName>
    <definedName name="XRefPaste19" localSheetId="5" hidden="1">[31]외상샘플링!#REF!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localSheetId="3" hidden="1">#REF!</definedName>
    <definedName name="XRefPaste19Row" localSheetId="4" hidden="1">#REF!</definedName>
    <definedName name="XRefPaste19Row" localSheetId="5" hidden="1">#REF!</definedName>
    <definedName name="XRefPaste19Row" hidden="1">#REF!</definedName>
    <definedName name="XRefPaste1Row" localSheetId="3" hidden="1">[31]XREF!#REF!</definedName>
    <definedName name="XRefPaste1Row" localSheetId="4" hidden="1">[31]XREF!#REF!</definedName>
    <definedName name="XRefPaste1Row" localSheetId="5" hidden="1">[31]XREF!#REF!</definedName>
    <definedName name="XRefPaste1Row" hidden="1">#REF!</definedName>
    <definedName name="XRefPaste2" localSheetId="3" hidden="1">#REF!</definedName>
    <definedName name="XRefPaste2" hidden="1">#N/A</definedName>
    <definedName name="XRefPaste20" localSheetId="3" hidden="1">#REF!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localSheetId="3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localSheetId="3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localSheetId="3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localSheetId="3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localSheetId="3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localSheetId="3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localSheetId="3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localSheetId="3" hidden="1">#REF!</definedName>
    <definedName name="XRefPaste29" hidden="1">#REF!</definedName>
    <definedName name="XRefPaste29Row" localSheetId="3" hidden="1">#REF!</definedName>
    <definedName name="XRefPaste29Row" hidden="1">#REF!</definedName>
    <definedName name="XRefPaste2Row" localSheetId="3" hidden="1">[31]XREF!#REF!</definedName>
    <definedName name="XRefPaste2Row" localSheetId="4" hidden="1">[31]XREF!#REF!</definedName>
    <definedName name="XRefPaste2Row" localSheetId="5" hidden="1">[31]XREF!#REF!</definedName>
    <definedName name="XRefPaste2Row" hidden="1">#N/A</definedName>
    <definedName name="XRefPaste3" localSheetId="3" hidden="1">#REF!</definedName>
    <definedName name="XRefPaste3" hidden="1">#REF!</definedName>
    <definedName name="XRefPaste30" hidden="1">#REF!</definedName>
    <definedName name="XRefPaste30Row" hidden="1">#REF!</definedName>
    <definedName name="XRefPaste31" localSheetId="3" hidden="1">#REF!</definedName>
    <definedName name="XRefPaste31" hidden="1">#REF!</definedName>
    <definedName name="XRefPaste31Row" localSheetId="3" hidden="1">#REF!</definedName>
    <definedName name="XRefPaste31Row" hidden="1">#REF!</definedName>
    <definedName name="XRefPaste32" localSheetId="3" hidden="1">#REF!</definedName>
    <definedName name="XRefPaste32" hidden="1">#REF!</definedName>
    <definedName name="XRefPaste32Row" localSheetId="3" hidden="1">#REF!</definedName>
    <definedName name="XRefPaste32Row" hidden="1">#N/A</definedName>
    <definedName name="XRefPaste33" localSheetId="3" hidden="1">#REF!</definedName>
    <definedName name="XRefPaste33" hidden="1">#REF!</definedName>
    <definedName name="XRefPaste33Row" localSheetId="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localSheetId="3" hidden="1">[31]XREF!#REF!</definedName>
    <definedName name="XRefPaste3Row" localSheetId="4" hidden="1">[31]XREF!#REF!</definedName>
    <definedName name="XRefPaste3Row" localSheetId="5" hidden="1">[31]XREF!#REF!</definedName>
    <definedName name="XRefPaste3Row" hidden="1">#N/A</definedName>
    <definedName name="XRefPaste4" localSheetId="3" hidden="1">[31]분석적검토!#REF!</definedName>
    <definedName name="XRefPaste4" localSheetId="4" hidden="1">[31]분석적검토!#REF!</definedName>
    <definedName name="XRefPaste4" localSheetId="5" hidden="1">[31]분석적검토!#REF!</definedName>
    <definedName name="XRefPaste4" hidden="1">#REF!</definedName>
    <definedName name="XRefPaste40" localSheetId="3" hidden="1">#REF!</definedName>
    <definedName name="XRefPaste40" localSheetId="4" hidden="1">#REF!</definedName>
    <definedName name="XRefPaste40" localSheetId="5" hidden="1">#REF!</definedName>
    <definedName name="XRefPaste40" hidden="1">#REF!</definedName>
    <definedName name="XRefPaste40Row" hidden="1">#N/A</definedName>
    <definedName name="XRefPaste41" localSheetId="3" hidden="1">#REF!</definedName>
    <definedName name="XRefPaste41" hidden="1">#REF!</definedName>
    <definedName name="XRefPaste41Row" localSheetId="3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localSheetId="3" hidden="1">[30]무형!#REF!</definedName>
    <definedName name="XRefPaste45" localSheetId="4" hidden="1">[30]무형!#REF!</definedName>
    <definedName name="XRefPaste45" localSheetId="5" hidden="1">[30]무형!#REF!</definedName>
    <definedName name="XRefPaste45" hidden="1">#REF!</definedName>
    <definedName name="XRefPaste45Row" localSheetId="3" hidden="1">[33]XREF!#REF!</definedName>
    <definedName name="XRefPaste45Row" localSheetId="4" hidden="1">[33]XREF!#REF!</definedName>
    <definedName name="XRefPaste45Row" localSheetId="5" hidden="1">[33]XREF!#REF!</definedName>
    <definedName name="XRefPaste45Row" hidden="1">#N/A</definedName>
    <definedName name="XRefPaste46" localSheetId="3" hidden="1">#REF!</definedName>
    <definedName name="XRefPaste46" localSheetId="4" hidden="1">#REF!</definedName>
    <definedName name="XRefPaste46" localSheetId="5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localSheetId="3" hidden="1">[30]무형!#REF!</definedName>
    <definedName name="XRefPaste49" localSheetId="4" hidden="1">[30]무형!#REF!</definedName>
    <definedName name="XRefPaste49" localSheetId="5" hidden="1">[30]무형!#REF!</definedName>
    <definedName name="XRefPaste49" hidden="1">#REF!</definedName>
    <definedName name="XRefPaste49Row" localSheetId="3" hidden="1">#REF!</definedName>
    <definedName name="XRefPaste49Row" localSheetId="4" hidden="1">#REF!</definedName>
    <definedName name="XRefPaste49Row" localSheetId="5" hidden="1">#REF!</definedName>
    <definedName name="XRefPaste49Row" hidden="1">#REF!</definedName>
    <definedName name="XRefPaste4Row" localSheetId="3" hidden="1">[31]XREF!#REF!</definedName>
    <definedName name="XRefPaste4Row" localSheetId="4" hidden="1">[31]XREF!#REF!</definedName>
    <definedName name="XRefPaste4Row" localSheetId="5" hidden="1">[31]XREF!#REF!</definedName>
    <definedName name="XRefPaste4Row" hidden="1">#N/A</definedName>
    <definedName name="XRefPaste5" localSheetId="3" hidden="1">[31]분석적검토!#REF!</definedName>
    <definedName name="XRefPaste5" localSheetId="4" hidden="1">[31]분석적검토!#REF!</definedName>
    <definedName name="XRefPaste5" localSheetId="5" hidden="1">[31]분석적검토!#REF!</definedName>
    <definedName name="XRefPaste5" hidden="1">#REF!</definedName>
    <definedName name="XRefPaste50" localSheetId="3" hidden="1">[30]무형!#REF!</definedName>
    <definedName name="XRefPaste50" localSheetId="4" hidden="1">[30]무형!#REF!</definedName>
    <definedName name="XRefPaste50" localSheetId="5" hidden="1">[30]무형!#REF!</definedName>
    <definedName name="XRefPaste50" hidden="1">#REF!</definedName>
    <definedName name="XRefPaste50Row" localSheetId="3" hidden="1">#REF!</definedName>
    <definedName name="XRefPaste50Row" localSheetId="4" hidden="1">#REF!</definedName>
    <definedName name="XRefPaste50Row" localSheetId="5" hidden="1">#REF!</definedName>
    <definedName name="XRefPaste50Row" hidden="1">#REF!</definedName>
    <definedName name="XRefPaste51" localSheetId="3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localSheetId="3" hidden="1">[30]XREF!#REF!</definedName>
    <definedName name="XRefPaste55Row" localSheetId="4" hidden="1">[30]XREF!#REF!</definedName>
    <definedName name="XRefPaste55Row" localSheetId="5" hidden="1">[30]XREF!#REF!</definedName>
    <definedName name="XRefPaste55Row" hidden="1">#REF!</definedName>
    <definedName name="XRefPaste56" localSheetId="3" hidden="1">#REF!</definedName>
    <definedName name="XRefPaste56" localSheetId="4" hidden="1">#REF!</definedName>
    <definedName name="XRefPaste56" localSheetId="5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localSheetId="3" hidden="1">[31]XREF!#REF!</definedName>
    <definedName name="XRefPaste5Row" localSheetId="4" hidden="1">[31]XREF!#REF!</definedName>
    <definedName name="XRefPaste5Row" localSheetId="5" hidden="1">[31]XREF!#REF!</definedName>
    <definedName name="XRefPaste5Row" hidden="1">#N/A</definedName>
    <definedName name="XRefPaste6" localSheetId="3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localSheetId="3" hidden="1">[31]XREF!#REF!</definedName>
    <definedName name="XRefPaste6Row" localSheetId="4" hidden="1">[31]XREF!#REF!</definedName>
    <definedName name="XRefPaste6Row" localSheetId="5" hidden="1">[31]XREF!#REF!</definedName>
    <definedName name="XRefPaste6Row" hidden="1">#N/A</definedName>
    <definedName name="XRefPaste7" localSheetId="3" hidden="1">[31]분석적검토!#REF!</definedName>
    <definedName name="XRefPaste7" localSheetId="4" hidden="1">[31]분석적검토!#REF!</definedName>
    <definedName name="XRefPaste7" localSheetId="5" hidden="1">[31]분석적검토!#REF!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localSheetId="3" hidden="1">[31]XREF!#REF!</definedName>
    <definedName name="XRefPaste7Row" localSheetId="4" hidden="1">[31]XREF!#REF!</definedName>
    <definedName name="XRefPaste7Row" localSheetId="5" hidden="1">[31]XREF!#REF!</definedName>
    <definedName name="XRefPaste7Row" hidden="1">#N/A</definedName>
    <definedName name="XRefPaste8" localSheetId="3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localSheetId="3" hidden="1">[31]XREF!#REF!</definedName>
    <definedName name="XRefPaste8Row" localSheetId="4" hidden="1">[31]XREF!#REF!</definedName>
    <definedName name="XRefPaste8Row" localSheetId="5" hidden="1">[31]XREF!#REF!</definedName>
    <definedName name="XRefPaste8Row" hidden="1">#N/A</definedName>
    <definedName name="XRefPaste9" localSheetId="3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localSheetId="3" hidden="1">[31]XREF!#REF!</definedName>
    <definedName name="XRefPaste9Row" localSheetId="4" hidden="1">[31]XREF!#REF!</definedName>
    <definedName name="XRefPaste9Row" localSheetId="5" hidden="1">[31]XREF!#REF!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 localSheetId="3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 localSheetId="3">[12]BLOOMBERG!#REF!</definedName>
    <definedName name="YPOONGa" localSheetId="4">[12]BLOOMBERG!#REF!</definedName>
    <definedName name="YPOONGa" localSheetId="5">[12]BLOOMBERG!#REF!</definedName>
    <definedName name="YPOONGa">#REF!</definedName>
    <definedName name="YPOONGb" localSheetId="3">[12]BLOOMBERG!#REF!</definedName>
    <definedName name="YPOONGb" localSheetId="4">[12]BLOOMBERG!#REF!</definedName>
    <definedName name="YPOONGb" localSheetId="5">[12]BLOOMBERG!#REF!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localSheetId="5">#REF!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localSheetId="3">'5300_계정명세_예수금'!ZZ</definedName>
    <definedName name="ZZ" localSheetId="4">'5300_계정명세_일반선수금'!ZZ</definedName>
    <definedName name="ZZ" localSheetId="5">'5300-계정명세_미지급비용'!ZZ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localSheetId="5">#REF!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localSheetId="3">[0]!영광원자력5,'[17]6호기'!$A$1</definedName>
    <definedName name="ㄱㄷㅈㄱ" localSheetId="4">[0]!영광원자력5,'[17]6호기'!$A$1</definedName>
    <definedName name="ㄱㄷㅈㄱ" localSheetId="5">[0]!영광원자력5,'[17]6호기'!$A$1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localSheetId="3">#REF!</definedName>
    <definedName name="가" localSheetId="4">#REF!</definedName>
    <definedName name="가" localSheetId="5">#REF!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 localSheetId="3">#REF!</definedName>
    <definedName name="가격범위" localSheetId="4">#REF!</definedName>
    <definedName name="가격범위" localSheetId="5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localSheetId="3">[0]!영광원자력5,'[17]6호기'!$A$1</definedName>
    <definedName name="가나다" localSheetId="4">[0]!영광원자력5,'[17]6호기'!$A$1</definedName>
    <definedName name="가나다" localSheetId="5">[0]!영광원자력5,'[17]6호기'!$A$1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 localSheetId="5">#REF!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 localSheetId="3">[0]!Common [0]!DataBase.xls</definedName>
    <definedName name="감지1" localSheetId="4">[0]!Common [0]!DataBase.xls</definedName>
    <definedName name="감지1" localSheetId="5">[0]!Common [0]!DataBase.xls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 localSheetId="3">[0]!영광원자력5,'[17]6호기'!$A$1</definedName>
    <definedName name="갑지1" localSheetId="4">[0]!영광원자력5,'[17]6호기'!$A$1</definedName>
    <definedName name="갑지1" localSheetId="5">[0]!영광원자력5,'[17]6호기'!$A$1</definedName>
    <definedName name="갑지1">[0]!영광원자력5,#REF!</definedName>
    <definedName name="갑지2" localSheetId="3">[0]!영광원자력5,'[17]6호기'!$A$1</definedName>
    <definedName name="갑지2" localSheetId="4">[0]!영광원자력5,'[17]6호기'!$A$1</definedName>
    <definedName name="갑지2" localSheetId="5">[0]!영광원자력5,'[17]6호기'!$A$1</definedName>
    <definedName name="갑지2">[0]!영광원자력5,#REF!</definedName>
    <definedName name="갑지도급비교" localSheetId="3">[0]!영광원자력5,'[17]6호기'!$A$1</definedName>
    <definedName name="갑지도급비교" localSheetId="4">[0]!영광원자력5,'[17]6호기'!$A$1</definedName>
    <definedName name="갑지도급비교" localSheetId="5">[0]!영광원자력5,'[17]6호기'!$A$1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 localSheetId="3">BlankMacro1</definedName>
    <definedName name="강수지" localSheetId="4">BlankMacro1</definedName>
    <definedName name="강수지" localSheetId="5">BlankMacro1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 localSheetId="3">'[8]scale &amp; Income'!#REF!</definedName>
    <definedName name="개똥이" localSheetId="4">'[8]scale &amp; Income'!#REF!</definedName>
    <definedName name="개똥이" localSheetId="5">'[8]scale &amp; Income'!#REF!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localSheetId="3">'5300_계정명세_예수금'!개발비</definedName>
    <definedName name="개발비" localSheetId="4">'5300_계정명세_일반선수금'!개발비</definedName>
    <definedName name="개발비" localSheetId="5">'5300-계정명세_미지급비용'!개발비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 localSheetId="3">BlankMacro1</definedName>
    <definedName name="거래" localSheetId="4">BlankMacro1</definedName>
    <definedName name="거래" localSheetId="5">BlankMacro1</definedName>
    <definedName name="거래">BlankMacro1</definedName>
    <definedName name="거래선명" localSheetId="3">#REF!</definedName>
    <definedName name="거래선명" localSheetId="4">#REF!</definedName>
    <definedName name="거래선명" localSheetId="5">#REF!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 localSheetId="3">#REF!</definedName>
    <definedName name="거액고정" localSheetId="4">#REF!</definedName>
    <definedName name="거액고정" localSheetId="5">#REF!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 localSheetId="3">#REF!</definedName>
    <definedName name="건생경리" localSheetId="4">#REF!</definedName>
    <definedName name="건생경리" localSheetId="5">#REF!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 localSheetId="3">#REF!</definedName>
    <definedName name="경매" localSheetId="4">#REF!</definedName>
    <definedName name="경매" localSheetId="5">#REF!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localSheetId="3" hidden="1">[34]시산표!#REF!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 localSheetId="5">#REF!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 localSheetId="3">[0]!영광원자력5,'[17]6호기'!$A$1</definedName>
    <definedName name="계약내역공종분리" localSheetId="4">[0]!영광원자력5,'[17]6호기'!$A$1</definedName>
    <definedName name="계약내역공종분리" localSheetId="5">[0]!영광원자력5,'[17]6호기'!$A$1</definedName>
    <definedName name="계약내역공종분리">[0]!영광원자력5,#REF!</definedName>
    <definedName name="계약분리" localSheetId="3">#REF!</definedName>
    <definedName name="계약분리" localSheetId="4">#REF!</definedName>
    <definedName name="계약분리" localSheetId="5">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 localSheetId="5">[35]본부별매출!#REF!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 localSheetId="3">#REF!</definedName>
    <definedName name="고급" localSheetId="4">#REF!</definedName>
    <definedName name="고급" localSheetId="5">#REF!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localSheetId="3" hidden="1">#REF!</definedName>
    <definedName name="고정비비교자세히" localSheetId="4" hidden="1">#REF!</definedName>
    <definedName name="고정비비교자세히" localSheetId="5" hidden="1">#REF!</definedName>
    <definedName name="고정비비교자세히" hidden="1">#REF!</definedName>
    <definedName name="고정비집계" localSheetId="3">[36]업무연락!#REF!</definedName>
    <definedName name="고정비집계" localSheetId="4">[36]업무연락!#REF!</definedName>
    <definedName name="고정비집계" localSheetId="5">[36]업무연락!#REF!</definedName>
    <definedName name="고정비집계">#REF!</definedName>
    <definedName name="고정성보증" hidden="1">#REF!</definedName>
    <definedName name="고정이하비율" localSheetId="3">#REF!</definedName>
    <definedName name="고정이하비율" localSheetId="4">#REF!</definedName>
    <definedName name="고정이하비율" localSheetId="5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 localSheetId="3">#REF!</definedName>
    <definedName name="공사대장" localSheetId="4">#REF!</definedName>
    <definedName name="공사대장" localSheetId="5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 localSheetId="3">#REF!</definedName>
    <definedName name="공시지가" localSheetId="4">#REF!</definedName>
    <definedName name="공시지가" localSheetId="5">#REF!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 localSheetId="3">#REF!</definedName>
    <definedName name="공정표" localSheetId="4">#REF!</definedName>
    <definedName name="공정표" localSheetId="5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 localSheetId="3">[0]!영광원자력5,'[17]6호기'!$A$1</definedName>
    <definedName name="공종분리" localSheetId="4">[0]!영광원자력5,'[17]6호기'!$A$1</definedName>
    <definedName name="공종분리" localSheetId="5">[0]!영광원자력5,'[17]6호기'!$A$1</definedName>
    <definedName name="공종분리">[0]!영광원자력5,#REF!</definedName>
    <definedName name="공종분리계약물량" localSheetId="3">[0]!영광원자력5,'[17]6호기'!$A$1</definedName>
    <definedName name="공종분리계약물량" localSheetId="4">[0]!영광원자력5,'[17]6호기'!$A$1</definedName>
    <definedName name="공종분리계약물량" localSheetId="5">[0]!영광원자력5,'[17]6호기'!$A$1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 localSheetId="3">[22]주채무!#REF!</definedName>
    <definedName name="관계인" localSheetId="4">[22]주채무!#REF!</definedName>
    <definedName name="관계인" localSheetId="5">[22]주채무!#REF!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 localSheetId="3">#REF!</definedName>
    <definedName name="관리팀" localSheetId="4">#REF!</definedName>
    <definedName name="관리팀" localSheetId="5">#REF!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 localSheetId="5">[38]TB!#REF!</definedName>
    <definedName name="광주">#REF!</definedName>
    <definedName name="광주공장" hidden="1">#REF!</definedName>
    <definedName name="광주지점" localSheetId="3">#REF!</definedName>
    <definedName name="광주지점" localSheetId="4">#REF!</definedName>
    <definedName name="광주지점" localSheetId="5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localSheetId="3">#REF!</definedName>
    <definedName name="구" localSheetId="4">#REF!</definedName>
    <definedName name="구" localSheetId="5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 localSheetId="3">[38]TB!#REF!</definedName>
    <definedName name="구로" localSheetId="4">[38]TB!#REF!</definedName>
    <definedName name="구로" localSheetId="5">[38]TB!#REF!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 localSheetId="3">#REF!</definedName>
    <definedName name="구분" localSheetId="4">#REF!</definedName>
    <definedName name="구분" localSheetId="5">#REF!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localSheetId="3">'5300_계정명세_예수금'!구축물</definedName>
    <definedName name="구축물" localSheetId="4">'5300_계정명세_일반선수금'!구축물</definedName>
    <definedName name="구축물" localSheetId="5">'5300-계정명세_미지급비용'!구축물</definedName>
    <definedName name="구축물" hidden="1">{"'손익현황'!$A$1:$J$29"}</definedName>
    <definedName name="구축물임" hidden="1">{"'손익현황'!$A$1:$J$29"}</definedName>
    <definedName name="국가별" localSheetId="3">#REF!</definedName>
    <definedName name="국가별" localSheetId="4">#REF!</definedName>
    <definedName name="국가별" localSheetId="5">#REF!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 localSheetId="3">[39]회사개황최종!$C$3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 localSheetId="3" hidden="1">{"'어음수표'!$A$1"}</definedName>
    <definedName name="국민연금" localSheetId="4" hidden="1">{"'어음수표'!$A$1"}</definedName>
    <definedName name="국민연금" localSheetId="5" hidden="1">{"'어음수표'!$A$1"}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 localSheetId="3">#REF!</definedName>
    <definedName name="규격" localSheetId="4">#REF!</definedName>
    <definedName name="규격" localSheetId="5">#REF!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 localSheetId="3">#REF!</definedName>
    <definedName name="금고동" localSheetId="4">#REF!</definedName>
    <definedName name="금고동" localSheetId="5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 localSheetId="3">#REF!</definedName>
    <definedName name="금총환계" localSheetId="4">#REF!</definedName>
    <definedName name="금총환계" localSheetId="5">#REF!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 localSheetId="3">#REF!</definedName>
    <definedName name="기구비품" localSheetId="4">#REF!</definedName>
    <definedName name="기구비품" localSheetId="5">#REF!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 localSheetId="3">#REF!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 localSheetId="3">#REF!</definedName>
    <definedName name="기준점" localSheetId="4">#REF!</definedName>
    <definedName name="기준점" localSheetId="5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localSheetId="5">[40]본부별매출!#REF!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 localSheetId="3">기타당좌자산1+기타당좌자산2</definedName>
    <definedName name="기타당좌자산" localSheetId="4">기타당좌자산1+기타당좌자산2</definedName>
    <definedName name="기타당좌자산" localSheetId="5">기타당좌자산1+기타당좌자산2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 localSheetId="5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 localSheetId="5">#REF!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 localSheetId="3">[0]!Common [0]!DataBase.xls</definedName>
    <definedName name="김진섬" localSheetId="4">[0]!Common [0]!DataBase.xls</definedName>
    <definedName name="김진섬" localSheetId="5">[0]!Common [0]!DataBase.xls</definedName>
    <definedName name="김진섬">[0]!Common [0]!DataBase.xls</definedName>
    <definedName name="김진성" localSheetId="3">[0]!Common [0]!DataBase.xls</definedName>
    <definedName name="김진성" localSheetId="4">[0]!Common [0]!DataBase.xls</definedName>
    <definedName name="김진성" localSheetId="5">[0]!Common [0]!DataBase.xls</definedName>
    <definedName name="김진성">[0]!Common [0]!DataBase.xls</definedName>
    <definedName name="김진성1" localSheetId="3">BlankMacro1</definedName>
    <definedName name="김진성1" localSheetId="4">BlankMacro1</definedName>
    <definedName name="김진성1" localSheetId="5">BlankMacro1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5">[41]본부별매출!#REF!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localSheetId="3">BlankMacro1</definedName>
    <definedName name="나" localSheetId="4">BlankMacro1</definedName>
    <definedName name="나" localSheetId="5">BlankMacro1</definedName>
    <definedName name="나" hidden="1">{#N/A,#N/A,FALSE,"BS";#N/A,#N/A,FALSE,"PL";#N/A,#N/A,FALSE,"처분";#N/A,#N/A,FALSE,"현금";#N/A,#N/A,FALSE,"매출";#N/A,#N/A,FALSE,"원가";#N/A,#N/A,FALSE,"경영"}</definedName>
    <definedName name="나나" localSheetId="3">#REF!</definedName>
    <definedName name="나나" localSheetId="4">#REF!</definedName>
    <definedName name="나나" localSheetId="5">#REF!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 localSheetId="3">'5300_계정명세_예수금'!나라현금</definedName>
    <definedName name="나라현금" localSheetId="4">'5300_계정명세_일반선수금'!나라현금</definedName>
    <definedName name="나라현금" localSheetId="5">'5300-계정명세_미지급비용'!나라현금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 localSheetId="3">#REF!</definedName>
    <definedName name="나물" localSheetId="4">#REF!</definedName>
    <definedName name="나물" localSheetId="5">#REF!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 localSheetId="3">BlankMacro1</definedName>
    <definedName name="내용" localSheetId="4">BlankMacro1</definedName>
    <definedName name="내용" localSheetId="5">BlankMacro1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 localSheetId="5">[42]표지!#REF!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 localSheetId="3">#REF!</definedName>
    <definedName name="녹즙영업팀" localSheetId="4">#REF!</definedName>
    <definedName name="녹즙영업팀" localSheetId="5">#REF!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localSheetId="5" hidden="1">#REF!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 localSheetId="3">#REF!</definedName>
    <definedName name="담당공인회계사">#REF!</definedName>
    <definedName name="담당자">#REF!</definedName>
    <definedName name="담배SK">#REF!</definedName>
    <definedName name="담배주식" localSheetId="3">#REF!</definedName>
    <definedName name="담배주식" localSheetId="4">#REF!</definedName>
    <definedName name="담배주식" localSheetId="5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 localSheetId="3">#REF!</definedName>
    <definedName name="당기말">#REF!</definedName>
    <definedName name="당기순손실" localSheetId="3">#REF!</definedName>
    <definedName name="당기순손실">#REF!</definedName>
    <definedName name="당기순손익">#REF!</definedName>
    <definedName name="당기순이익">#REF!</definedName>
    <definedName name="당기순익" localSheetId="3">#REF!</definedName>
    <definedName name="당기순익" localSheetId="4">#REF!</definedName>
    <definedName name="당기순익" localSheetId="5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 localSheetId="3">[44]부속_8옵션위험!#REF!</definedName>
    <definedName name="당월KOSPI종가" localSheetId="4">[44]부속_8옵션위험!#REF!</definedName>
    <definedName name="당월KOSPI종가" localSheetId="5">[44]부속_8옵션위험!#REF!</definedName>
    <definedName name="당월KOSPI종가">#REF!</definedName>
    <definedName name="당월RP위험" localSheetId="3">#REF!</definedName>
    <definedName name="당월RP위험" localSheetId="4">#REF!</definedName>
    <definedName name="당월RP위험" localSheetId="5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 localSheetId="3">#REF!</definedName>
    <definedName name="당월결제위험" localSheetId="4">#REF!</definedName>
    <definedName name="당월결제위험" localSheetId="5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 localSheetId="3">#REF!</definedName>
    <definedName name="당월임차보증금위험" localSheetId="4">#REF!</definedName>
    <definedName name="당월임차보증금위험" localSheetId="5">#REF!</definedName>
    <definedName name="당월임차보증금위험">#REF!</definedName>
    <definedName name="당월저축거래소주식2">#REF!</definedName>
    <definedName name="당월저축담보주식">#REF!</definedName>
    <definedName name="당월주식롱" localSheetId="5">[44]부속_4주식포지션위험!#REF!</definedName>
    <definedName name="당월주식롱">#REF!</definedName>
    <definedName name="당월주식숏" localSheetId="5">[44]부속_4주식포지션위험!#REF!</definedName>
    <definedName name="당월주식숏">#REF!</definedName>
    <definedName name="당월주식위험" localSheetId="5">[44]부속_4주식포지션위험!#REF!</definedName>
    <definedName name="당월주식위험">#REF!</definedName>
    <definedName name="당월주식위험총액" localSheetId="5">[44]부속_4주식포지션위험!#REF!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 localSheetId="3">#REF!</definedName>
    <definedName name="당월코스닥투자주식2" localSheetId="4">#REF!</definedName>
    <definedName name="당월코스닥투자주식2" localSheetId="5">#REF!</definedName>
    <definedName name="당월코스닥투자주식2">#REF!</definedName>
    <definedName name="당월판매수익증권위험">#REF!</definedName>
    <definedName name="당월환율" localSheetId="3">#REF!</definedName>
    <definedName name="당월환율" localSheetId="4">#REF!</definedName>
    <definedName name="당월환율" localSheetId="5">#REF!</definedName>
    <definedName name="당월환율">#REF!</definedName>
    <definedName name="당일기초" localSheetId="3">[45]당좌!#REF!</definedName>
    <definedName name="당일기초" localSheetId="4">[45]당좌!#REF!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 localSheetId="5">[38]TB!#REF!</definedName>
    <definedName name="대구">#REF!</definedName>
    <definedName name="대구지점" localSheetId="3">#REF!</definedName>
    <definedName name="대구지점" localSheetId="4">#REF!</definedName>
    <definedName name="대구지점" localSheetId="5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localSheetId="3">#REF!</definedName>
    <definedName name="대손충당금" hidden="1">{#N/A,#N/A,TRUE,"일정"}</definedName>
    <definedName name="대손충명세서" localSheetId="3" hidden="1">{"'어음수표'!$A$1"}</definedName>
    <definedName name="대손충명세서" localSheetId="4" hidden="1">{"'어음수표'!$A$1"}</definedName>
    <definedName name="대손충명세서" localSheetId="5" hidden="1">{"'어음수표'!$A$1"}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 localSheetId="3">#REF!</definedName>
    <definedName name="대전지점" localSheetId="4">#REF!</definedName>
    <definedName name="대전지점" localSheetId="5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 localSheetId="3">'5300_계정명세_예수금'!대지급</definedName>
    <definedName name="대지급" localSheetId="4">'5300_계정명세_일반선수금'!대지급</definedName>
    <definedName name="대지급" localSheetId="5">'5300-계정명세_미지급비용'!대지급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 localSheetId="3">#REF!</definedName>
    <definedName name="대체" localSheetId="4">#REF!</definedName>
    <definedName name="대체" localSheetId="5">#REF!</definedName>
    <definedName name="대체">#REF!</definedName>
    <definedName name="대출잔액">#REF!</definedName>
    <definedName name="대출현황" localSheetId="3">#REF!</definedName>
    <definedName name="대출현황" localSheetId="4">#REF!</definedName>
    <definedName name="대출현황" localSheetId="5">#REF!</definedName>
    <definedName name="대출현황">#REF!</definedName>
    <definedName name="대치대차" hidden="1">{#N/A,#N/A,FALSE,"매출이익"}</definedName>
    <definedName name="대표이사명" localSheetId="3">#REF!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localSheetId="3">BlankMacro1</definedName>
    <definedName name="ㄹㄹㄹ" localSheetId="4">BlankMacro1</definedName>
    <definedName name="ㄹㄹㄹ" localSheetId="5">BlankMacro1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 localSheetId="3">[0]!영광원자력5,'[17]6호기'!$A$1</definedName>
    <definedName name="ㄹ총ㄹ" localSheetId="4">[0]!영광원자력5,'[17]6호기'!$A$1</definedName>
    <definedName name="ㄹ총ㄹ" localSheetId="5">[0]!영광원자력5,'[17]6호기'!$A$1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 localSheetId="3">#REF!</definedName>
    <definedName name="리스" localSheetId="4">#REF!</definedName>
    <definedName name="리스" localSheetId="5">#REF!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localSheetId="3">'[47]1995년 섹터별 매출'!#REF!</definedName>
    <definedName name="ㅁ" localSheetId="4">'[47]1995년 섹터별 매출'!#REF!</definedName>
    <definedName name="ㅁ" localSheetId="5">'[47]1995년 섹터별 매출'!#REF!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 localSheetId="3">'[48]10.31'!#REF!</definedName>
    <definedName name="ㅁ1" localSheetId="4">'[48]10.31'!#REF!</definedName>
    <definedName name="ㅁ1" localSheetId="5">'[48]10.31'!#REF!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localSheetId="3">#REF!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localSheetId="3">BlankMacro1</definedName>
    <definedName name="ㅁㄹㅇ" localSheetId="4">BlankMacro1</definedName>
    <definedName name="ㅁㄹㅇ" localSheetId="5">BlankMacro1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3">'5300_계정명세_예수금'!ㅁㅁㅁㅁㅁ</definedName>
    <definedName name="ㅁㅁㅁㅁㅁ" localSheetId="4">'5300_계정명세_일반선수금'!ㅁㅁㅁㅁㅁ</definedName>
    <definedName name="ㅁㅁㅁㅁㅁ" localSheetId="5">'5300-계정명세_미지급비용'!ㅁㅁㅁㅁㅁ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localSheetId="3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 localSheetId="3">#REF!</definedName>
    <definedName name="매각" localSheetId="4">#REF!</definedName>
    <definedName name="매각" localSheetId="5">#REF!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 localSheetId="3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 localSheetId="3">#REF!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 localSheetId="3">#REF!</definedName>
    <definedName name="면" localSheetId="4">#REF!</definedName>
    <definedName name="면" localSheetId="5">#REF!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 localSheetId="5">[36]월별매출!#REF!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 localSheetId="3">[0]!영광원자력5,'[17]6호기'!$A$1</definedName>
    <definedName name="목포" localSheetId="4">[0]!영광원자력5,'[17]6호기'!$A$1</definedName>
    <definedName name="목포" localSheetId="5">[0]!영광원자력5,'[17]6호기'!$A$1</definedName>
    <definedName name="목포">[0]!영광원자력5,#REF!</definedName>
    <definedName name="목포공항" localSheetId="3">[0]!영광원자력5,'[17]6호기'!$A$1</definedName>
    <definedName name="목포공항" localSheetId="4">[0]!영광원자력5,'[17]6호기'!$A$1</definedName>
    <definedName name="목포공항" localSheetId="5">[0]!영광원자력5,'[17]6호기'!$A$1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 localSheetId="3">#REF!</definedName>
    <definedName name="목표순자본비율" localSheetId="4">#REF!</definedName>
    <definedName name="목표순자본비율" localSheetId="5">#REF!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localSheetId="3" hidden="1">{"'어음수표'!$A$1"}</definedName>
    <definedName name="무형명세서" localSheetId="4" hidden="1">{"'어음수표'!$A$1"}</definedName>
    <definedName name="무형명세서" localSheetId="5" hidden="1">{"'어음수표'!$A$1"}</definedName>
    <definedName name="무형명세서" hidden="1">{"'어음수표'!$A$1"}</definedName>
    <definedName name="무형자산" localSheetId="3">BlankMacro1</definedName>
    <definedName name="무형자산" localSheetId="4">BlankMacro1</definedName>
    <definedName name="무형자산" localSheetId="5">BlankMacro1</definedName>
    <definedName name="무형자산" hidden="1">#REF!</definedName>
    <definedName name="무형자산명세서" localSheetId="3" hidden="1">{"'어음수표'!$A$1"}</definedName>
    <definedName name="무형자산명세서" localSheetId="4" hidden="1">{"'어음수표'!$A$1"}</definedName>
    <definedName name="무형자산명세서" localSheetId="5" hidden="1">{"'어음수표'!$A$1"}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 localSheetId="5">[49]총괄원장!#REF!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 localSheetId="5">'[50]화재보험가입내역(종류별)'!#REF!</definedName>
    <definedName name="물건명">#REF!</definedName>
    <definedName name="물건목록2" localSheetId="5">'[50]화재보험가입내역(종류별)'!#REF!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 localSheetId="3">#REF!</definedName>
    <definedName name="미수이자" localSheetId="4">#REF!</definedName>
    <definedName name="미수이자" localSheetId="5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 localSheetId="3">'[14]control sheet'!#REF!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localSheetId="3" hidden="1">{"'어음수표'!$A$1"}</definedName>
    <definedName name="미착품" localSheetId="4" hidden="1">{"'어음수표'!$A$1"}</definedName>
    <definedName name="미착품" localSheetId="5" hidden="1">{"'어음수표'!$A$1"}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 localSheetId="3">BlankMacro1</definedName>
    <definedName name="ㅂㄳ" localSheetId="4">BlankMacro1</definedName>
    <definedName name="ㅂㄳ" localSheetId="5">BlankMacro1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 localSheetId="3">#REF!</definedName>
    <definedName name="ㅂㄷㅈ" localSheetId="4">#REF!</definedName>
    <definedName name="ㅂㄷㅈ" localSheetId="5">#REF!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localSheetId="5">#REF!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localSheetId="5">[51]대차!#REF!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localSheetId="3">#REF!</definedName>
    <definedName name="박" localSheetId="4">#REF!</definedName>
    <definedName name="박" localSheetId="5">#REF!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 localSheetId="3">#REF!</definedName>
    <definedName name="발송일자">#REF!</definedName>
    <definedName name="발송지" localSheetId="3">#REF!</definedName>
    <definedName name="발송지">#REF!</definedName>
    <definedName name="발송회사" localSheetId="3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 localSheetId="3">#REF!</definedName>
    <definedName name="백만원단위" localSheetId="4">#REF!</definedName>
    <definedName name="백만원단위" localSheetId="5">#REF!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 localSheetId="3">#REF!</definedName>
    <definedName name="법인균등할주민세.">#REF!</definedName>
    <definedName name="법인등록번호1" localSheetId="3">#REF!</definedName>
    <definedName name="법인등록번호1">#REF!</definedName>
    <definedName name="법인등록번호2" localSheetId="3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 localSheetId="3">#REF!</definedName>
    <definedName name="법정관리9712" localSheetId="4">#REF!</definedName>
    <definedName name="법정관리9712" localSheetId="5">#REF!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 localSheetId="3">#REF!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localSheetId="3">#REF!</definedName>
    <definedName name="보정" localSheetId="4">#REF!</definedName>
    <definedName name="보정" localSheetId="5">#REF!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 localSheetId="3">#REF!</definedName>
    <definedName name="보증기관" localSheetId="4">#REF!</definedName>
    <definedName name="보증기관" localSheetId="5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 localSheetId="3">#REF!</definedName>
    <definedName name="보험환가7" localSheetId="4">#REF!</definedName>
    <definedName name="보험환가7" localSheetId="5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 localSheetId="5">[38]TB!#REF!</definedName>
    <definedName name="본사">#REF!</definedName>
    <definedName name="본사_B관법인">#REF!</definedName>
    <definedName name="본사누계" localSheetId="5">[38]TB!#REF!</definedName>
    <definedName name="본사누계">#REF!</definedName>
    <definedName name="본사전기" localSheetId="5">[38]TB!#REF!</definedName>
    <definedName name="본사전기">#REF!</definedName>
    <definedName name="본사주소" localSheetId="3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localSheetId="3">#REF!</definedName>
    <definedName name="부" localSheetId="4">#REF!</definedName>
    <definedName name="부" localSheetId="5">#REF!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 localSheetId="3">[0]!기타당좌자산1+[0]!기타당좌자산2</definedName>
    <definedName name="부가세비교" localSheetId="4">[0]!기타당좌자산1+[0]!기타당좌자산2</definedName>
    <definedName name="부가세비교" localSheetId="5">[0]!기타당좌자산1+[0]!기타당좌자산2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 localSheetId="3">#REF!</definedName>
    <definedName name="부동산" localSheetId="4">#REF!</definedName>
    <definedName name="부동산" localSheetId="5">#REF!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 localSheetId="3">#REF!</definedName>
    <definedName name="부산" localSheetId="4">#REF!</definedName>
    <definedName name="부산" localSheetId="5">#REF!</definedName>
    <definedName name="부산">#REF!</definedName>
    <definedName name="부산자영" localSheetId="3">[40]본부별매출!#REF!</definedName>
    <definedName name="부산자영" localSheetId="4">[40]본부별매출!#REF!</definedName>
    <definedName name="부산자영" localSheetId="5">[40]본부별매출!#REF!</definedName>
    <definedName name="부산자영">#REF!</definedName>
    <definedName name="부산지점" localSheetId="3">#REF!</definedName>
    <definedName name="부산지점" localSheetId="4">#REF!</definedName>
    <definedName name="부산지점" localSheetId="5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localSheetId="5" hidden="1">[52]수정시산표!#REF!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 localSheetId="3">#REF!</definedName>
    <definedName name="부채자본" localSheetId="4">#REF!</definedName>
    <definedName name="부채자본" localSheetId="5">#REF!</definedName>
    <definedName name="부채자본">#REF!</definedName>
    <definedName name="부평" localSheetId="3">[38]TB!#REF!</definedName>
    <definedName name="부평" localSheetId="4">[38]TB!#REF!</definedName>
    <definedName name="부평" localSheetId="5">[38]TB!#REF!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 localSheetId="3">#REF!</definedName>
    <definedName name="비비" localSheetId="4">#REF!</definedName>
    <definedName name="비비" localSheetId="5">#REF!</definedName>
    <definedName name="비비">#REF!</definedName>
    <definedName name="비비비" localSheetId="3" hidden="1">[53]수정시산표!#REF!</definedName>
    <definedName name="비비비" localSheetId="4" hidden="1">[53]수정시산표!#REF!</definedName>
    <definedName name="비비비" localSheetId="5" hidden="1">[53]수정시산표!#REF!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localSheetId="5" hidden="1">'[54]경영비율 '!#REF!</definedName>
    <definedName name="비율0" hidden="1">#REF!</definedName>
    <definedName name="비율2" localSheetId="5" hidden="1">[53]수정시산표!#REF!</definedName>
    <definedName name="비율2" hidden="1">#REF!</definedName>
    <definedName name="비율분석" localSheetId="3">#REF!</definedName>
    <definedName name="비율분석" localSheetId="4">#REF!</definedName>
    <definedName name="비율분석" localSheetId="5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 localSheetId="3">[55]업무연락!#REF!</definedName>
    <definedName name="비축" localSheetId="4">[55]업무연락!#REF!</definedName>
    <definedName name="비축" localSheetId="5">[55]업무연락!#REF!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localSheetId="5">#REF!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 localSheetId="3">#REF!</definedName>
    <definedName name="사업별손익" localSheetId="4">#REF!</definedName>
    <definedName name="사업별손익" localSheetId="5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 localSheetId="3">#REF!</definedName>
    <definedName name="사업자등록번호1">#REF!</definedName>
    <definedName name="사업자등록번호2" localSheetId="3">#REF!</definedName>
    <definedName name="사업자등록번호2">#REF!</definedName>
    <definedName name="사업자등록번호3" localSheetId="3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 localSheetId="3">#REF!</definedName>
    <definedName name="사이버" localSheetId="4">#REF!</definedName>
    <definedName name="사이버" localSheetId="5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localSheetId="3">#REF!</definedName>
    <definedName name="삼" localSheetId="4">#REF!</definedName>
    <definedName name="삼" localSheetId="5">#REF!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 localSheetId="3">#REF!</definedName>
    <definedName name="삼정회계법인자료" localSheetId="4">#REF!</definedName>
    <definedName name="삼정회계법인자료" localSheetId="5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 localSheetId="3">#REF!</definedName>
    <definedName name="상이사항기록">#REF!</definedName>
    <definedName name="상장" localSheetId="3">#REF!</definedName>
    <definedName name="상장">#REF!</definedName>
    <definedName name="상장연도" localSheetId="3">#REF!</definedName>
    <definedName name="상장연도">#REF!</definedName>
    <definedName name="상장예정연도" localSheetId="3">#REF!</definedName>
    <definedName name="상장예정연도">#REF!</definedName>
    <definedName name="상장예정월" localSheetId="3">#REF!</definedName>
    <definedName name="상장예정월">#REF!</definedName>
    <definedName name="상장예정일" localSheetId="3">#REF!</definedName>
    <definedName name="상장예정일">#REF!</definedName>
    <definedName name="상장월" localSheetId="3">#REF!</definedName>
    <definedName name="상장월">#REF!</definedName>
    <definedName name="상장일" localSheetId="3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 localSheetId="5">[41]본부별매출!#REF!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 localSheetId="3">#REF!</definedName>
    <definedName name="샘물영업팀" localSheetId="4">#REF!</definedName>
    <definedName name="샘물영업팀" localSheetId="5">#REF!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 localSheetId="3">#REF!</definedName>
    <definedName name="생산성의령" localSheetId="4">#REF!</definedName>
    <definedName name="생산성의령" localSheetId="5">#REF!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 localSheetId="5">[38]TB!#REF!</definedName>
    <definedName name="서울사무소">#REF!</definedName>
    <definedName name="서울사무소월차" localSheetId="5">[38]TB!#REF!</definedName>
    <definedName name="서울사무소월차">#REF!</definedName>
    <definedName name="서울사무소전기" localSheetId="5">[38]TB!#REF!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localSheetId="3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 localSheetId="3">#REF!</definedName>
    <definedName name="선택규격번호" localSheetId="4">#REF!</definedName>
    <definedName name="선택규격번호" localSheetId="5">#REF!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 localSheetId="3">#REF!</definedName>
    <definedName name="설립연도">#REF!</definedName>
    <definedName name="설립월" localSheetId="3">#REF!</definedName>
    <definedName name="설립월">#REF!</definedName>
    <definedName name="설립일" localSheetId="3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 localSheetId="3">#REF!</definedName>
    <definedName name="세율" localSheetId="4">#REF!</definedName>
    <definedName name="세율" localSheetId="5">#REF!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 localSheetId="3">#REF!</definedName>
    <definedName name="소액기말" localSheetId="4">#REF!</definedName>
    <definedName name="소액기말" localSheetId="5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 localSheetId="5">'[56]1995년 섹터별 매출'!#REF!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 localSheetId="5">[38]TB!#REF!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localSheetId="3" hidden="1">#REF!</definedName>
    <definedName name="수정사항" localSheetId="4" hidden="1">#REF!</definedName>
    <definedName name="수정사항" localSheetId="5" hidden="1">#REF!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 localSheetId="3">#REF!</definedName>
    <definedName name="수지상황" localSheetId="4">#REF!</definedName>
    <definedName name="수지상황" localSheetId="5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 localSheetId="5">[44]산출_2순자본!#REF!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 localSheetId="3">#REF!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 localSheetId="3">#REF!</definedName>
    <definedName name="시장위험" localSheetId="4">#REF!</definedName>
    <definedName name="시장위험" localSheetId="5">#REF!</definedName>
    <definedName name="시장위험">#REF!</definedName>
    <definedName name="시트1" hidden="1">#REF!</definedName>
    <definedName name="시효">#REF!</definedName>
    <definedName name="시효기일" localSheetId="3">#REF!</definedName>
    <definedName name="시효기일" localSheetId="4">#REF!</definedName>
    <definedName name="시효기일" localSheetId="5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 localSheetId="5">[46]구분목록!#REF!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 localSheetId="3">#REF!</definedName>
    <definedName name="신용융자" localSheetId="4">#REF!</definedName>
    <definedName name="신용융자" localSheetId="5">#REF!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localSheetId="3" hidden="1">{"'어음수표'!$A$1"}</definedName>
    <definedName name="신탁" localSheetId="4" hidden="1">{"'어음수표'!$A$1"}</definedName>
    <definedName name="신탁" localSheetId="5" hidden="1">{"'어음수표'!$A$1"}</definedName>
    <definedName name="신탁" hidden="1">{"'어음수표'!$A$1"}</definedName>
    <definedName name="신협가나">#REF!</definedName>
    <definedName name="신협동" localSheetId="3">#REF!</definedName>
    <definedName name="신협동" localSheetId="4">#REF!</definedName>
    <definedName name="신협동" localSheetId="5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 localSheetId="5">[22]주채무!#REF!</definedName>
    <definedName name="실명번호">#REF!</definedName>
    <definedName name="실사및청산가치조정표" hidden="1">{"'Sheet1'!$A$1:$D$15"}</definedName>
    <definedName name="실어" localSheetId="3">[0]!Common [0]!DataBase.xls</definedName>
    <definedName name="실어" localSheetId="4">[0]!Common [0]!DataBase.xls</definedName>
    <definedName name="실어" localSheetId="5">[0]!Common [0]!DataBase.xls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localSheetId="3">#REF!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 localSheetId="3">#REF!</definedName>
    <definedName name="아마ㅓㅇ" localSheetId="4">#REF!</definedName>
    <definedName name="아마ㅓㅇ" localSheetId="5">#REF!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 localSheetId="3">#REF!</definedName>
    <definedName name="양도통지직인" localSheetId="4">#REF!</definedName>
    <definedName name="양도통지직인" localSheetId="5">#REF!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 localSheetId="3">[38]TB!#REF!</definedName>
    <definedName name="양산" localSheetId="4">[38]TB!#REF!</definedName>
    <definedName name="양산" localSheetId="5">[38]TB!#REF!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 localSheetId="3">#REF!</definedName>
    <definedName name="양주묵생산" localSheetId="4">#REF!</definedName>
    <definedName name="양주묵생산" localSheetId="5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 localSheetId="3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 localSheetId="3">BlankMacro1</definedName>
    <definedName name="엊" localSheetId="4">BlankMacro1</definedName>
    <definedName name="엊" localSheetId="5">BlankMacro1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 localSheetId="3">#REF!</definedName>
    <definedName name="에스케이주식" localSheetId="4">#REF!</definedName>
    <definedName name="에스케이주식" localSheetId="5">#REF!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 localSheetId="3">#REF!</definedName>
    <definedName name="여신성가지급금세부내역" localSheetId="4">#REF!</definedName>
    <definedName name="여신성가지급금세부내역" localSheetId="5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 localSheetId="3">[0]!영광원자력5,'[17]6호기'!$A$1</definedName>
    <definedName name="영광" localSheetId="4">[0]!영광원자력5,'[17]6호기'!$A$1</definedName>
    <definedName name="영광" localSheetId="5">[0]!영광원자력5,'[17]6호기'!$A$1</definedName>
    <definedName name="영광">[0]!영광원자력5,#REF!</definedName>
    <definedName name="영광원자력56호기" localSheetId="3">[0]!영광원자력5,'[17]6호기'!$A$1</definedName>
    <definedName name="영광원자력56호기" localSheetId="4">[0]!영광원자력5,'[17]6호기'!$A$1</definedName>
    <definedName name="영광원자력56호기" localSheetId="5">[0]!영광원자력5,'[17]6호기'!$A$1</definedName>
    <definedName name="영광원자력56호기">[0]!영광원자력5,#REF!</definedName>
    <definedName name="영남보븐" localSheetId="3">#REF!</definedName>
    <definedName name="영남보븐" localSheetId="4">#REF!</definedName>
    <definedName name="영남보븐" localSheetId="5">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 localSheetId="3">#REF!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 localSheetId="5">#REF!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localSheetId="5">#REF!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localSheetId="3" hidden="1">{"'어음수표'!$A$1"}</definedName>
    <definedName name="외화" localSheetId="4" hidden="1">{"'어음수표'!$A$1"}</definedName>
    <definedName name="외화" localSheetId="5" hidden="1">{"'어음수표'!$A$1"}</definedName>
    <definedName name="외화" hidden="1">{"'어음수표'!$A$1"}</definedName>
    <definedName name="외화장" localSheetId="3" hidden="1">{"'어음수표'!$A$1"}</definedName>
    <definedName name="외화장" localSheetId="4" hidden="1">{"'어음수표'!$A$1"}</definedName>
    <definedName name="외화장" localSheetId="5" hidden="1">{"'어음수표'!$A$1"}</definedName>
    <definedName name="외화장" hidden="1">{"'어음수표'!$A$1"}</definedName>
    <definedName name="외화장기2" localSheetId="3" hidden="1">{"'어음수표'!$A$1"}</definedName>
    <definedName name="외화장기2" localSheetId="4" hidden="1">{"'어음수표'!$A$1"}</definedName>
    <definedName name="외화장기2" localSheetId="5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localSheetId="3" hidden="1">{"'어음수표'!$A$1"}</definedName>
    <definedName name="외환" localSheetId="4" hidden="1">{"'어음수표'!$A$1"}</definedName>
    <definedName name="외환" localSheetId="5" hidden="1">{"'어음수표'!$A$1"}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3" hidden="1">[23]시산표!#REF!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 localSheetId="3">#REF!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 localSheetId="3">BlankMacro1</definedName>
    <definedName name="우출" localSheetId="4">BlankMacro1</definedName>
    <definedName name="우출" localSheetId="5">BlankMacro1</definedName>
    <definedName name="우출">BlankMacro1</definedName>
    <definedName name="우편번호" localSheetId="5">[43]조회거래처!#REF!</definedName>
    <definedName name="우편번호">#REF!</definedName>
    <definedName name="우편번호1" localSheetId="3">#REF!</definedName>
    <definedName name="우편번호1">#REF!</definedName>
    <definedName name="우편번호2" localSheetId="3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localSheetId="3">#REF!</definedName>
    <definedName name="원" localSheetId="4">#REF!</definedName>
    <definedName name="원" localSheetId="5">#REF!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 localSheetId="3">#REF!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localSheetId="5">#REF!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localSheetId="3">#REF!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 localSheetId="3">[0]!영광원자력5,'[17]6호기'!$A$1</definedName>
    <definedName name="유신" localSheetId="4">[0]!영광원자력5,'[17]6호기'!$A$1</definedName>
    <definedName name="유신" localSheetId="5">[0]!영광원자력5,'[17]6호기'!$A$1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 localSheetId="3">#REF!</definedName>
    <definedName name="유통관리" localSheetId="4">#REF!</definedName>
    <definedName name="유통관리" localSheetId="5">#REF!</definedName>
    <definedName name="유통관리">#REF!</definedName>
    <definedName name="유형" localSheetId="3">BlankMacro1</definedName>
    <definedName name="유형" localSheetId="4">BlankMacro1</definedName>
    <definedName name="유형" localSheetId="5">BlankMacro1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 localSheetId="3">#REF!</definedName>
    <definedName name="육" localSheetId="4">#REF!</definedName>
    <definedName name="육" localSheetId="5">#REF!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 localSheetId="3">#REF!</definedName>
    <definedName name="은행환가7" localSheetId="4">#REF!</definedName>
    <definedName name="은행환가7" localSheetId="5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localSheetId="3">'5300_계정명세_예수금'!이연</definedName>
    <definedName name="이연" localSheetId="4">'5300_계정명세_일반선수금'!이연</definedName>
    <definedName name="이연" localSheetId="5">'5300-계정명세_미지급비용'!이연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localSheetId="3" hidden="1">{"'어음수표'!$A$1"}</definedName>
    <definedName name="이종곤" localSheetId="4" hidden="1">{"'어음수표'!$A$1"}</definedName>
    <definedName name="이종곤" localSheetId="5" hidden="1">{"'어음수표'!$A$1"}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 localSheetId="3">#REF!</definedName>
    <definedName name="인쇄01" localSheetId="4">#REF!</definedName>
    <definedName name="인쇄01" localSheetId="5">#REF!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 localSheetId="3">#REF!</definedName>
    <definedName name="인적사항" localSheetId="4">#REF!</definedName>
    <definedName name="인적사항" localSheetId="5">#REF!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 localSheetId="3">#REF!</definedName>
    <definedName name="일반보증" localSheetId="4">#REF!</definedName>
    <definedName name="일반보증" localSheetId="5">#REF!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 localSheetId="3">'5300_계정명세_예수금'!임가공</definedName>
    <definedName name="임가공" localSheetId="4">'5300_계정명세_일반선수금'!임가공</definedName>
    <definedName name="임가공" localSheetId="5">'5300-계정명세_미지급비용'!임가공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localSheetId="3">#REF!</definedName>
    <definedName name="임대보증금" localSheetId="4">#REF!</definedName>
    <definedName name="임대보증금" localSheetId="5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 localSheetId="3">#REF!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 localSheetId="3">#REF!</definedName>
    <definedName name="입력범위" localSheetId="4">#REF!</definedName>
    <definedName name="입력범위" localSheetId="5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 localSheetId="5">#REF!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 localSheetId="3">BlankMacro1</definedName>
    <definedName name="자장" localSheetId="4">BlankMacro1</definedName>
    <definedName name="자장" localSheetId="5">BlankMacro1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 localSheetId="5">[57]교통대책내역!#REF!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 localSheetId="3">#REF!</definedName>
    <definedName name="자회사지급보증" localSheetId="4">#REF!</definedName>
    <definedName name="자회사지급보증" localSheetId="5">#REF!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localSheetId="5" hidden="1">#REF!</definedName>
    <definedName name="잔액" hidden="1">#REF!</definedName>
    <definedName name="잔양" hidden="1">{#N/A,#N/A,FALSE,"P.C.B"}</definedName>
    <definedName name="잔존년수">#REF!</definedName>
    <definedName name="잔존만기" localSheetId="3">#REF!</definedName>
    <definedName name="잔존만기" localSheetId="4">#REF!</definedName>
    <definedName name="잔존만기" localSheetId="5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localSheetId="3" hidden="1">{"'어음수표'!$A$1"}</definedName>
    <definedName name="장기매출채권" localSheetId="4" hidden="1">{"'어음수표'!$A$1"}</definedName>
    <definedName name="장기매출채권" localSheetId="5" hidden="1">{"'어음수표'!$A$1"}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localSheetId="3" hidden="1">{"'어음수표'!$A$1"}</definedName>
    <definedName name="장기미지" localSheetId="4" hidden="1">{"'어음수표'!$A$1"}</definedName>
    <definedName name="장기미지" localSheetId="5" hidden="1">{"'어음수표'!$A$1"}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localSheetId="3" hidden="1">{"'어음수표'!$A$1"}</definedName>
    <definedName name="장기차" localSheetId="4" hidden="1">{"'어음수표'!$A$1"}</definedName>
    <definedName name="장기차" localSheetId="5" hidden="1">{"'어음수표'!$A$1"}</definedName>
    <definedName name="장기차" hidden="1">{"'어음수표'!$A$1"}</definedName>
    <definedName name="장기차입2" localSheetId="3" hidden="1">{"'어음수표'!$A$1"}</definedName>
    <definedName name="장기차입2" localSheetId="4" hidden="1">{"'어음수표'!$A$1"}</definedName>
    <definedName name="장기차입2" localSheetId="5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 localSheetId="3">#REF!</definedName>
    <definedName name="장부가액" localSheetId="4">#REF!</definedName>
    <definedName name="장부가액" localSheetId="5">#REF!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 localSheetId="5">[36]업무연락!#REF!</definedName>
    <definedName name="재고자산계획">#REF!</definedName>
    <definedName name="재고자산유지계획" localSheetId="3">#REF!</definedName>
    <definedName name="재고자산유지계획" localSheetId="4">#REF!</definedName>
    <definedName name="재고자산유지계획" localSheetId="5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 localSheetId="3">#REF!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 localSheetId="3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 localSheetId="3">#REF!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 localSheetId="3">'[37]scale &amp; Income'!#REF!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 localSheetId="3">#REF!</definedName>
    <definedName name="전월RP위험" localSheetId="4">#REF!</definedName>
    <definedName name="전월RP위험" localSheetId="5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 localSheetId="3">#REF!</definedName>
    <definedName name="전월결제위험" localSheetId="4">#REF!</definedName>
    <definedName name="전월결제위험" localSheetId="5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 localSheetId="3">#REF!</definedName>
    <definedName name="전월기타위험" localSheetId="4">#REF!</definedName>
    <definedName name="전월기타위험" localSheetId="5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 localSheetId="3">#REF!</definedName>
    <definedName name="전월대차위험" localSheetId="4">#REF!</definedName>
    <definedName name="전월대차위험" localSheetId="5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 localSheetId="3">#REF!</definedName>
    <definedName name="전월임차보증금위험" localSheetId="4">#REF!</definedName>
    <definedName name="전월임차보증금위험" localSheetId="5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 localSheetId="3">#REF!</definedName>
    <definedName name="전월평가액" localSheetId="4">#REF!</definedName>
    <definedName name="전월평가액" localSheetId="5">#REF!</definedName>
    <definedName name="전월평가액">#REF!</definedName>
    <definedName name="전월환율">#REF!</definedName>
    <definedName name="전일잔액">#REF!</definedName>
    <definedName name="전입액" localSheetId="3">#REF!</definedName>
    <definedName name="전입액" localSheetId="4">#REF!</definedName>
    <definedName name="전입액" localSheetId="5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localSheetId="3" hidden="1">{"'어음수표'!$A$1"}</definedName>
    <definedName name="전찬" localSheetId="4" hidden="1">{"'어음수표'!$A$1"}</definedName>
    <definedName name="전찬" localSheetId="5" hidden="1">{"'어음수표'!$A$1"}</definedName>
    <definedName name="전찬" hidden="1">{"'어음수표'!$A$1"}</definedName>
    <definedName name="전찬용" localSheetId="3" hidden="1">{"'어음수표'!$A$1"}</definedName>
    <definedName name="전찬용" localSheetId="4" hidden="1">{"'어음수표'!$A$1"}</definedName>
    <definedName name="전찬용" localSheetId="5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 localSheetId="3">#REF!</definedName>
    <definedName name="전화번호1">#REF!</definedName>
    <definedName name="전화번호2" localSheetId="3">#REF!</definedName>
    <definedName name="전화번호2">#REF!</definedName>
    <definedName name="전화번호3" localSheetId="3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 localSheetId="3">BlankMacro1</definedName>
    <definedName name="정기" localSheetId="4">BlankMacro1</definedName>
    <definedName name="정기" localSheetId="5">BlankMacro1</definedName>
    <definedName name="정기">BlankMacro1</definedName>
    <definedName name="정기예" localSheetId="3">BlankMacro1</definedName>
    <definedName name="정기예" localSheetId="4">BlankMacro1</definedName>
    <definedName name="정기예" localSheetId="5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 localSheetId="3">#REF!</definedName>
    <definedName name="정리" localSheetId="4">#REF!</definedName>
    <definedName name="정리" localSheetId="5">#REF!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 localSheetId="5">#REF!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localSheetId="3">'5300_계정명세_예수금'!정산표</definedName>
    <definedName name="정산표" localSheetId="4">'5300_계정명세_일반선수금'!정산표</definedName>
    <definedName name="정산표" localSheetId="5">'5300-계정명세_미지급비용'!정산표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 localSheetId="3">'5300_계정명세_예수금'!정상표</definedName>
    <definedName name="정상표" localSheetId="4">'5300_계정명세_일반선수금'!정상표</definedName>
    <definedName name="정상표" localSheetId="5">'5300-계정명세_미지급비용'!정상표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 localSheetId="3">#REF!</definedName>
    <definedName name="정직" localSheetId="4">#REF!</definedName>
    <definedName name="정직" localSheetId="5">#REF!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 localSheetId="5">[49]총괄원장!#REF!</definedName>
    <definedName name="조건영역">#REF!</definedName>
    <definedName name="조건표" localSheetId="5">[49]총괄원장!#REF!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 localSheetId="3">#REF!</definedName>
    <definedName name="조서번호" localSheetId="4">#REF!</definedName>
    <definedName name="조서번호" localSheetId="5">#REF!</definedName>
    <definedName name="조서번호">#REF!</definedName>
    <definedName name="조세공과">#REF!</definedName>
    <definedName name="조식" localSheetId="3">#REF!</definedName>
    <definedName name="조식" localSheetId="4">#REF!</definedName>
    <definedName name="조식" localSheetId="5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 localSheetId="3">#REF!</definedName>
    <definedName name="조직실적1" localSheetId="4">#REF!</definedName>
    <definedName name="조직실적1" localSheetId="5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 localSheetId="3">#REF!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 localSheetId="3">#REF!</definedName>
    <definedName name="종금환가7" localSheetId="4">#REF!</definedName>
    <definedName name="종금환가7" localSheetId="5">#REF!</definedName>
    <definedName name="종금환가7">#REF!</definedName>
    <definedName name="종기팀출자주식">#REF!</definedName>
    <definedName name="종목" localSheetId="3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 localSheetId="3">#REF!</definedName>
    <definedName name="주부신수익권증서_400" localSheetId="4">#REF!</definedName>
    <definedName name="주부신수익권증서_400" localSheetId="5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 localSheetId="5">#REF!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 localSheetId="5">#REF!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 localSheetId="5">[38]TB!#REF!</definedName>
    <definedName name="증감구로">#REF!</definedName>
    <definedName name="증감본사누계" localSheetId="5">[38]TB!#REF!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 localSheetId="3">#REF!</definedName>
    <definedName name="증권예탁원" localSheetId="4">#REF!</definedName>
    <definedName name="증권예탁원" localSheetId="5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 localSheetId="3">#REF!</definedName>
    <definedName name="지급어음" localSheetId="4">#REF!</definedName>
    <definedName name="지급어음" localSheetId="5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 localSheetId="3">#REF!</definedName>
    <definedName name="지급이자94">#REF!</definedName>
    <definedName name="지급이자95" localSheetId="3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 localSheetId="3">#REF!</definedName>
    <definedName name="지보7" localSheetId="4">#REF!</definedName>
    <definedName name="지보7" localSheetId="5">#REF!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 localSheetId="3">#REF!</definedName>
    <definedName name="직위" localSheetId="4">#REF!</definedName>
    <definedName name="직위" localSheetId="5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 localSheetId="3">[0]!Common [0]!DataBase.xls</definedName>
    <definedName name="진성" localSheetId="4">[0]!Common [0]!DataBase.xls</definedName>
    <definedName name="진성" localSheetId="5">[0]!Common [0]!DataBase.xls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 localSheetId="3">#REF!</definedName>
    <definedName name="집계_대과목별_" localSheetId="4">#REF!</definedName>
    <definedName name="집계_대과목별_" localSheetId="5">#REF!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 localSheetId="3">[0]!영광원자력5,'[17]6호기'!$A$1</definedName>
    <definedName name="집계표1" localSheetId="4">[0]!영광원자력5,'[17]6호기'!$A$1</definedName>
    <definedName name="집계표1" localSheetId="5">[0]!영광원자력5,'[17]6호기'!$A$1</definedName>
    <definedName name="집계표1">[0]!영광원자력5,#REF!</definedName>
    <definedName name="집기" localSheetId="3">'5300_계정명세_예수금'!집기</definedName>
    <definedName name="집기" localSheetId="4">'5300_계정명세_일반선수금'!집기</definedName>
    <definedName name="집기" localSheetId="5">'5300-계정명세_미지급비용'!집기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 localSheetId="3">[0]!Common [0]!DataBase.xls</definedName>
    <definedName name="짬뽕" localSheetId="4">[0]!Common [0]!DataBase.xls</definedName>
    <definedName name="짬뽕" localSheetId="5">[0]!Common [0]!DataBase.xls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 localSheetId="5">#REF!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 localSheetId="3">#REF!</definedName>
    <definedName name="차변" localSheetId="4">#REF!</definedName>
    <definedName name="차변" localSheetId="5">#REF!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localSheetId="5">'[58]참고(3)고정비'!#REF!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 localSheetId="5">[38]TB!#REF!</definedName>
    <definedName name="창원">#REF!</definedName>
    <definedName name="채권" localSheetId="3">#REF!</definedName>
    <definedName name="채권" localSheetId="4">#REF!</definedName>
    <definedName name="채권" localSheetId="5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 localSheetId="5">[38]TB!#REF!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 localSheetId="3">#REF!</definedName>
    <definedName name="초급" localSheetId="4">#REF!</definedName>
    <definedName name="초급" localSheetId="5">#REF!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 localSheetId="5">#REF!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 localSheetId="3">[0]!Common [0]!DataBase.xls</definedName>
    <definedName name="최" localSheetId="4">[0]!Common [0]!DataBase.xls</definedName>
    <definedName name="최" localSheetId="5">[0]!Common [0]!DataBase.xls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 localSheetId="3">#REF!</definedName>
    <definedName name="추계합계" localSheetId="4">#REF!</definedName>
    <definedName name="추계합계" localSheetId="5">#REF!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 localSheetId="3">#REF!</definedName>
    <definedName name="춘천두부생산" localSheetId="4">#REF!</definedName>
    <definedName name="춘천두부생산" localSheetId="5">#REF!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localSheetId="3" hidden="1">{"'어음수표'!$A$1"}</definedName>
    <definedName name="충당금명세서" localSheetId="4" hidden="1">{"'어음수표'!$A$1"}</definedName>
    <definedName name="충당금명세서" localSheetId="5" hidden="1">{"'어음수표'!$A$1"}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 localSheetId="5">#REF!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 localSheetId="3">[0]!Common [0]!DataBase.xls</definedName>
    <definedName name="컴" localSheetId="4">[0]!Common [0]!DataBase.xls</definedName>
    <definedName name="컴" localSheetId="5">[0]!Common [0]!DataBase.xls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 localSheetId="3">#REF!</definedName>
    <definedName name="코드" localSheetId="4">#REF!</definedName>
    <definedName name="코드" localSheetId="5">#REF!</definedName>
    <definedName name="코드">#REF!</definedName>
    <definedName name="코드2">#REF!</definedName>
    <definedName name="코드번호" localSheetId="3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 localSheetId="3">BlankMacro1</definedName>
    <definedName name="템플리트100" localSheetId="4">BlankMacro1</definedName>
    <definedName name="템플리트100" localSheetId="5">BlankMacro1</definedName>
    <definedName name="템플리트100">BlankMacro1</definedName>
    <definedName name="템플리트모듈1" localSheetId="3">BlankMacro1</definedName>
    <definedName name="템플리트모듈1" localSheetId="4">BlankMacro1</definedName>
    <definedName name="템플리트모듈1" localSheetId="5">BlankMacro1</definedName>
    <definedName name="템플리트모듈1">BlankMacro1</definedName>
    <definedName name="템플리트모듈100" localSheetId="3">BlankMacro1</definedName>
    <definedName name="템플리트모듈100" localSheetId="4">BlankMacro1</definedName>
    <definedName name="템플리트모듈100" localSheetId="5">BlankMacro1</definedName>
    <definedName name="템플리트모듈100">BlankMacro1</definedName>
    <definedName name="템플리트모듈2" localSheetId="3">BlankMacro1</definedName>
    <definedName name="템플리트모듈2" localSheetId="4">BlankMacro1</definedName>
    <definedName name="템플리트모듈2" localSheetId="5">BlankMacro1</definedName>
    <definedName name="템플리트모듈2">BlankMacro1</definedName>
    <definedName name="템플리트모듈3" localSheetId="3">BlankMacro1</definedName>
    <definedName name="템플리트모듈3" localSheetId="4">BlankMacro1</definedName>
    <definedName name="템플리트모듈3" localSheetId="5">BlankMacro1</definedName>
    <definedName name="템플리트모듈3">BlankMacro1</definedName>
    <definedName name="템플리트모듈4" localSheetId="3">BlankMacro1</definedName>
    <definedName name="템플리트모듈4" localSheetId="4">BlankMacro1</definedName>
    <definedName name="템플리트모듈4" localSheetId="5">BlankMacro1</definedName>
    <definedName name="템플리트모듈4">BlankMacro1</definedName>
    <definedName name="템플리트모듈5" localSheetId="3">BlankMacro1</definedName>
    <definedName name="템플리트모듈5" localSheetId="4">BlankMacro1</definedName>
    <definedName name="템플리트모듈5" localSheetId="5">BlankMacro1</definedName>
    <definedName name="템플리트모듈5">BlankMacro1</definedName>
    <definedName name="템플리트모듈6" localSheetId="3">BlankMacro1</definedName>
    <definedName name="템플리트모듈6" localSheetId="4">BlankMacro1</definedName>
    <definedName name="템플리트모듈6" localSheetId="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localSheetId="3" hidden="1">{"'어음수표'!$A$1"}</definedName>
    <definedName name="퇴직신" localSheetId="4" hidden="1">{"'어음수표'!$A$1"}</definedName>
    <definedName name="퇴직신" localSheetId="5" hidden="1">{"'어음수표'!$A$1"}</definedName>
    <definedName name="퇴직신" hidden="1">{"'어음수표'!$A$1"}</definedName>
    <definedName name="퇴직신탁" localSheetId="3" hidden="1">{"'어음수표'!$A$1"}</definedName>
    <definedName name="퇴직신탁" localSheetId="4" hidden="1">{"'어음수표'!$A$1"}</definedName>
    <definedName name="퇴직신탁" localSheetId="5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 localSheetId="5">#REF!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 localSheetId="5">#REF!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 localSheetId="3">#REF!</definedName>
    <definedName name="특급" localSheetId="4">#REF!</definedName>
    <definedName name="특급" localSheetId="5">#REF!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localSheetId="3">'5300_계정명세_예수금'!ㅍ</definedName>
    <definedName name="ㅍ" localSheetId="4">'5300_계정명세_일반선수금'!ㅍ</definedName>
    <definedName name="ㅍ" localSheetId="5">'5300-계정명세_미지급비용'!ㅍ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 localSheetId="3">#REF!</definedName>
    <definedName name="팔" localSheetId="4">#REF!</definedName>
    <definedName name="팔" localSheetId="5">#REF!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 localSheetId="3">#REF!</definedName>
    <definedName name="팩스번호1">#REF!</definedName>
    <definedName name="팩스번호2" localSheetId="3">#REF!</definedName>
    <definedName name="팩스번호2">#REF!</definedName>
    <definedName name="팩스번호3" localSheetId="3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 localSheetId="3">#REF!</definedName>
    <definedName name="평가다">#REF!</definedName>
    <definedName name="평가다2" localSheetId="3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 localSheetId="3">#REF!</definedName>
    <definedName name="평가전">#REF!</definedName>
    <definedName name="평가표반여">#REF!</definedName>
    <definedName name="평가회수">#REF!</definedName>
    <definedName name="평가후" localSheetId="3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 localSheetId="3">[0]!영광원자력5,'[17]6호기'!$A$1</definedName>
    <definedName name="폐기물예산" localSheetId="4">[0]!영광원자력5,'[17]6호기'!$A$1</definedName>
    <definedName name="폐기물예산" localSheetId="5">[0]!영광원자력5,'[17]6호기'!$A$1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localSheetId="3">#REF!</definedName>
    <definedName name="표" localSheetId="4">#REF!</definedName>
    <definedName name="표" localSheetId="5">#REF!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 localSheetId="3">#REF!</definedName>
    <definedName name="표종류" localSheetId="4">#REF!</definedName>
    <definedName name="표종류" localSheetId="5">#REF!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 localSheetId="3">#REF!</definedName>
    <definedName name="품명" localSheetId="4">#REF!</definedName>
    <definedName name="품명" localSheetId="5">#REF!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 localSheetId="3">#REF!</definedName>
    <definedName name="품목분류" localSheetId="4">#REF!</definedName>
    <definedName name="품목분류" localSheetId="5">#REF!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 localSheetId="3">#REF!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 localSheetId="3">[0]!영광원자력5,'[17]6호기'!$A$1</definedName>
    <definedName name="ㅎㄹㅇ" localSheetId="4">[0]!영광원자력5,'[17]6호기'!$A$1</definedName>
    <definedName name="ㅎㄹㅇ" localSheetId="5">[0]!영광원자력5,'[17]6호기'!$A$1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localSheetId="5">#REF!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 localSheetId="3">'[59]손익계산서(管理)'!#REF!</definedName>
    <definedName name="하반기" localSheetId="4">'[59]손익계산서(管理)'!#REF!</definedName>
    <definedName name="하반기" localSheetId="5">'[59]손익계산서(管理)'!#REF!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 localSheetId="3">#REF!</definedName>
    <definedName name="한국경제" localSheetId="4">#REF!</definedName>
    <definedName name="한국경제" localSheetId="5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 localSheetId="3">[0]!Common [0]!DataBase.xls</definedName>
    <definedName name="한글1" localSheetId="4">[0]!Common [0]!DataBase.xls</definedName>
    <definedName name="한글1" localSheetId="5">[0]!Common [0]!DataBase.xls</definedName>
    <definedName name="한글1">[0]!Common [0]!DataBase.xls</definedName>
    <definedName name="한글2" hidden="1">{#VALUE!,#N/A,FALSE,0;#N/A,#N/A,FALSE,0;#N/A,#N/A,FALSE,0;#N/A,#N/A,FALSE,0}</definedName>
    <definedName name="한금고환가" localSheetId="3">#REF!</definedName>
    <definedName name="한금고환가" localSheetId="4">#REF!</definedName>
    <definedName name="한금고환가" localSheetId="5">#REF!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localSheetId="3">'5300_계정명세_예수금'!현금정산표</definedName>
    <definedName name="현금정산표" localSheetId="4">'5300_계정명세_일반선수금'!현금정산표</definedName>
    <definedName name="현금정산표" localSheetId="5">'5300-계정명세_미지급비용'!현금정산표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localSheetId="3" hidden="1">[60]수정시산표!#REF!</definedName>
    <definedName name="현금흐름1" localSheetId="4" hidden="1">[60]수정시산표!#REF!</definedName>
    <definedName name="현금흐름1" localSheetId="5" hidden="1">[60]수정시산표!#REF!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localSheetId="3">'5300_계정명세_예수금'!현금흐름표</definedName>
    <definedName name="현금흐름표" localSheetId="4">'5300_계정명세_일반선수금'!현금흐름표</definedName>
    <definedName name="현금흐름표" localSheetId="5">'5300-계정명세_미지급비용'!현금흐름표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localSheetId="3">'5300_계정명세_예수금'!현금흐름표1</definedName>
    <definedName name="현금흐름표1" localSheetId="4">'5300_계정명세_일반선수금'!현금흐름표1</definedName>
    <definedName name="현금흐름표1" localSheetId="5">'5300-계정명세_미지급비용'!현금흐름표1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 localSheetId="3">'5300_계정명세_예수금'!현금흐름표12</definedName>
    <definedName name="현금흐름표12" localSheetId="4">'5300_계정명세_일반선수금'!현금흐름표12</definedName>
    <definedName name="현금흐름표12" localSheetId="5">'5300-계정명세_미지급비용'!현금흐름표12</definedName>
    <definedName name="현금흐름표12">[0]!현금흐름표12</definedName>
    <definedName name="현금흐름표2" localSheetId="3">'5300_계정명세_예수금'!현금흐름표2</definedName>
    <definedName name="현금흐름표2" localSheetId="4">'5300_계정명세_일반선수금'!현금흐름표2</definedName>
    <definedName name="현금흐름표2" localSheetId="5">'5300-계정명세_미지급비용'!현금흐름표2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 localSheetId="3">'5300_계정명세_예수금'!현금흐름표표</definedName>
    <definedName name="현금흐름표표" localSheetId="4">'5300_계정명세_일반선수금'!현금흐름표표</definedName>
    <definedName name="현금흐름표표" localSheetId="5">'5300-계정명세_미지급비용'!현금흐름표표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 localSheetId="5">#REF!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 localSheetId="3">#REF!</definedName>
    <definedName name="회계시작연도">#REF!</definedName>
    <definedName name="회계시작월" localSheetId="3">#REF!</definedName>
    <definedName name="회계시작월">#REF!</definedName>
    <definedName name="회계시작일" localSheetId="3">#REF!</definedName>
    <definedName name="회계시작일">#REF!</definedName>
    <definedName name="회계종료연도" localSheetId="3">#REF!</definedName>
    <definedName name="회계종료연도">#REF!</definedName>
    <definedName name="회계종료월" localSheetId="3">#REF!</definedName>
    <definedName name="회계종료월">#REF!</definedName>
    <definedName name="회계종료일" localSheetId="3">#REF!</definedName>
    <definedName name="회계종료일">#REF!</definedName>
    <definedName name="회계팀" hidden="1">#REF!</definedName>
    <definedName name="회사구분" localSheetId="3">#REF!</definedName>
    <definedName name="회사구분">#REF!</definedName>
    <definedName name="회사명">#REF!</definedName>
    <definedName name="회사이름" localSheetId="3">#REF!</definedName>
    <definedName name="회사이름">#REF!</definedName>
    <definedName name="회사제시안4" hidden="1">{"'호선별현황(방식)'!$K$22:$P$22","'호선별현황(방식)'!$K$22:$P$22"}</definedName>
    <definedName name="회사측대손" localSheetId="3">#REF!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 localSheetId="3">#REF!</definedName>
    <definedName name="후순위" localSheetId="4">#REF!</definedName>
    <definedName name="후순위" localSheetId="5">#REF!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 localSheetId="5">#REF!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 localSheetId="3">#REF!</definedName>
    <definedName name="ㅑ13" localSheetId="4">#REF!</definedName>
    <definedName name="ㅑ13" localSheetId="5">#REF!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localSheetId="5">#REF!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 localSheetId="5">#REF!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localSheetId="3" hidden="1">#REF!</definedName>
    <definedName name="ㅗㅗㅗ" localSheetId="4" hidden="1">#REF!</definedName>
    <definedName name="ㅗㅗㅗ" localSheetId="5" hidden="1">#REF!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localSheetId="3" hidden="1">[6]시산표!#REF!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localSheetId="5">#REF!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localSheetId="3">#REF!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2" l="1"/>
  <c r="B20" i="32"/>
  <c r="E19" i="32"/>
  <c r="B19" i="32"/>
  <c r="G20" i="32"/>
  <c r="D20" i="32"/>
  <c r="E12" i="32"/>
  <c r="B12" i="32"/>
  <c r="E11" i="32"/>
  <c r="B11" i="32"/>
  <c r="G12" i="32"/>
  <c r="D12" i="32"/>
  <c r="G11" i="32"/>
  <c r="D11" i="32"/>
  <c r="H28" i="29"/>
  <c r="H25" i="29"/>
  <c r="H22" i="29"/>
  <c r="H16" i="29"/>
  <c r="H19" i="29" s="1"/>
  <c r="H29" i="29" s="1"/>
  <c r="H32" i="29" s="1"/>
  <c r="H17" i="27"/>
  <c r="H19" i="27" s="1"/>
  <c r="F19" i="26"/>
  <c r="F21" i="26" s="1"/>
  <c r="E204" i="25"/>
  <c r="B203" i="25"/>
  <c r="B202" i="25"/>
  <c r="B201" i="25"/>
  <c r="B200" i="25"/>
  <c r="B199" i="25"/>
  <c r="B198" i="25"/>
  <c r="B197" i="25"/>
  <c r="B196" i="25"/>
  <c r="B195" i="25"/>
  <c r="B194" i="25"/>
  <c r="B193" i="25"/>
  <c r="B192" i="25"/>
  <c r="B191" i="25"/>
  <c r="B190" i="25"/>
  <c r="B189" i="25"/>
  <c r="B188" i="25"/>
  <c r="B187" i="25"/>
  <c r="B186" i="25"/>
  <c r="B185" i="25"/>
  <c r="B184" i="25"/>
  <c r="B183" i="25"/>
  <c r="B182" i="25"/>
  <c r="B181" i="25"/>
  <c r="B180" i="25"/>
  <c r="B179" i="25"/>
  <c r="B178" i="25"/>
  <c r="B177" i="25"/>
  <c r="B176" i="25"/>
  <c r="B175" i="25"/>
  <c r="B174" i="25"/>
  <c r="B173" i="25"/>
  <c r="B172" i="25"/>
  <c r="B171" i="25"/>
  <c r="B170" i="25"/>
  <c r="B169" i="25"/>
  <c r="B168" i="25"/>
  <c r="B167" i="25"/>
  <c r="B166" i="25"/>
  <c r="B165" i="25"/>
  <c r="B164" i="25"/>
  <c r="B163" i="25"/>
  <c r="B162" i="25"/>
  <c r="B161" i="25"/>
  <c r="B160" i="25"/>
  <c r="B159" i="25"/>
  <c r="B158" i="25"/>
  <c r="B157" i="25"/>
  <c r="B156" i="25"/>
  <c r="B155" i="25"/>
  <c r="B154" i="25"/>
  <c r="B153" i="25"/>
  <c r="B152" i="25"/>
  <c r="B151" i="25"/>
  <c r="B150" i="25"/>
  <c r="B149" i="25"/>
  <c r="B148" i="25"/>
  <c r="B147" i="25"/>
  <c r="B146" i="25"/>
  <c r="B145" i="25"/>
  <c r="B144" i="25"/>
  <c r="B143" i="25"/>
  <c r="B142" i="25"/>
  <c r="B141" i="25"/>
  <c r="B140" i="25"/>
  <c r="B139" i="25"/>
  <c r="B138" i="25"/>
  <c r="B137" i="25"/>
  <c r="B136" i="25"/>
  <c r="B135" i="25"/>
  <c r="B134" i="25"/>
  <c r="B133" i="25"/>
  <c r="B132" i="25"/>
  <c r="B131" i="25"/>
  <c r="B130" i="25"/>
  <c r="B129" i="25"/>
  <c r="B128" i="25"/>
  <c r="B127" i="25"/>
  <c r="B126" i="25"/>
  <c r="B125" i="25"/>
  <c r="B124" i="25"/>
  <c r="B123" i="25"/>
  <c r="B122" i="25"/>
  <c r="B121" i="25"/>
  <c r="B120" i="25"/>
  <c r="B119" i="25"/>
  <c r="B118" i="25"/>
  <c r="B117" i="25"/>
  <c r="B116" i="25"/>
  <c r="B115" i="25"/>
  <c r="B114" i="25"/>
  <c r="B113" i="25"/>
  <c r="B112" i="25"/>
  <c r="B111" i="25"/>
  <c r="B110" i="25"/>
  <c r="B109" i="25"/>
  <c r="B108" i="25"/>
  <c r="B107" i="25"/>
  <c r="B106" i="25"/>
  <c r="B105" i="25"/>
  <c r="B104" i="25"/>
  <c r="B103" i="25"/>
  <c r="B102" i="25"/>
  <c r="B101" i="25"/>
  <c r="B100" i="25"/>
  <c r="B99" i="25"/>
  <c r="B98" i="25"/>
  <c r="B97" i="25"/>
  <c r="B96" i="25"/>
  <c r="B95" i="25"/>
  <c r="B94" i="25"/>
  <c r="B93" i="25"/>
  <c r="B92" i="25"/>
  <c r="B91" i="25"/>
  <c r="B90" i="25"/>
  <c r="B89" i="25"/>
  <c r="B88" i="25"/>
  <c r="B87" i="25"/>
  <c r="B86" i="25"/>
  <c r="B85" i="25"/>
  <c r="B84" i="25"/>
  <c r="B83" i="25"/>
  <c r="B82" i="25"/>
  <c r="B81" i="25"/>
  <c r="B80" i="25"/>
  <c r="B79" i="25"/>
  <c r="B78" i="25"/>
  <c r="B77" i="25"/>
  <c r="B76" i="25"/>
  <c r="B75" i="25"/>
  <c r="B74" i="25"/>
  <c r="B73" i="25"/>
  <c r="B72" i="25"/>
  <c r="B71" i="25"/>
  <c r="B70" i="25"/>
  <c r="B69" i="25"/>
  <c r="B68" i="25"/>
  <c r="B67" i="25"/>
  <c r="B66" i="25"/>
  <c r="B65" i="25"/>
  <c r="B64" i="25"/>
  <c r="B63" i="25"/>
  <c r="B62" i="25"/>
  <c r="B61" i="25"/>
  <c r="B60" i="25"/>
  <c r="B59" i="25"/>
  <c r="B58" i="25"/>
  <c r="B57" i="25"/>
  <c r="B56" i="25"/>
  <c r="B55" i="25"/>
  <c r="B54" i="25"/>
  <c r="B53" i="25"/>
  <c r="B52" i="25"/>
  <c r="B51" i="25"/>
  <c r="B50" i="25"/>
  <c r="B49" i="25"/>
  <c r="B48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E8" i="25"/>
  <c r="G485" i="24"/>
  <c r="G19" i="32" l="1"/>
  <c r="D19" i="32"/>
  <c r="I485" i="24"/>
  <c r="E206" i="25"/>
  <c r="G487" i="24"/>
</calcChain>
</file>

<file path=xl/sharedStrings.xml><?xml version="1.0" encoding="utf-8"?>
<sst xmlns="http://schemas.openxmlformats.org/spreadsheetml/2006/main" count="2557" uniqueCount="1622">
  <si>
    <t>비  고</t>
  </si>
  <si>
    <t>주식회사 경남제약</t>
  </si>
  <si>
    <t>작성자</t>
  </si>
  <si>
    <t>이병하</t>
  </si>
  <si>
    <t>작성일</t>
  </si>
  <si>
    <t>검토일</t>
  </si>
  <si>
    <t>조서번호</t>
  </si>
  <si>
    <t>미지급금</t>
  </si>
  <si>
    <t>예수금</t>
  </si>
  <si>
    <t>임대보증금</t>
  </si>
  <si>
    <t>일반선수금</t>
  </si>
  <si>
    <t>미지급비용</t>
  </si>
  <si>
    <t>이광우</t>
  </si>
  <si>
    <t>차변합계</t>
  </si>
  <si>
    <t>대변합계</t>
  </si>
  <si>
    <t>미지급금(거래처)</t>
  </si>
  <si>
    <t>예수금_기타</t>
  </si>
  <si>
    <t>미지급비용(급여)</t>
  </si>
  <si>
    <t>예수부가세(세금계산서)</t>
  </si>
  <si>
    <t>예수금_부가세</t>
  </si>
  <si>
    <t>미지급금(사원)</t>
  </si>
  <si>
    <t>미지급비용(이자)</t>
  </si>
  <si>
    <t>미지급비용(신용카드)</t>
  </si>
  <si>
    <t>예수금_건강보험</t>
  </si>
  <si>
    <t>예수금_국민연금</t>
  </si>
  <si>
    <t>예수금_갑근소득세</t>
  </si>
  <si>
    <t>예수금_고용보험</t>
  </si>
  <si>
    <t>예수금_갑근주민세</t>
  </si>
  <si>
    <t>예수부가세(수입금액제외)</t>
  </si>
  <si>
    <t>LEAD SCHEDULE</t>
  </si>
  <si>
    <t>검토자</t>
  </si>
  <si>
    <t>결산일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</si>
  <si>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</si>
  <si>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</si>
  <si>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</si>
  <si>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</si>
  <si>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</si>
  <si>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</si>
  <si>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</si>
  <si>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</si>
  <si>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</si>
  <si>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</si>
  <si>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합   계</t>
  </si>
  <si>
    <t>▶ 증감분석</t>
  </si>
  <si>
    <t>증감금액</t>
  </si>
  <si>
    <t>증감비율</t>
  </si>
  <si>
    <t>▶ 감사절차 (Audit Procedures)</t>
  </si>
  <si>
    <t>No.</t>
  </si>
  <si>
    <t>감사절차</t>
  </si>
  <si>
    <t>경영진 주장</t>
  </si>
  <si>
    <t>수행여부</t>
  </si>
  <si>
    <t>E, C, CL</t>
  </si>
  <si>
    <t>E, CL</t>
  </si>
  <si>
    <t>C, CL, U, P</t>
  </si>
  <si>
    <t>▶ 감사결론</t>
  </si>
  <si>
    <t xml:space="preserve">  ※ 본 감사조서는 「주식회사 등의 외부감사에 관한 법률」에 따라 작성되었습니다.</t>
  </si>
  <si>
    <t>차변</t>
  </si>
  <si>
    <t>대변</t>
  </si>
  <si>
    <t>E, RO, V</t>
  </si>
  <si>
    <t>V, CL</t>
  </si>
  <si>
    <t>[특수관계자 거래 검토]
특수관계자와의 거래 금액·조건 적정성을 확인한다.</t>
  </si>
  <si>
    <t>[재무제표 공시사항 검토]
공시사항 점검표에 따라 주석 기재 충분성을 확인한다.</t>
  </si>
  <si>
    <t>조서No.  5301</t>
  </si>
  <si>
    <t>기타유동부채</t>
  </si>
  <si>
    <t>선수금</t>
  </si>
  <si>
    <t>부가세예수금</t>
  </si>
  <si>
    <t>회사계정</t>
  </si>
  <si>
    <t>공시계정</t>
  </si>
  <si>
    <t>기초</t>
  </si>
  <si>
    <t>기말</t>
  </si>
  <si>
    <t>[총괄표 작성 및 전기 대비 검토]
당기말 잔액을 총계정원장과, 전기말 잔액은 전기감사보고서와 대조한다. 양연도간 유의적 변동원인을 파악한다.</t>
  </si>
  <si>
    <t>[계정별 명세서 검증]
거래처·거래내용·계산근거·기말잔액이 표시된 명세서를 입수하여 계산검증하고 보조부와 대조한다. 기초·기말 내역을 비교하고 계속성을 확인한다. 유의적·비경상적 항목을 스캔한다.</t>
  </si>
  <si>
    <t>[외화채무 환산 검토]
외화표시 채무의 기말 환율 적용 및 외화환산손익 계상 적정성을 검토한다.</t>
  </si>
  <si>
    <t>[재무제표 표시·분류 적정성 검토]
가수금 등 미결산 항목의 적절한 과목 표시 여부, 성질·금액이 중요한 항목의 구분 기재, 1년 이후 지급 금액의 비유동 재분류 여부를 확인한다.</t>
  </si>
  <si>
    <t>CL, U, P</t>
  </si>
  <si>
    <t>월별증감</t>
  </si>
  <si>
    <t>미지급금_거래처</t>
  </si>
  <si>
    <t>월</t>
  </si>
  <si>
    <t>차변건수</t>
  </si>
  <si>
    <t>대변건수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</si>
  <si>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</si>
  <si>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</si>
  <si>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</si>
  <si>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</si>
  <si>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</si>
  <si>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</si>
  <si>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</si>
  <si>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</si>
  <si>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</si>
  <si>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</si>
  <si>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</si>
  <si>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</si>
  <si>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합  계</t>
  </si>
  <si>
    <t>미지급금_사원</t>
  </si>
  <si>
    <t>미지급비용_급여</t>
  </si>
  <si>
    <t>미지급비용_신용카드</t>
  </si>
  <si>
    <t>미지급비용_이자</t>
  </si>
  <si>
    <t>미지급비용(기타)</t>
  </si>
  <si>
    <t>*3</t>
  </si>
  <si>
    <t>*1</t>
  </si>
  <si>
    <t>미지급금(거래처) 4월 증가 원인은 인콘 골프회원권 양수2,981,000천원으로 인한 영향</t>
  </si>
  <si>
    <t>*2</t>
  </si>
  <si>
    <t>3월 일반선수금의 증가는 6회차 매각대금 665,446,043원으로 인한 영향임</t>
  </si>
  <si>
    <t>4월 일반선수금의 증가는 5,6회차 전환사채 매각대금 7,070,439,848원의 영향임</t>
  </si>
  <si>
    <t>5월 일반선수금의 증가는 미니쉬 임대보증금 432,000,000원으로 인힌 영향임</t>
  </si>
  <si>
    <t>미 지 급 금 명 세 서</t>
  </si>
  <si>
    <t>경남제약㈜</t>
  </si>
  <si>
    <t xml:space="preserve">단위 : 원 </t>
  </si>
  <si>
    <t>계정과목</t>
  </si>
  <si>
    <t>IFRS</t>
  </si>
  <si>
    <t>발생일자</t>
  </si>
  <si>
    <t>거래처코드</t>
  </si>
  <si>
    <t>거래처명</t>
  </si>
  <si>
    <t>적          요</t>
  </si>
  <si>
    <t>금     액</t>
  </si>
  <si>
    <t>비   고</t>
  </si>
  <si>
    <t>미지급금(거래처)매입채무및기타채무</t>
    <phoneticPr fontId="42" type="noConversion"/>
  </si>
  <si>
    <t>R05705</t>
  </si>
  <si>
    <t>더한인관세사무소</t>
  </si>
  <si>
    <t xml:space="preserve"> 더한인관세사무소)수입통관비용 선급금(1건) 및 미지급금(2건) 잔액 상계 후 미지급금 계상액(2019년 12월 31일 기준) </t>
  </si>
  <si>
    <t>더한인관세사무소</t>
    <phoneticPr fontId="42" type="noConversion"/>
  </si>
  <si>
    <t xml:space="preserve"> 한인관세사무소)수입통관비용 미수금(5건) 및 미지급금(3건) 잔액 상계 후 미지급금 계상액(2020년 09월 30일 기준) </t>
  </si>
  <si>
    <t>G01318</t>
  </si>
  <si>
    <t>(주)신세계인터내셔날</t>
    <phoneticPr fontId="42" type="noConversion"/>
  </si>
  <si>
    <t xml:space="preserve"> 신세계인터네셔널) 2020년 11월 판촉행사장려금_202012-일반유통팀-11 </t>
  </si>
  <si>
    <t>G02331</t>
    <phoneticPr fontId="42" type="noConversion"/>
  </si>
  <si>
    <t>십일번가 주식회사</t>
    <phoneticPr fontId="42" type="noConversion"/>
  </si>
  <si>
    <t xml:space="preserve">11번가) 3월 11번가 정산수수료 </t>
    <phoneticPr fontId="42" type="noConversion"/>
  </si>
  <si>
    <t>7.1일자 상계예정</t>
    <phoneticPr fontId="42" type="noConversion"/>
  </si>
  <si>
    <t>G02485</t>
  </si>
  <si>
    <t>토스 쇼핑</t>
  </si>
  <si>
    <t>비바리퍼블리카) 4월 토스 쇼핑 정산수수료</t>
  </si>
  <si>
    <t>R00739</t>
  </si>
  <si>
    <t>넷매니아주식회사</t>
  </si>
  <si>
    <t>넷매니아주식회사) 04월 SendBill 사용요금-아산 / 영업기획팀</t>
  </si>
  <si>
    <t>R01914</t>
  </si>
  <si>
    <t>(주)데이터코리아</t>
  </si>
  <si>
    <t>(주)데이터코리아) 4월 신용조회 비용 / 영업기획팀</t>
  </si>
  <si>
    <t>넷매니아주식회사) 04월 Sendbill 사용요금-본사 / 영업관리</t>
  </si>
  <si>
    <t>R06679</t>
  </si>
  <si>
    <t>우리정보시스템/잉크몬스터 대구중앙지사</t>
  </si>
  <si>
    <t>우리정보시스템)복합기 임대료/의령공장 품질관리/202410-품질관리팀_의령-58</t>
  </si>
  <si>
    <t>Z00924</t>
  </si>
  <si>
    <t>(주)샘타코biokorea</t>
  </si>
  <si>
    <t>샘타코)동물실험용(자하거추출물(7226002), 아산공장 플라젠시아주(26003,26004))마우스 구입/의령공장 품질관리</t>
  </si>
  <si>
    <t>R05479</t>
  </si>
  <si>
    <t>주식회사엠비바이오</t>
  </si>
  <si>
    <t>주식회사 엠비바이오) 미생물시험 배지 구매/202605-제품파트-7</t>
  </si>
  <si>
    <t>Z01006</t>
  </si>
  <si>
    <t>주식회사 웨이투웨이</t>
  </si>
  <si>
    <t>품질보증팀 온습도계 센서 검교정 실시의 건/202604-운영파트_품질-15</t>
  </si>
  <si>
    <t>R06110</t>
  </si>
  <si>
    <t>(주)아주과학</t>
  </si>
  <si>
    <t>아주과학)아미노산 분석 소모품 구매/의령공장 품질관리</t>
  </si>
  <si>
    <t>R05021</t>
  </si>
  <si>
    <t>한국유량계공업(주)</t>
  </si>
  <si>
    <t>한국유량계공업) 터빈 유량계 검교정 비용/의령공장 생산파트</t>
  </si>
  <si>
    <t>R05134</t>
  </si>
  <si>
    <t>탑마킹시스템</t>
  </si>
  <si>
    <t>탑마킹시스템)생산소모품(필로우포장기 인쇄용 리본)구입비/202605-포장파트-11</t>
  </si>
  <si>
    <t>R06548</t>
  </si>
  <si>
    <t>제이에스 BIO</t>
  </si>
  <si>
    <t>제이에스 BIO)동물실험용(자하거추출물(7226002), 대한뉴팜 자하거추출물(7226001)) 고양이 구입/의령공장 품질관리</t>
  </si>
  <si>
    <t>R06875</t>
  </si>
  <si>
    <t>주식회사 아산자재</t>
  </si>
  <si>
    <t>아산자재)생산소모품(선별3호기 중량 바퀴)구입비/202605-제조1파트-7</t>
  </si>
  <si>
    <t>샘타코)동물실험용(대한뉴팜 자하거추출물(7226001), 프라세인엠주(26002))마우스 구입/의령공장 품질관리</t>
  </si>
  <si>
    <t>R05634</t>
  </si>
  <si>
    <t>주식회사 올발란스</t>
  </si>
  <si>
    <t>올발란스)품질 실험용 장갑 구입/의령공장 품질관리</t>
  </si>
  <si>
    <t>R06222</t>
  </si>
  <si>
    <t>경기퀵물류 주식회사</t>
  </si>
  <si>
    <t>05/12 위탁처 원료송부(경기퀵물류)/202604-원자재파트-41</t>
  </si>
  <si>
    <t>R05303</t>
  </si>
  <si>
    <t>(주)웅기과학</t>
  </si>
  <si>
    <t>(주)웅기과학)pH미터 보관액 구입 비용/의령공장 생산파트</t>
  </si>
  <si>
    <t>R07130</t>
  </si>
  <si>
    <t>티아이엠(tim)</t>
  </si>
  <si>
    <t>티아이엠)생산소모품(잉크젯프린터기 희석제 및 세척제)구입비/202605-포장파트-10</t>
  </si>
  <si>
    <t>R03564</t>
  </si>
  <si>
    <t>주식회사 예광인쇄</t>
  </si>
  <si>
    <t>예광인쇄)생산소모품(원료칭량실 칭량카드)구입비/202605-제조1파트-3</t>
  </si>
  <si>
    <t>R04944</t>
  </si>
  <si>
    <t>주식회사아이셀(기존:Z01153)</t>
  </si>
  <si>
    <t>아이셀)바이러스 시약 구입/의령공장 품질관리</t>
  </si>
  <si>
    <t>Z00948</t>
  </si>
  <si>
    <t>삼일이화학상사</t>
  </si>
  <si>
    <t>삼일이화학상사)미생물 및 질소 시험용 소모품 구입/의령공장 품질관리</t>
  </si>
  <si>
    <t>삼일이화학상사)pH버퍼액 구입 비용/의령공장 생산파트</t>
  </si>
  <si>
    <t>H00236</t>
  </si>
  <si>
    <t>국제씨엘에스(주)</t>
  </si>
  <si>
    <t>국제씨엘에스)TOC장비 소모품 구입/의령공장 품질관리</t>
  </si>
  <si>
    <t>아산자재)생산소모품(진공패드 외 4종)구입비/202605-포장파트-19</t>
  </si>
  <si>
    <t>Z01017</t>
  </si>
  <si>
    <t>(주)케이시에스</t>
  </si>
  <si>
    <t>(주)케이시에스) 수위계 및 전도도미터 검교정 비용/의령공장 생산파트</t>
  </si>
  <si>
    <t>R07602</t>
  </si>
  <si>
    <t>조일산업</t>
  </si>
  <si>
    <t>조일산업)소용량 알루미늄캡 구입 비용/의령공장 생산파트</t>
  </si>
  <si>
    <t>샘타코)동물실험용(대한뉴팜 프라세인엠주(26003))마우스 구입/의령공장 품질관리</t>
  </si>
  <si>
    <t>R07209</t>
  </si>
  <si>
    <t>상일포장</t>
  </si>
  <si>
    <t>상일포장)10ml 2nd carton box 및 1L 골판지박스 구입 비용/의령공장 생산파트</t>
  </si>
  <si>
    <t>R01461</t>
  </si>
  <si>
    <t>이레산업</t>
  </si>
  <si>
    <t>이레산업)오프너 구입 비용/의령공장 생산파트</t>
  </si>
  <si>
    <t>R04820</t>
  </si>
  <si>
    <t>오투사이언스</t>
  </si>
  <si>
    <t>오투사이언스)TOC장비 교정/의령공장 품질관리</t>
  </si>
  <si>
    <t>R07461</t>
  </si>
  <si>
    <t>주식회사 반디랩</t>
  </si>
  <si>
    <t>주식회사 반디랩) 미생물시험 배지 구매/202605-제품파트-7</t>
  </si>
  <si>
    <t>R04601</t>
  </si>
  <si>
    <t>(주)MS가스천안공장</t>
  </si>
  <si>
    <t>(주)MS가스천안공장) 고순도 AR 외7통 구매</t>
  </si>
  <si>
    <t>R041001</t>
  </si>
  <si>
    <t>태광교역</t>
  </si>
  <si>
    <t>태광교역)생산소모품(휴지봉투 및 손끝코팅장갑)구입비/202605-포장파트-39</t>
  </si>
  <si>
    <t>R06797</t>
  </si>
  <si>
    <t>주식회사 휴엠앤씨(구: (주)휴베나(R03540))</t>
  </si>
  <si>
    <t>주식회사 휴엠앤씨)30ml 바이알 구입 비용/의령공장 생산파트</t>
  </si>
  <si>
    <t>R05975</t>
  </si>
  <si>
    <t>에스에스 상사</t>
  </si>
  <si>
    <t>에스에스 상사)생산소모품(부직포마스크)구입비/202605-포장파트-45</t>
  </si>
  <si>
    <t>R07288</t>
  </si>
  <si>
    <t>(주)대건소방</t>
  </si>
  <si>
    <t>(주)대건소방) 05월 소방안전관리 대행료/아산공장 공무파트</t>
  </si>
  <si>
    <t>국제씨엘에스(주)) 시약 및 초자기구 구매/202605-원료파트-17, 202604-원료파트-12</t>
  </si>
  <si>
    <t>R05497</t>
  </si>
  <si>
    <t>혜림화학</t>
  </si>
  <si>
    <t xml:space="preserve">[의약사업마케팅팀] 자하생력 OPP 소분봉투 판촉물 제작의 건 / 202604-의약사업마케팅팀-36 </t>
  </si>
  <si>
    <t>R04242</t>
  </si>
  <si>
    <t>한국산업기술시험원</t>
  </si>
  <si>
    <t>한국산업기술시험원)품질관리 검교정 장비(기밀도기기_게이지압력계) 교정/의령공장 품질관리</t>
  </si>
  <si>
    <t xml:space="preserve">아산자재) 생산동 2층 수처리실 천장 응축수 배관 보수 자재 긴급 구매의 건 / 202605-공무파트-37 / 아산공장 공무파트 </t>
  </si>
  <si>
    <t>R01781</t>
  </si>
  <si>
    <t>삼성의료고무(주)</t>
  </si>
  <si>
    <t>삼성의료고무(주)) 소용량 고무마개 구입 비용/의령공장 생산파트</t>
  </si>
  <si>
    <t>R06793</t>
  </si>
  <si>
    <t>주식회사 시마즈 사이언티픽 코리아</t>
  </si>
  <si>
    <t>제제연구팀)_실험실용 안전장치 "이동식 국소배기장치" 구매_202605-제제연구팀-4_202605-제제연구팀-7</t>
  </si>
  <si>
    <t>Z01247</t>
  </si>
  <si>
    <t>대신과학</t>
  </si>
  <si>
    <t>대신과학) 시약 및 초자기구 구매/202605-원료파트-17</t>
  </si>
  <si>
    <t>R06780</t>
  </si>
  <si>
    <t>나노사이언스</t>
  </si>
  <si>
    <t>나노사이언스) 시약 및 초자기구 구매/202605-원료파트-17, 202604-원료파트-12</t>
  </si>
  <si>
    <t>R03677</t>
  </si>
  <si>
    <t>제관회</t>
  </si>
  <si>
    <t>영업기획) 26년 5월 제관회비</t>
  </si>
  <si>
    <t>R05206</t>
  </si>
  <si>
    <t>시카(구.시스템카스)</t>
  </si>
  <si>
    <t>시카(SICA) 100g 분동 검교정 비용/의령공장 생산파트</t>
  </si>
  <si>
    <t>R05375</t>
  </si>
  <si>
    <t>명진씨앤피</t>
  </si>
  <si>
    <t xml:space="preserve">[의약사업마케팅팀] 의약사업본부 소매 거래처 약국 현수막 제작 지원의 건(이가센파워) / 202604-의약사업마케팅팀-51 </t>
  </si>
  <si>
    <t>R05743</t>
  </si>
  <si>
    <t>해동씨앤씨 주식회사</t>
  </si>
  <si>
    <t xml:space="preserve"> 해동씨앤씨)05월 원료(태반) 운반비(138건X2,000원)의령공장 생산관리파트</t>
  </si>
  <si>
    <t>Z00929</t>
  </si>
  <si>
    <t>(주)경주환경</t>
  </si>
  <si>
    <t>경주환경)05월 원료(태반) 운반보전비/의령공장 생산관리파트</t>
  </si>
  <si>
    <t>경주환경)05월 원료(태반) 운반비/의령공장 생산관리파트(188개*@2,000)</t>
  </si>
  <si>
    <t>경주환경)05월 원료(태반) 추가운반비(서류발급대행수수료)(17건X20,000원)의령공장 생산관리파트</t>
  </si>
  <si>
    <t>경주환경)05월 의료폐기물 처리대금/의령공장 생산관리파트</t>
  </si>
  <si>
    <t>Z00932</t>
  </si>
  <si>
    <t>용마로지스(주)</t>
  </si>
  <si>
    <t>용마로지스)05월 용마로지스 택배 배송비/의령공장 생산관리파트</t>
  </si>
  <si>
    <t>R06195</t>
  </si>
  <si>
    <t>민지유통</t>
  </si>
  <si>
    <t>생수 구입(05/29) / 아산공장 생산관리팀</t>
  </si>
  <si>
    <t>R00879</t>
  </si>
  <si>
    <t>(주)동진특송</t>
  </si>
  <si>
    <t>(주)동진특송) 5월 행낭발송대 / 202606-영업기획팀-12</t>
  </si>
  <si>
    <t>[아산공장 품질관리팀]원자흡수분광광도계(IA-031)수리건/202606-원료파트-3</t>
  </si>
  <si>
    <t>(마케팅팀) 피엠 포스터 판촉물 제작의 건 / 202605-의약사업마케팅팀-28</t>
  </si>
  <si>
    <t>R06862</t>
  </si>
  <si>
    <t>유한회사 그린시스템알파</t>
  </si>
  <si>
    <t>그린시스템알파)05월 원료(태반) 운반비/의령공장 생산관리파트(57*@5,000)</t>
  </si>
  <si>
    <t>R07135</t>
  </si>
  <si>
    <t>(주)에너지로직스중부</t>
  </si>
  <si>
    <t>주식회사 에너지로직스중부) 미생물 05월 폐기물처리비</t>
  </si>
  <si>
    <t>R0300031</t>
  </si>
  <si>
    <t>(주) 오피스디포코리아</t>
  </si>
  <si>
    <t>사무/전산용품(5/31) / 아산공장 물류파트</t>
  </si>
  <si>
    <t>오피스디포코리아)사무용품 구입비/아산공장 생산팀</t>
  </si>
  <si>
    <t>오피스디포코리아)전산용품 구입비/아산공장 생산팀</t>
  </si>
  <si>
    <t>R07409</t>
  </si>
  <si>
    <t>주식회사 메디플러스</t>
  </si>
  <si>
    <t>메디플러스)05월 원료(태반) 운반보전비/의령공장 생산관리파트</t>
  </si>
  <si>
    <t>메디플러스)05월 원료(태반) 운반비/의령공장 생산관리파트(50개*@5,000)</t>
  </si>
  <si>
    <t>R06738</t>
  </si>
  <si>
    <t>주식회사 의령주유소</t>
  </si>
  <si>
    <t>의령주유소)생산동 보일러 등유구입/의령공장 생산관리파트</t>
  </si>
  <si>
    <t>(주)오피스디포코리아</t>
  </si>
  <si>
    <t>오피스디포)사무용품 구입/의령공장 생산관리파트</t>
  </si>
  <si>
    <t>전산용품 구입(05/31)아산공장 원자재파트</t>
  </si>
  <si>
    <t>R07286</t>
  </si>
  <si>
    <t>(주)삼신(구.삼신상사)</t>
  </si>
  <si>
    <t>영업기획팀) 5월 화환신청 / 202606-영업기획팀-10</t>
  </si>
  <si>
    <t>사무용품 구입(05/31)아산공장 원자재파트</t>
  </si>
  <si>
    <t>품질보증팀 전산용품 구매의 건</t>
  </si>
  <si>
    <t>품질보증팀 사무용품 구매의 건</t>
  </si>
  <si>
    <t>오피스 디포)2026년 4월 전산소모품 / 전산팀</t>
  </si>
  <si>
    <t>제제연구팀)_2026.05월 사무용품 구매</t>
  </si>
  <si>
    <t>전산용품 구입(05/31)/아산공장 생산관리팀</t>
  </si>
  <si>
    <t>(주)오피스디포코리아)품질관리팀 사무용품 구매</t>
  </si>
  <si>
    <t>(주)오피스디포코리아)품질관리팀 전산용품 구매</t>
  </si>
  <si>
    <t>G02431</t>
  </si>
  <si>
    <t>앤드윈</t>
  </si>
  <si>
    <t>앤드윈) 4월 쿠팡 그로스 운영대행 수수료</t>
  </si>
  <si>
    <t xml:space="preserve">앤드윈) 4월 쿠팡 그로스 수수료 정산분 </t>
  </si>
  <si>
    <t>넷매니아주식회사) 05월 SendBill 사용요금-아산 / 영업기획팀</t>
  </si>
  <si>
    <t>(주)데이터코리아) 5월 신용조회 비용 / 영업기획팀</t>
  </si>
  <si>
    <t>R05590</t>
  </si>
  <si>
    <t>위드싸이언스</t>
  </si>
  <si>
    <t>위드싸이언스)아미노산 시험용 소모품 구입/의령공장 품질관리</t>
  </si>
  <si>
    <t>R07617</t>
  </si>
  <si>
    <t xml:space="preserve"> 더 바이오닉(THE BIONIC)</t>
  </si>
  <si>
    <t>더바이오닉)청정도시험용 소모품 구입/의령공장 품질관리</t>
  </si>
  <si>
    <t>주식회사 엠비바이오) 미생물시험 배지 구매/202605-제품파트-40</t>
  </si>
  <si>
    <t>넷매니아주식회사) 05월 Sendbill 사용요금-본사 / 영업관리</t>
  </si>
  <si>
    <t>R06542</t>
  </si>
  <si>
    <t>주식회사 이레브이씨</t>
  </si>
  <si>
    <t>[아산공장 품질관리팀] 시험기기 컴퓨터시스템 밸리데이션(CSV)진행의 건/202605-제품파트-8, 202606-제품파트-22</t>
  </si>
  <si>
    <t>아산→일산 용달화물차 운임비(6/2) / 아산공장 물류파트</t>
  </si>
  <si>
    <t>R06796</t>
  </si>
  <si>
    <t>동행로지스</t>
  </si>
  <si>
    <t>아산→용인 용달화물차 운임비(6/2) / 아산공장 물류파트</t>
  </si>
  <si>
    <t>아산→인천 용달화물차 운임비(6/4) / 아산공장 물류파트</t>
  </si>
  <si>
    <t>R06873</t>
  </si>
  <si>
    <t>염치용달</t>
  </si>
  <si>
    <t>아산→아산 용달화물차 운임비(6/4) / 아산공장 물류파트</t>
  </si>
  <si>
    <t>R05572</t>
  </si>
  <si>
    <t>진성로지스틱스3101</t>
  </si>
  <si>
    <t>아산→용인 용달화물차 운임비(6/4) / 아산공장 물류파트</t>
  </si>
  <si>
    <t>R03801</t>
  </si>
  <si>
    <t>웅진코웨이㈜</t>
    <phoneticPr fontId="42" type="noConversion"/>
  </si>
  <si>
    <t>웅진코웨이) 26년 5월 본사 비데10대 렌탈비 / 202406-인사팀-63, 202506-인사팀-53</t>
    <phoneticPr fontId="42" type="noConversion"/>
  </si>
  <si>
    <t>5월 렌탈비 반제 잔액분</t>
    <phoneticPr fontId="42" type="noConversion"/>
  </si>
  <si>
    <t>아산자재)배관 보수 자재 및 공무용품 구매의 건/ 202605-공무파트-49 / 아산공장 공무파트</t>
  </si>
  <si>
    <t>R05749</t>
  </si>
  <si>
    <t>주식회사 바이오푸드랩</t>
  </si>
  <si>
    <t>품질보증팀 아산공장 식품 자가품질위탁시험 분석 의뢰의 건/202606-관리파트_품질-10</t>
  </si>
  <si>
    <t>R06156</t>
  </si>
  <si>
    <t>(주)인에이지</t>
  </si>
  <si>
    <t>(주)인에이지)2026년 6월분 그룹웨어 유지보수료 / 202008-IT-12, 202112-IT-9</t>
  </si>
  <si>
    <t>R01776</t>
  </si>
  <si>
    <t>호스트웨이아이디씨(주)</t>
  </si>
  <si>
    <t>호스트웨이아이디씨㈜)2026년 6월 HOSTWAY IDC 사용료 /전산팀</t>
  </si>
  <si>
    <t>R07413</t>
  </si>
  <si>
    <t>싸이언츠테크놀로지</t>
  </si>
  <si>
    <t>[아산공장 품질관리팀]용출시험기(CL-050, CL-051) 수리건/202606-제품파트-29</t>
  </si>
  <si>
    <t>아산→용인 용달화물차 운임비(6/8) / 아산공장 물류파트</t>
  </si>
  <si>
    <t>R06946</t>
  </si>
  <si>
    <t>주식회사글로벌소프트</t>
  </si>
  <si>
    <t>(주)글로벌소프트)MS365, 한글2024 구매 건 / 202606-IT-2</t>
  </si>
  <si>
    <t>아산→용인 용달화물차 운임비(6/9) / 아산공장 물류파트</t>
  </si>
  <si>
    <t>R06823</t>
  </si>
  <si>
    <t>주식회사 아이티센코어(구.굿센)</t>
  </si>
  <si>
    <t>6월 내부회계관리시스템 클라우드 서비스 사용료/202207-IT-4</t>
  </si>
  <si>
    <t>R04458</t>
  </si>
  <si>
    <t>(주)와이젠정보기술</t>
  </si>
  <si>
    <t>㈜와이젠정보기술)2026년 6월 서버 유지보수료 /전산팀 /202007-IT-11</t>
  </si>
  <si>
    <t>R03823</t>
  </si>
  <si>
    <t>(주)지엠피아이티</t>
  </si>
  <si>
    <t>㈜지엠피아이티)2026년 6월분 ERP 유지보수료 /전산팀/202209-IT-9</t>
  </si>
  <si>
    <t>㈜지엠피아이티)2026년 6월분 BTS 유지보수료 /전산팀/202003-IT-4</t>
  </si>
  <si>
    <t>코웨이(주)</t>
  </si>
  <si>
    <t>코웨이) 위약금 및 등록비(비데 1대 계약해지)</t>
  </si>
  <si>
    <t>R05839</t>
  </si>
  <si>
    <t>주식회사 다믈스튜디오</t>
  </si>
  <si>
    <t>디자인파트)5월달 제품 연출컷 촬영 비용처리의 건 / 202606-디자인파트-5</t>
  </si>
  <si>
    <t>R04983</t>
  </si>
  <si>
    <t>(주)한신기계</t>
  </si>
  <si>
    <t>(주)한신기계) 압축공기 에어 드라이 겔 교체 건/의령공장 공무파트/202606-생산파트-8</t>
  </si>
  <si>
    <t>아산→경광주 용달화물차 운임비(6/11) / 아산공장 물류파트</t>
  </si>
  <si>
    <t>아산→용인 용달화물차 운임비(6/11) / 아산공장 물류파트</t>
  </si>
  <si>
    <t>R07613</t>
  </si>
  <si>
    <t>오너플로우</t>
  </si>
  <si>
    <t>온라인사업팀) 카페24 유지보수 비용 / 202606-온라인사업팀-8</t>
  </si>
  <si>
    <t>R07550</t>
  </si>
  <si>
    <t>주식회사 멜로펀치</t>
  </si>
  <si>
    <t>[마케팅팀] 선지급 요청서_멜로펀치(레모나, 미놀, 피엠 CM송 제작)/202602-의약사업마케팅팀-37</t>
  </si>
  <si>
    <t>R05121</t>
  </si>
  <si>
    <t>워터피아</t>
  </si>
  <si>
    <t>워터피아)정수기 렌탈료 /아산공장 총무파트</t>
  </si>
  <si>
    <t>아산→부천,하남 용달화물차 운임비(6/12) / 아산공장 물류파트</t>
  </si>
  <si>
    <t>Z01187</t>
  </si>
  <si>
    <t>순천향대학교부속천안병원</t>
  </si>
  <si>
    <t>순천향대학교부속천안병원) 보건관리 대행료</t>
  </si>
  <si>
    <t>Z01124</t>
  </si>
  <si>
    <t>동양전기안전관리(주)</t>
  </si>
  <si>
    <t>동양전기안전관리(주) 물류센터(선장창고) 전기안전관리대행비/공장관리팀 총무파트</t>
  </si>
  <si>
    <t>(주)글로벌소프트)김보영 선임 MS365, 한글2024 구매 건 / 202606-IT-7</t>
  </si>
  <si>
    <t>R05882</t>
  </si>
  <si>
    <t>고고</t>
  </si>
  <si>
    <t>고고) 양재성 이사 6월 법인차량[179하6535] 운전대행료</t>
  </si>
  <si>
    <t>R05847</t>
  </si>
  <si>
    <t>(주)바이오로제트</t>
  </si>
  <si>
    <t>[마케팅팀] 맛있는 레모나산 10포(카카오) 샘플 제작의 건_202606-마케팅팀-36</t>
  </si>
  <si>
    <t>R07224</t>
  </si>
  <si>
    <t>주식회사 기정</t>
  </si>
  <si>
    <t>주식회사 기정) 압축공기 필터 엘레멘트 교체 및 질소 필터 세트 설치 건/의령공장 공무파트/202606-생산파트-8</t>
  </si>
  <si>
    <t>R06178</t>
  </si>
  <si>
    <t>화신비에스</t>
  </si>
  <si>
    <t>화신비에스) pH 미터 전극봉 구입비용/의령공장 생산파트</t>
  </si>
  <si>
    <t>Z01001</t>
  </si>
  <si>
    <t>대우물류장비(주)</t>
  </si>
  <si>
    <t>대우물류장비㈜) 물류파트 지게차 3대분 원자재 지게차 1대분(총 4대) 점검비 및 수리비 (6/16)</t>
  </si>
  <si>
    <t>Z01251</t>
  </si>
  <si>
    <t>(주)세현테크</t>
  </si>
  <si>
    <t>세현테크)미생물시험용 균주 구매/의령공장 품질관리</t>
  </si>
  <si>
    <t>샘타코)동물실험용(아산공장 플라젠시아주(26005,6))마우스 구입/의령공장 품질관리</t>
  </si>
  <si>
    <t>아산→도척,구리 용달화물차 운임비(6/16) / 아산공장 물류파트</t>
  </si>
  <si>
    <t>R06339</t>
  </si>
  <si>
    <t>와이에스토탈켐</t>
  </si>
  <si>
    <t>와이에스토탈켐) 염산 구입 비용/의령공장 생산파트</t>
  </si>
  <si>
    <t>R07465</t>
  </si>
  <si>
    <t>차세대기전</t>
  </si>
  <si>
    <t>차세대기전)유동층 열교환기 수리 자재 구매의 건, 202606-공무파트-20 / 아산공장 공무파트</t>
  </si>
  <si>
    <t>아산→서산 용달화물차 운임비(6/17) / 아산공장 물류파트</t>
  </si>
  <si>
    <t>2026년도 상반기 작업환경측정 수수료 지급의 건/202606-총무파트-86</t>
  </si>
  <si>
    <t>R05599</t>
  </si>
  <si>
    <t>BJ가스텍</t>
  </si>
  <si>
    <t>BJ가스텍) 의료용 질소 구입 비용/의령공장 생산파트</t>
  </si>
  <si>
    <t>아산→금천 용달화물차 운임비(6/18) / 아산공장 물류파트</t>
  </si>
  <si>
    <t xml:space="preserve">아산자재) 아산공장 해충 방역용 연막소독기 및 살충제 구매의 건 / 202605-공무파트-23 / 아산공장 공무파트 </t>
  </si>
  <si>
    <t>태광교역)생산소모품(손끝코팅장갑)구입비/202606-포장파트-32</t>
  </si>
  <si>
    <t>에스에스 상사)생산소모품(테이프카타 외)구입비/202606-포장파트-28</t>
  </si>
  <si>
    <t>아산자재)생산소모품(PTP충전기 성형판 테프론코팅)구입비/202606-포장파트-13</t>
  </si>
  <si>
    <t>아산자재)생산소모품(스텐작업대)구입비/202606-포장파트-20</t>
  </si>
  <si>
    <t>제제연구팀)_정제수 제조장치 필터 교환_202606-제제연구팀-3</t>
  </si>
  <si>
    <t>R03552427</t>
  </si>
  <si>
    <t>주식회사 세스코</t>
  </si>
  <si>
    <t>세스코) 아산공장 방역 수수료</t>
  </si>
  <si>
    <t>Z01114</t>
  </si>
  <si>
    <t>휴먼산업안전센터</t>
  </si>
  <si>
    <t>휴먼산업안전센터) 안전관리대행료/아산공장 총무파트</t>
  </si>
  <si>
    <t>R035473</t>
  </si>
  <si>
    <t>(주)에스원</t>
  </si>
  <si>
    <t>에스원)07월 용역료 및 인터폰렌탈료(2026.07.01~2026.07.31)/의령공장 생산관리파트</t>
  </si>
  <si>
    <t>R07227</t>
  </si>
  <si>
    <t>(주)진주고려병원산업보건센터</t>
  </si>
  <si>
    <t>진주고려병원산업보건센터) 의령공장 작업환경측정 수수료/202605-생산관리파트-8/의령공장 생산관리파트</t>
  </si>
  <si>
    <t>R06834</t>
  </si>
  <si>
    <t>현대전기</t>
  </si>
  <si>
    <t>현대전기)06월 전기안전관리비/202212-생산관리파트-54/의령공장 생산관리파트</t>
  </si>
  <si>
    <t>Q00011</t>
  </si>
  <si>
    <t>아산시청</t>
  </si>
  <si>
    <t>[88어0257]법인차량 자동차세 납부 / 202606-인사팀-47</t>
  </si>
  <si>
    <t>아산→용인 용달화물차 운임비(6/22) / 아산공장 물류파트</t>
  </si>
  <si>
    <t>R07008</t>
  </si>
  <si>
    <t>(주)코메사</t>
  </si>
  <si>
    <t>디자인파트) 6월달 제품 누끼 촬영 비용 처리의 건 / 202606-디자인파트-8</t>
  </si>
  <si>
    <t>R07073</t>
  </si>
  <si>
    <t>(주) 진바이오사이언스</t>
  </si>
  <si>
    <t>진바이오사이언스)미생물 시험용 소모품 구입/의령공장 품질관리</t>
  </si>
  <si>
    <t>아산→청주 용달화물차 운임비(6/22) / 아산공장 물류파트</t>
  </si>
  <si>
    <t>Z01112</t>
  </si>
  <si>
    <t>기성산업</t>
  </si>
  <si>
    <t>기성산업) 태반비닐 20,000장 구입비용/의령공장 생산관리파트</t>
  </si>
  <si>
    <t>R04855</t>
  </si>
  <si>
    <t>한국렌탈주식회사테크노센터</t>
  </si>
  <si>
    <t>한국렌탈) 렌탈 노트북 및 복합기 2026년 6월사용료 / 202310-IT-10, 202501-IT-10, 202509-IT-10, 202604-IT-8</t>
  </si>
  <si>
    <t>샘타코)동물실험용(대한뉴팜 프라세인엠주(26004))마우스 구입/의령공장 품질관리</t>
  </si>
  <si>
    <t>(주)대건소방) 06월 소방안전관리 대행료/아산공장 공무파트</t>
  </si>
  <si>
    <t>아산→용인 용달화물차 운임비(6/23) / 아산공장 물류파트</t>
  </si>
  <si>
    <t>R05427</t>
  </si>
  <si>
    <t>금성산기(주)</t>
  </si>
  <si>
    <t>금성산기)생산소모품(타정9호기 원료 이송기(휘덴서)패킹)구입비/202606-제조1파트-7</t>
  </si>
  <si>
    <t>글로벌소프트) 26년 Adobe 프로그램 사용기간 연장(1년) / 202606-IT-16</t>
  </si>
  <si>
    <t>R06137</t>
  </si>
  <si>
    <t>토스페이먼츠 주식회사</t>
  </si>
  <si>
    <t>토스페이먼츠) 폐쇄몰 신용카드 대금수금 PG결제수수료 인식</t>
  </si>
  <si>
    <t>토스페이먼츠) 패밀리몰 및 카페24 신용카드 대금수금 PG결제수수료 인식</t>
  </si>
  <si>
    <t xml:space="preserve">토스페이먼츠) 영업부문 신용카드 대금수금 PG결제수수료 인식 </t>
  </si>
  <si>
    <t>R06851</t>
  </si>
  <si>
    <t>제이메드</t>
  </si>
  <si>
    <t>제이메드)바이러스 시약 및 소모품 구입/의령공장 품질관리/202103-품질관리팀_의령-13,202210-품질관리팀_의령-12,32</t>
  </si>
  <si>
    <t>생산팀 신규입사자 배치전 검진 수수료/공장관리팀 총무파트</t>
  </si>
  <si>
    <t>탑마킹시스템)생산소모품(스틱충전기 인새장치 카트리지)구입비/202606-포장파트-51</t>
  </si>
  <si>
    <t>차세대기전)생산소모품(타정1호기 피더 베어링 교체)구입비/202606-제조1파트-13</t>
  </si>
  <si>
    <t>디자인파트) 레모나 데일리 비타민C 3000 연출컷 촬영 / 202606-디자인파트-12</t>
  </si>
  <si>
    <t>(주)MS가스천안공장) 고순도 AR 외9통 구매</t>
  </si>
  <si>
    <t>R07068</t>
  </si>
  <si>
    <t>예원디자인</t>
  </si>
  <si>
    <t>[마케팅팀] 레모나 제품 연출컷 액자 제작의 건_202606-마케팅팀-33</t>
  </si>
  <si>
    <t>[마케팅팀] 군 마트 알림판형 광고 루테인 구미 홍보 포스터 제작의 건_202606-마케팅팀-42</t>
  </si>
  <si>
    <t>R07216</t>
  </si>
  <si>
    <t>주식회사 에스티엔파트너스(STN Partners)</t>
  </si>
  <si>
    <t>경영기획팀 / IR &amp; PR 컨설팅 비용 지급의 건 / 202607-경영기획팀-2</t>
  </si>
  <si>
    <t>R01549</t>
  </si>
  <si>
    <t>주식회사 홍덕</t>
  </si>
  <si>
    <t>홍덕보안시스템)경비,미화 도급비/202601-총무파트-38</t>
  </si>
  <si>
    <t>R06086</t>
  </si>
  <si>
    <t>주식회사 에스알개발</t>
  </si>
  <si>
    <t>인천) 6월 사무실 관리비 과세항목(용역비, 관리비, 비품비 등)</t>
  </si>
  <si>
    <t>인천) 6월 사무실 관리비</t>
  </si>
  <si>
    <t>에스에스 상사)아산공장 청소용품 구입비/202606-포장파트-48</t>
  </si>
  <si>
    <t>R01584</t>
  </si>
  <si>
    <t>신도리코아산점(구:문화사무기</t>
  </si>
  <si>
    <t>신도리코) 복사기 임대료</t>
  </si>
  <si>
    <t>위드싸이언스) 미생물시험용 배지 구매/202605-제품파트-40</t>
  </si>
  <si>
    <t>주식회사 에너지로직스중부) 미생물 06월 폐기물처리비</t>
  </si>
  <si>
    <t>R07608</t>
  </si>
  <si>
    <t>소어 커뮤니케이션</t>
  </si>
  <si>
    <t>소어 커뮤니케이션) 6월 농협 엔드매대 진열 VMD 제작비</t>
  </si>
  <si>
    <t>차세대기전)생산소모품(내용액제 이중캡핑기 도어 아크릴 외)구입비/202606-포장파트-33</t>
  </si>
  <si>
    <t>R07416</t>
  </si>
  <si>
    <t>범한</t>
  </si>
  <si>
    <t>사옥 층별 레이아웃 폐기물 비용 지급 건 / 202606-인사팀-58</t>
  </si>
  <si>
    <t>R05642</t>
  </si>
  <si>
    <t>주식회사 엠스에셋</t>
  </si>
  <si>
    <t>엠스에셋) 2026년 빌딩 경영관리 부대비용 6월분 / 202606-인사팀-60</t>
  </si>
  <si>
    <t>[마케팅팀] OTC 제품리스트 제작의 건 / 202606-마케팅팀-19</t>
  </si>
  <si>
    <t>국제씨엘에스(주)) 시약 및 초자기구 구매/202606-원료파트-17. 202604-원료파트-12</t>
  </si>
  <si>
    <t>R06798</t>
  </si>
  <si>
    <t>그린솔루션</t>
  </si>
  <si>
    <t>2026년 경남제약타워 에어컨 보수 진행 건 / 202606-인사팀-38</t>
  </si>
  <si>
    <t>R01229</t>
  </si>
  <si>
    <t>한국전력공사(통합)</t>
  </si>
  <si>
    <t>한국전력공사) 빌딩 전체 전기료 경남제약 타워 공과금 6월분 / 인사팀 202008-인사팀-64</t>
  </si>
  <si>
    <t>한국전력공사)의령공장 06월 전기요금</t>
  </si>
  <si>
    <t>A10446</t>
  </si>
  <si>
    <t>경남제약주식회사</t>
  </si>
  <si>
    <t>의약사업본부) 06/22~06/26 일비 지급 (61명) / 202606-영업기획팀-56</t>
  </si>
  <si>
    <t>주식회사 기정) 반응기02 교반 인버터 교체 비용/의령공장 공무파트/202606-생산파트-30</t>
  </si>
  <si>
    <t>아산→인천 용달화물차 운임비(6/29) / 아산공장 물류파트</t>
  </si>
  <si>
    <t>R07226</t>
  </si>
  <si>
    <t>(사)대한산업보건협회 경남지역본부</t>
  </si>
  <si>
    <t>대한산업보건협회 경남지역본부) 의령공장 생산팀, 품질관리팀 특수건강검진 수수료/202606-생산관리파트-6/의령공장 생산관리파트</t>
  </si>
  <si>
    <t>생수 구입(06/29) / 아산공장 생산관리팀</t>
  </si>
  <si>
    <t>Z00950</t>
  </si>
  <si>
    <t>주식회사 엘원</t>
  </si>
  <si>
    <t>엘원) 의령공장 동의서 및 검사결과서 구입비용/의령공장 생산관리파트</t>
  </si>
  <si>
    <t>R07509</t>
  </si>
  <si>
    <t>주식회사 새벽환경</t>
  </si>
  <si>
    <t>경남제약타워 및 신당동 저수조 청소 진행 건 / 202607-인사팀-3</t>
  </si>
  <si>
    <t>키노랄액 원료 이송료/202607-구매지원팀-4</t>
  </si>
  <si>
    <t>P00027</t>
  </si>
  <si>
    <t>우리은행 신사동점</t>
  </si>
  <si>
    <t>재무팀) 가상계좌 자금집금 서비스 수수료</t>
  </si>
  <si>
    <t>재무팀) WIN CMS 수수료</t>
  </si>
  <si>
    <t>재무팀) SMS 입출금 통지 서비스 수수료</t>
  </si>
  <si>
    <t>R07106</t>
  </si>
  <si>
    <t>덕산해운항공 주식회사</t>
  </si>
  <si>
    <t>레몬향 275kg+페퍼민트 25kg/덕산해운항공 통관자금/202606-구매지원팀-15</t>
  </si>
  <si>
    <t>레몬주스향 100kg/덕산해운항공 통관자금/202606-구매지원팀-20</t>
  </si>
  <si>
    <t>레몬향(의약) 500kg 물품대 구매요청의 건 (CHF 13,971*1,700.00)/환율: 1,901.77</t>
  </si>
  <si>
    <t>레몬주스향 50kg/덕산해운항공 통관자금/202606-구매지원팀-16</t>
  </si>
  <si>
    <t>K69860</t>
  </si>
  <si>
    <t>목동메디약국</t>
  </si>
  <si>
    <t>채권정리 수금/202606-남부-40</t>
  </si>
  <si>
    <t>K71851</t>
  </si>
  <si>
    <t>문화약국</t>
  </si>
  <si>
    <t>채권정리 수금/ 202606-부산-42</t>
  </si>
  <si>
    <t>K59066</t>
  </si>
  <si>
    <t>종로모범약국</t>
  </si>
  <si>
    <t>채권정리 수금/202606-북부-59</t>
  </si>
  <si>
    <t>K52144</t>
  </si>
  <si>
    <t>애플약국</t>
  </si>
  <si>
    <t>채권정리 수금/202606-전주-18</t>
  </si>
  <si>
    <t>K56820</t>
  </si>
  <si>
    <t>J약국</t>
  </si>
  <si>
    <t>채권정리 수금/202606-남부-132</t>
  </si>
  <si>
    <t>K68686</t>
  </si>
  <si>
    <t>라온약국</t>
  </si>
  <si>
    <t>채권정리 수금/202606-남부-131</t>
  </si>
  <si>
    <t>K63985</t>
  </si>
  <si>
    <t>장약국</t>
  </si>
  <si>
    <t>채권정리 수금/202606-경기-170</t>
  </si>
  <si>
    <t>K56261</t>
  </si>
  <si>
    <t>대건 약국</t>
  </si>
  <si>
    <t>채권정리 수금/202606-광주-90</t>
  </si>
  <si>
    <t>K63185</t>
  </si>
  <si>
    <t>플러스조은약국</t>
  </si>
  <si>
    <t>채권정리 수금/202606-광주-116</t>
  </si>
  <si>
    <t>P00171</t>
  </si>
  <si>
    <t>우리은행신사동지점</t>
  </si>
  <si>
    <t>전자어음(2건) 만기 입금 수수료</t>
  </si>
  <si>
    <t>K68548</t>
  </si>
  <si>
    <t>봉약국</t>
  </si>
  <si>
    <t>채권정리 수금/202606-남부-239</t>
  </si>
  <si>
    <t>K70961</t>
  </si>
  <si>
    <t>두레약국</t>
  </si>
  <si>
    <t>채권정리 수금/ 202606-경기-311</t>
  </si>
  <si>
    <t>전자어음 만기 입금 수수료</t>
  </si>
  <si>
    <t>영업기획) 26년 6월 제관회비</t>
  </si>
  <si>
    <t>R04457</t>
  </si>
  <si>
    <t>(주)제이비</t>
  </si>
  <si>
    <t>중부도시가스(주))아산푸르지오아파트 101동 1204호 도시가스요금 / 아산공장 총무파트</t>
  </si>
  <si>
    <t>중부도시가스(주) 아산반도유보라아파트 103동 1003호 도시가스요금/아산공장 총무파트</t>
  </si>
  <si>
    <t>R05943</t>
  </si>
  <si>
    <t>주식회사 포유푸드</t>
  </si>
  <si>
    <t>포유푸드) 6월 사내식당 위탁운영비 지급 건/작성중</t>
  </si>
  <si>
    <t>R04670</t>
  </si>
  <si>
    <t>(주)브이아이피투어</t>
  </si>
  <si>
    <t>브이아이피투어)통근버스 운행/아산공장 총무파트</t>
  </si>
  <si>
    <t>R05771</t>
  </si>
  <si>
    <t>(주)유성에프에스</t>
  </si>
  <si>
    <t>유성에프에스)기계장치(충전1호기)수선비/202606-포장파트-71</t>
  </si>
  <si>
    <t>아산→용인 용달화물차 운임비(6/30) / 아산공장 물류파트</t>
  </si>
  <si>
    <t>R04654</t>
  </si>
  <si>
    <t>우리화물</t>
  </si>
  <si>
    <t>아산→인천 용달화물차 운임비(6/30) / 아산공장 물류파트</t>
  </si>
  <si>
    <t>R05290</t>
  </si>
  <si>
    <t>(주)신도리코</t>
  </si>
  <si>
    <t>신도리코) 6월 본사 소형복사기 임대료(3대) / 인사팀</t>
  </si>
  <si>
    <t>R07188</t>
  </si>
  <si>
    <t>주식회사 위펀</t>
  </si>
  <si>
    <t>(주)위펀) 2026년 6월 커피머신 렌탈비용 지급 / 202506-인사팀-53</t>
  </si>
  <si>
    <t>(주)동진특송) 6월 행낭발송대 / 202607-영업기획팀-4</t>
  </si>
  <si>
    <t>나노사이언스) 시약 및 초자기구 구매/202606-원료파트-17, 202605-원료파트-17</t>
  </si>
  <si>
    <t>대신과학) 시약 및 초자기구 구매/202606-원료파트-17, 202605-원료파트-17, 202604-원료파트-12</t>
  </si>
  <si>
    <t>경주환경)06월 의료폐기물 처리대금/의령공장 생산관리파트</t>
  </si>
  <si>
    <t>경주환경)06월 원료(태반) 운반비/의령공장 생산관리파트(200개*@2,000)</t>
  </si>
  <si>
    <t>R07408</t>
  </si>
  <si>
    <t>(주)아이알컴즈</t>
  </si>
  <si>
    <t>[상품기획마케팅팀] 26년 6월 온라인 광고·홍보 마케팅 집행 계획의 건_202606-상품기획마케팅팀-3</t>
  </si>
  <si>
    <t>경주환경)06월 원료(태반) 추가운반비(서류발급대행수수료)(15건X20,000원)의령공장 생산관리파트</t>
  </si>
  <si>
    <t>사무용품 구입(06/30)아산공장 원자재파트</t>
  </si>
  <si>
    <t>경주환경)06월 원료(태반) 운반보전비/의령공장 생산관리파트</t>
  </si>
  <si>
    <t>경주환경)06월 원료(태반) 추가운반보전비/의령공장 생산관리파트</t>
  </si>
  <si>
    <t>R05452</t>
  </si>
  <si>
    <t>주식회사페타애드텍</t>
  </si>
  <si>
    <t>페타애드텍) 26.6월 명함제작 / 인사팀</t>
  </si>
  <si>
    <t>그린시스템알파)06월 원료(태반) 운반비/의령공장 생산관리파트(55*@5,000)</t>
  </si>
  <si>
    <t>사무/전산용품(6/30) / 아산공장 물류파트</t>
  </si>
  <si>
    <t>오피스디포코리아)전산용품 구입비/아산공장 제조2파트</t>
  </si>
  <si>
    <t>오피스디포코리아)사무용품 구입비/아산공장 제조2파트</t>
  </si>
  <si>
    <t>오피스디포코리아)사무용품 구입비/아산공장 생산팀 제조1파트</t>
  </si>
  <si>
    <t>메디플러스)06월 원료(태반) 추가운반보전비/의령공장 생산관리파트</t>
  </si>
  <si>
    <t>메디플러스)06월 원료(태반) 운반비/의령공장 생산관리파트(70개*@5,000)</t>
  </si>
  <si>
    <t>메디플러스)06월 원료(태반) 운반보전비/의령공장 생산관리파트</t>
  </si>
  <si>
    <t>오피스디포)전산용품 구입/의령공장 생산관리파트</t>
  </si>
  <si>
    <t>고고) 최봉준 이사 06월 법인차량[192호3373] 운전대행료_VAT</t>
  </si>
  <si>
    <t>삼신) 26.6월분 화환대금 2명</t>
  </si>
  <si>
    <t>R04087</t>
  </si>
  <si>
    <t>(주)한진</t>
  </si>
  <si>
    <t>(주)한진 배송비(6/30) / 아산공장 물류파트</t>
  </si>
  <si>
    <t>R05032</t>
  </si>
  <si>
    <t>한국파렛트풀주식회사(분할사업자등록)</t>
  </si>
  <si>
    <t>한국파렛트풀㈜ 파렛트 임대비(6/30) / 아산공장 물류파트</t>
  </si>
  <si>
    <t>용마로지스 배송비(6/30) / 아산공장 물류파트</t>
  </si>
  <si>
    <t>제제연구팀)_2026.06월 사무용품 구매</t>
  </si>
  <si>
    <t>고고대리운전 ) 대표이사</t>
  </si>
  <si>
    <t>고고대리운전 ) 사장</t>
  </si>
  <si>
    <t>의약사업본부) 06/29~06/30 일비 지급 (60명) / 202607-영업기획팀-7</t>
  </si>
  <si>
    <t>해동씨앤씨)06월 원료(태반) 추가운반보전비/의령공장 생산관리파트</t>
  </si>
  <si>
    <t>오피스디포) 26.6월 사무용품 구매 (인사팀)</t>
  </si>
  <si>
    <t xml:space="preserve"> 해동씨앤씨)06월 원료(태반) 운반비(117건X2,000원)의령공장 생산관리파트</t>
  </si>
  <si>
    <t>(주)위펀) 2026년 6월 임직원 생일선물 지급 / 202607-인사팀-6</t>
  </si>
  <si>
    <t>오피스디포코리아)사무용품구입/아산공장 총무파트</t>
  </si>
  <si>
    <t>오피스디포코리아) 전산용품구입/아산공장 총무파트</t>
  </si>
  <si>
    <t>R07395</t>
  </si>
  <si>
    <t>인트로넷코리아 주식회사</t>
  </si>
  <si>
    <t>인트로넷코리아) 26년 6월 장애인 업무지원 수수료 비용 지급 건 / 202505-인사팀-16</t>
  </si>
  <si>
    <t>R06476</t>
  </si>
  <si>
    <t>기사식당</t>
  </si>
  <si>
    <t>기사식당)조식, 석식 쿠폰 구입/의령공장 생산관리파트/202108-생산관리파트-12</t>
  </si>
  <si>
    <t>R07307</t>
  </si>
  <si>
    <t>주식회사 지오그린필드</t>
  </si>
  <si>
    <t>아산공장 사무동 코일매트 구매 건/202606-총무파트-79</t>
  </si>
  <si>
    <t>R06266</t>
  </si>
  <si>
    <t>(주) 이엠넷</t>
  </si>
  <si>
    <t>[상품기획마케팅팀] 26년 6월 온라인 광고·홍보 마케팅 집행 계획의 건_퍼포먼스_202606-상품기획마케팅팀-3</t>
  </si>
  <si>
    <t>R01315</t>
  </si>
  <si>
    <t>(사)한국의약품수출입협회</t>
  </si>
  <si>
    <t>한국의약품수출입협회 수입관리료 6월</t>
  </si>
  <si>
    <t>R00916</t>
  </si>
  <si>
    <t>(주)레디코리아</t>
  </si>
  <si>
    <t>레디코리아 메디코리아 6월 사용요금</t>
  </si>
  <si>
    <t>영업기획팀) 6월 화환신청 / 202607-영업기획팀-14</t>
  </si>
  <si>
    <t>R07490</t>
  </si>
  <si>
    <t>엔이제이시스템</t>
  </si>
  <si>
    <t>2026년 06월 일용직근로자 도급료 지급의 건/202607-총무파트-18</t>
  </si>
  <si>
    <t>G01324</t>
  </si>
  <si>
    <t>주식회사 서원유통</t>
  </si>
  <si>
    <t>서원유통) 06월 WEBEDI 서비스 이용료</t>
  </si>
  <si>
    <t>G01075</t>
  </si>
  <si>
    <t>(주) 메가마트</t>
  </si>
  <si>
    <t>메가마트) 06월 물류비</t>
  </si>
  <si>
    <t>G01162</t>
  </si>
  <si>
    <t>(주)메가마트 언양지점</t>
  </si>
  <si>
    <t>메가마트) 06월 언양센터 물류비</t>
  </si>
  <si>
    <t>G01342</t>
  </si>
  <si>
    <t>(주)코스트코 코리아</t>
  </si>
  <si>
    <t>코스트코) 06월 물류비</t>
  </si>
  <si>
    <t>R04100</t>
  </si>
  <si>
    <t>(주) 안신</t>
  </si>
  <si>
    <t>비타쮸 20정 동판비/202607-구매지원팀-4</t>
  </si>
  <si>
    <t>H00103</t>
  </si>
  <si>
    <t>아성프라스틱</t>
  </si>
  <si>
    <t>키노랄액 라벨 동판비/202607-구매지원팀-4</t>
  </si>
  <si>
    <t>H00011</t>
  </si>
  <si>
    <t>(주)서흥 (구.(주)서흥캅셀)</t>
  </si>
  <si>
    <t>헤모퀸 신제품 제제용 공캡슐/202607-구매지원팀-4</t>
  </si>
  <si>
    <t>T00270</t>
  </si>
  <si>
    <t>(주)그린피아</t>
  </si>
  <si>
    <t>그린피아)6월 폐기물(폐합성수지)/202607-총무파트-8</t>
  </si>
  <si>
    <t>R05182</t>
  </si>
  <si>
    <t>크린앤이에스디</t>
  </si>
  <si>
    <t>생산 무진복 및 무진모 구입/공장관리팀 총무파트</t>
  </si>
  <si>
    <t>G02087</t>
  </si>
  <si>
    <t>(주)이마트 (에브리데이)</t>
  </si>
  <si>
    <t>에브리데이) 06월 T데이 행사비 정산</t>
  </si>
  <si>
    <t>G00941</t>
  </si>
  <si>
    <t>(주)이마트 시화물류센터(0060)</t>
  </si>
  <si>
    <t>이마트,노브랜드) 06월 시화센터 물류비</t>
  </si>
  <si>
    <t>G00940</t>
  </si>
  <si>
    <t>(주)이마트 여주물류센터(0033)</t>
  </si>
  <si>
    <t>이마트,노브랜드) 06월 여주센터 물류비</t>
  </si>
  <si>
    <t>G00942</t>
  </si>
  <si>
    <t>(주)이마트 대구물류센터(0131)</t>
  </si>
  <si>
    <t>이마트,노브랜드) 05월 대구센터 물류비</t>
  </si>
  <si>
    <t>G00849</t>
  </si>
  <si>
    <t>(주)이마트 용인센터(0068)</t>
  </si>
  <si>
    <t>이마트,노브랜드) 06월 용인(여주2)센터 물류비</t>
  </si>
  <si>
    <t>G00418</t>
  </si>
  <si>
    <t>롯데쇼핑(주)롯데마트사업본부</t>
  </si>
  <si>
    <t>롯데마트) 06월 물류비</t>
  </si>
  <si>
    <t>G01155</t>
  </si>
  <si>
    <t>롯데마트(주) 롯데마트 서울역점(위탁경영점)</t>
  </si>
  <si>
    <t>롯데마트) 06월 서울역점(한화커넥트) 물류비</t>
  </si>
  <si>
    <t>R01250</t>
  </si>
  <si>
    <t>(주)신세계아이앤씨</t>
  </si>
  <si>
    <t>신세계아이앤씨 eCvan) 06월 서비스 이용료 / 일반유통팀</t>
  </si>
  <si>
    <t>G01568</t>
  </si>
  <si>
    <t>농협경제지주 주식회사(소매유통본부)</t>
  </si>
  <si>
    <t>농협) 6월 농협 수탁수수료</t>
  </si>
  <si>
    <t>R06959</t>
  </si>
  <si>
    <t>(주) 더엠커뮤니케이션즈</t>
  </si>
  <si>
    <t>더엠커뮤니케이션즈) 06월 메가마트 판촉행사 인건비</t>
  </si>
  <si>
    <t>G01310</t>
  </si>
  <si>
    <t>롯데쇼핑(주) 롯데슈퍼신갈물류센터</t>
  </si>
  <si>
    <t>롯데슈퍼) 06월 물류비</t>
  </si>
  <si>
    <t>G01271</t>
  </si>
  <si>
    <t>씨제이올리브영 주식회사</t>
  </si>
  <si>
    <t>씨제이올리브영) 06월 물류비</t>
  </si>
  <si>
    <t>씨제이올리브영) 06월 EDI사용료</t>
  </si>
  <si>
    <t>씨제이올리브영) 06월 진열장려금</t>
  </si>
  <si>
    <t>씨제이올리브영) 06월 행사판촉비</t>
  </si>
  <si>
    <t>G00978</t>
  </si>
  <si>
    <t>(주)지에스리테일 인천물류센터(1)</t>
  </si>
  <si>
    <t>지에스리테일) 06월 인천1센터 물류비(3)</t>
  </si>
  <si>
    <t>G00979</t>
  </si>
  <si>
    <t>(주)지에스리테일 인천물류센터(2)</t>
  </si>
  <si>
    <t>지에스리테일) 06월 인천2센터 물류비(3)</t>
  </si>
  <si>
    <t>G00982</t>
  </si>
  <si>
    <t>(주)지에스리테일 양산물류센터(1)</t>
  </si>
  <si>
    <t>지에스리테일) 06월 양산1센터 물류비(3)</t>
  </si>
  <si>
    <t>G00983</t>
  </si>
  <si>
    <t>(주)지에스리테일 양산물류센터(2)</t>
  </si>
  <si>
    <t>지에스리테일) 06월 양산2센터 물류비(3)</t>
  </si>
  <si>
    <t>G00985</t>
  </si>
  <si>
    <t>(주)지에스리테일 발안물류센터</t>
  </si>
  <si>
    <t>지에스리테일) 06월 발안센터 물류비(3)</t>
  </si>
  <si>
    <t>G00991</t>
  </si>
  <si>
    <t>(주)지에스리테일 진주물류센터</t>
  </si>
  <si>
    <t>지에스리테일) 06월 진주센터 물류비(3)</t>
  </si>
  <si>
    <t>G01031</t>
  </si>
  <si>
    <t>(주)지에스리테일 김포공산센터(1)</t>
  </si>
  <si>
    <t>지에스리테일) 06월 김포1센터 물류비(3)</t>
  </si>
  <si>
    <t>G01043</t>
  </si>
  <si>
    <t>(주)지에스리테일 김포공산센터(2)</t>
  </si>
  <si>
    <t>지에스리테일) 06월 김포2센터 물류비(3)</t>
  </si>
  <si>
    <t>G01032</t>
  </si>
  <si>
    <t>(주)지에스리테일 김해센터(1)</t>
  </si>
  <si>
    <t>지에스리테일) 06월 김해1센터 물류비(3)</t>
  </si>
  <si>
    <t>G01066</t>
  </si>
  <si>
    <t xml:space="preserve">(주)지에스리테일 김해물류센터(2) </t>
  </si>
  <si>
    <t>지에스리테일) 06월 김해2센터 물류비(3)</t>
  </si>
  <si>
    <t>G00984</t>
  </si>
  <si>
    <t>(주)지에스리테일 공주물류센터</t>
  </si>
  <si>
    <t>지에스리테일) 06월 공주센터 물류비(3)</t>
  </si>
  <si>
    <t>G01008</t>
  </si>
  <si>
    <t>(주)지에스리테일 송파물류센터(1)</t>
  </si>
  <si>
    <t>지에스리테일) 06월 송파1센터 물류비(3)</t>
  </si>
  <si>
    <t>G01009</t>
  </si>
  <si>
    <t>(주)지에스리테일 송파물류센터(2)</t>
  </si>
  <si>
    <t>지에스리테일) 06월 송파2센터 물류비(3)</t>
  </si>
  <si>
    <t>G00989</t>
  </si>
  <si>
    <t>(주)지에스리테일 장성물류센터</t>
  </si>
  <si>
    <t>지에스리테일) 06월 장성센터 물류비(3)</t>
  </si>
  <si>
    <t>G00988</t>
  </si>
  <si>
    <t>(주)지에스리테일 원주물류센터</t>
  </si>
  <si>
    <t>지에스리테일) 06월 원주센터 물류비(3)</t>
  </si>
  <si>
    <t>G01146</t>
  </si>
  <si>
    <t>(주)지에스리테일 익산물류센터</t>
  </si>
  <si>
    <t>지에스리테일) 06월 익산센터 물류비(3)</t>
  </si>
  <si>
    <t>G01149</t>
  </si>
  <si>
    <t>(주)지에스리테일 고양공산센터(1)</t>
  </si>
  <si>
    <t>지에스리테일) 06월 고양1센터 물류비(3)</t>
  </si>
  <si>
    <t>G01159</t>
  </si>
  <si>
    <t>(주)지에스리테일 고양2물류센터</t>
  </si>
  <si>
    <t>지에스리테일) 06월 고양2센터 물류비(3)</t>
  </si>
  <si>
    <t>G01173</t>
  </si>
  <si>
    <t>(주)지에스리테일 경산물류센터(1)</t>
  </si>
  <si>
    <t>지에스리테일) 06월 경산1센터 물류비(3)</t>
  </si>
  <si>
    <t>G01174</t>
  </si>
  <si>
    <t>(주)지에스리테일 강릉물류센터</t>
  </si>
  <si>
    <t>지에스리테일) 06월 강릉센터 물류비(3)</t>
  </si>
  <si>
    <t>G01362</t>
  </si>
  <si>
    <t>(주)지에스리테일 고촌공산센터</t>
  </si>
  <si>
    <t>지에스리테일) 06월 고촌1센터 물류비(3)</t>
  </si>
  <si>
    <t>G02041</t>
  </si>
  <si>
    <t>(주)지에스리테일 고촌물류센터(2)</t>
  </si>
  <si>
    <t>지에스리테일) 06월 고촌2센터 물류비(3)</t>
  </si>
  <si>
    <t>G01566</t>
  </si>
  <si>
    <t>(주)지에스리테일 남사물류센터</t>
  </si>
  <si>
    <t>지에스리테일) 06월 남사1센터 물류비(3)</t>
  </si>
  <si>
    <t>G01997</t>
  </si>
  <si>
    <t>(주)지에스리테일 남사물류센터(2)</t>
  </si>
  <si>
    <t>지에스리테일) 06월 남사2센터 물류비(3)</t>
  </si>
  <si>
    <t>G02011</t>
  </si>
  <si>
    <t>(주)지에스리테일 칠곡물류센터</t>
  </si>
  <si>
    <t>지에스리테일) 06월 칠곡센터 물류비(3)</t>
  </si>
  <si>
    <t>G02023</t>
  </si>
  <si>
    <t>(주)지에스리테일 신오산물류센터</t>
  </si>
  <si>
    <t>지에스리테일) 06월 신오산1센터 물류비(3)</t>
  </si>
  <si>
    <t>G02031</t>
  </si>
  <si>
    <t>(주)지에스리테일 신오산물류센터(2)</t>
  </si>
  <si>
    <t>지에스리테일) 06월 신오산2센터 물류비(3)</t>
  </si>
  <si>
    <t>G02065</t>
  </si>
  <si>
    <t>(주)지에스리테일 포천상온물류센터</t>
  </si>
  <si>
    <t>지에스리테일) 06월 포천센터 물류비(3)</t>
  </si>
  <si>
    <t>G02069</t>
  </si>
  <si>
    <t>(주)지에스리테일 신남양주센터</t>
  </si>
  <si>
    <t>지에스리테일) 06월 신남양주1센터 물류비(3)</t>
  </si>
  <si>
    <t>G02081</t>
  </si>
  <si>
    <t>(주)지에스리테일 신남양주센터(2)</t>
  </si>
  <si>
    <t>지에스리테일) 06월 신남양주2센터 물류비(3)</t>
  </si>
  <si>
    <t>G01356</t>
  </si>
  <si>
    <t>(주)이마트24 평택물류센터</t>
  </si>
  <si>
    <t>이마트24) 06월 평택센터 물류비</t>
  </si>
  <si>
    <t>G01024</t>
  </si>
  <si>
    <t>(주)이마트24 포천물류센터</t>
  </si>
  <si>
    <t>이마트24) 06월 행사비</t>
  </si>
  <si>
    <t>이마트24) 06월 성장장려금</t>
  </si>
  <si>
    <t>G01275</t>
  </si>
  <si>
    <t>주식회사 위펀풀필먼트</t>
  </si>
  <si>
    <t>위펀풀필먼트(구.우린)) 06월 판매장려금</t>
  </si>
  <si>
    <t>R07301</t>
  </si>
  <si>
    <t>주식회사 이에스시유통(ESC)-국군벤더</t>
  </si>
  <si>
    <t>이에스시유통) 5월 국군복지단 Vendor 수수료 /202607-영업관리팀-33</t>
  </si>
  <si>
    <t>R06012</t>
  </si>
  <si>
    <t>(주)서원유통중부지점</t>
  </si>
  <si>
    <t>서원유통) 6월 물류비</t>
  </si>
  <si>
    <t>G00575</t>
  </si>
  <si>
    <t>주식회사 이랜드리테일</t>
  </si>
  <si>
    <t>이랜드리테일) 06월 물류비</t>
  </si>
  <si>
    <t>G00407</t>
  </si>
  <si>
    <t>(주)이마트</t>
  </si>
  <si>
    <t>이마트) 06월 성과장려금</t>
  </si>
  <si>
    <t>삼신상사)상조용품 배송비/ 202606-총무파트-38</t>
  </si>
  <si>
    <t>삼신상사)6월 경조 화환대금/ 202606-총무파트-38</t>
  </si>
  <si>
    <t>R00542</t>
  </si>
  <si>
    <t>(주)수성안전</t>
  </si>
  <si>
    <t>아산공장 작업화 구매 건/아산공장 총무파트</t>
  </si>
  <si>
    <t>R05855</t>
  </si>
  <si>
    <t>네이버파이낸셜 주식회사</t>
  </si>
  <si>
    <t>네이버스마트스토어) 6월 네이버스마트스토어 정산수수료</t>
  </si>
  <si>
    <t>네이버스마트스토어) 6월 네이버스마트스토어 혜택정산(쿠폰,적립금)</t>
  </si>
  <si>
    <t>네이버스마트스토어) 6월 네이버스마트스토어 환급금</t>
  </si>
  <si>
    <t>G02329</t>
  </si>
  <si>
    <t>카페24 주식회사</t>
  </si>
  <si>
    <t>자사몰-카페24) 6월 카페24 페이먼츠 결제 수수료</t>
  </si>
  <si>
    <t>R05912</t>
  </si>
  <si>
    <t>주식회사 카카오페이</t>
  </si>
  <si>
    <t>자사몰-카페24) 6월 카카오페이 결제 수수료</t>
  </si>
  <si>
    <t>자사몰-카페24) 6월 토스페이 결제 수수료</t>
  </si>
  <si>
    <t>G02327</t>
  </si>
  <si>
    <t>주식회사 지마켓</t>
  </si>
  <si>
    <t>G마켓) 6월 G마켓 정산수수료</t>
  </si>
  <si>
    <t>G마켓) 6월 G마켓 서버 이용료</t>
  </si>
  <si>
    <t>G02484</t>
  </si>
  <si>
    <t>옥션</t>
  </si>
  <si>
    <t>옥션) 6월 정산수수료</t>
  </si>
  <si>
    <t>옥션) 6월 광고비</t>
  </si>
  <si>
    <t>G02331</t>
  </si>
  <si>
    <t>십일번가 주식회사</t>
  </si>
  <si>
    <t>11번가) 6월 11번가 정산수수료</t>
  </si>
  <si>
    <t>R07557</t>
  </si>
  <si>
    <t>쿠팡로지스틱스서비스(유)</t>
  </si>
  <si>
    <t>쿠팡) 6월 쿠팡 밀크런 운송비</t>
  </si>
  <si>
    <t xml:space="preserve">쿠팡) 6월 쿠팡 프리미엄데이터 사용료 </t>
  </si>
  <si>
    <t>쿠팡) 6월 쿠팡 HVA 광고비</t>
  </si>
  <si>
    <t>오피스 디포)2026년 6월 전산소모품 / 전산팀</t>
  </si>
  <si>
    <t>G01549</t>
  </si>
  <si>
    <t>(주)지에스리테일_홈쇼핑</t>
  </si>
  <si>
    <t>지에스리테일_홈쇼핑) 6월 GS몰 정산수수료</t>
  </si>
  <si>
    <t>G02039</t>
  </si>
  <si>
    <t>(주)우리홈쇼핑(롯데홈쇼핑)</t>
  </si>
  <si>
    <t>우리홈쇼핑(롯데홈쇼핑)) 6월 정산수수료</t>
  </si>
  <si>
    <t>우리홈쇼핑(롯데홈쇼핑)) 6월 프로모션 공제비</t>
  </si>
  <si>
    <t>G02341</t>
  </si>
  <si>
    <t>주식회사 에스에스지닷컴(SSG몰)</t>
  </si>
  <si>
    <t>에스에스지닷컴(SSG몰)) 6월 SSG몰 정산수수료</t>
  </si>
  <si>
    <t>에스에스지닷컴(SSG몰)) 6월 SSG몰 상품정보유지비</t>
  </si>
  <si>
    <t>Q00030</t>
  </si>
  <si>
    <t>국민건강보험공단</t>
  </si>
  <si>
    <t>6월 건강보험 본인부담금/202607-인사팀-25</t>
  </si>
  <si>
    <t>6월 국민연금 본인 및 회사부담금/202607-인사팀-25</t>
  </si>
  <si>
    <t>6월 고용보험료/202607-인사팀-25</t>
  </si>
  <si>
    <t>6월 산재보험료(의령)/202607-인사팀-25</t>
  </si>
  <si>
    <t>서울및지점)6월 산재보험료(서울 및 지점)/202607-인사팀-25</t>
  </si>
  <si>
    <t>아산공장) 6월 산재보험료/202607-인사팀-25</t>
  </si>
  <si>
    <t>G01235</t>
  </si>
  <si>
    <t>(주)씨제이이엔엠(CJ몰)</t>
  </si>
  <si>
    <t>(주)씨제이이엔엠) 6월 CJ몰 정산수수료</t>
  </si>
  <si>
    <t>G02423</t>
  </si>
  <si>
    <t>(주) 엘지씨엔에스</t>
  </si>
  <si>
    <t>엘지씨엔에스(LG라이프케어)) 6월 LG 라이프케어 정산수수료</t>
  </si>
  <si>
    <t>비바리퍼블리카) 6월 토스 쇼핑 정산수수료</t>
  </si>
  <si>
    <t>비바리퍼블리카) 5월 토스 쇼핑 CPC광고비</t>
  </si>
  <si>
    <t>G02499</t>
  </si>
  <si>
    <t>M포인트몰(현대카드)</t>
  </si>
  <si>
    <t>현대카드(M포인트몰)) 6월 M포인트몰 정산수수료</t>
  </si>
  <si>
    <t>R07547</t>
  </si>
  <si>
    <t>주식회사 우아한청년들</t>
  </si>
  <si>
    <t>우아한청년들) 6월 우아한형제들(B마트) 간선 물류비</t>
  </si>
  <si>
    <t>G02471</t>
  </si>
  <si>
    <t>카카오톡 선물하기</t>
  </si>
  <si>
    <t>카카오) 6월 카카오톡선물하기 정산수수료</t>
  </si>
  <si>
    <t>G01552</t>
  </si>
  <si>
    <t>주식회사 카카오</t>
  </si>
  <si>
    <t>카카오) 6월 카카오톡스토어 정산수수료</t>
  </si>
  <si>
    <t>R07369</t>
  </si>
  <si>
    <t>엘비유에스 주식회사</t>
  </si>
  <si>
    <t>엘비유세스) 6월 온라인 마케팅 수수료</t>
  </si>
  <si>
    <t>아이알컴즈) 온라인 6월 네이버 쇼핑라이브 쇼호스트 인건비</t>
  </si>
  <si>
    <t>엘비유세스) 온라인 운영대행 6월 도급비</t>
  </si>
  <si>
    <t>Q00029</t>
  </si>
  <si>
    <t>강남구청</t>
  </si>
  <si>
    <t>지급월 6월 주민세 종업원분(서울)</t>
  </si>
  <si>
    <t>지급월 6월 주민세 종업원분(아산)/202607-인사팀-26</t>
  </si>
  <si>
    <t>G02335</t>
  </si>
  <si>
    <t>주식회사 신세계라이브쇼핑</t>
  </si>
  <si>
    <t>(주)신세계라이브쇼핑) 6월 신세계라이브쇼핑 정산수수료</t>
  </si>
  <si>
    <t>G01217</t>
  </si>
  <si>
    <t>(주)코리아세븐</t>
  </si>
  <si>
    <t>코리아세븐) 06월 정보제공비</t>
  </si>
  <si>
    <t>G01210</t>
  </si>
  <si>
    <t>(주)코리아세븐 세종상온센터</t>
  </si>
  <si>
    <t>코리아세븐) 06월 세종 물류비</t>
  </si>
  <si>
    <t>G01206</t>
  </si>
  <si>
    <t>(주)코리아세븐 구성상온센터</t>
  </si>
  <si>
    <t>코리아세븐) 06월 구성 물류비</t>
  </si>
  <si>
    <t>G01215</t>
  </si>
  <si>
    <t>(주)코리아세븐 제주상온센터</t>
  </si>
  <si>
    <t>코리아세븐) 06월 제주 물류비</t>
  </si>
  <si>
    <t>G01212</t>
  </si>
  <si>
    <t>(주)코리아세븐 양주물류센터</t>
  </si>
  <si>
    <t>코리아세븐) 06월 양주 물류비</t>
  </si>
  <si>
    <t>G01207</t>
  </si>
  <si>
    <t>(주)코리아세븐 대구물류센터</t>
  </si>
  <si>
    <t>코리아세븐) 06월 대구 물류비</t>
  </si>
  <si>
    <t>G01209</t>
  </si>
  <si>
    <t>(주)코리아세븐 성남물류센터</t>
  </si>
  <si>
    <t>코리아세븐) 06월 성남 물류비</t>
  </si>
  <si>
    <t>G01211</t>
  </si>
  <si>
    <t>(주)코리아세븐 양산물류센터</t>
  </si>
  <si>
    <t>코리아세븐) 06월 양산 물류비</t>
  </si>
  <si>
    <t>G01213</t>
  </si>
  <si>
    <t>(주)코리아세븐 울산상온센터</t>
  </si>
  <si>
    <t>코리아세븐) 06월 울산 물류비</t>
  </si>
  <si>
    <t>G01214</t>
  </si>
  <si>
    <t>(주)코리아세븐 인천물류센터</t>
  </si>
  <si>
    <t>코리아세븐) 06월 인천 물류비</t>
  </si>
  <si>
    <t>G01438</t>
  </si>
  <si>
    <t>(주)코리아세븐 A의왕상온센터</t>
  </si>
  <si>
    <t>코리아세븐) 06월 의왕 물류비</t>
  </si>
  <si>
    <t>G02015</t>
  </si>
  <si>
    <t>(주)코리아세븐 A광주상온센터</t>
  </si>
  <si>
    <t>코리아세븐) 06월 광주 물류비</t>
  </si>
  <si>
    <t>G02068</t>
  </si>
  <si>
    <t>(주)코리아세븐 인천B상온센터</t>
  </si>
  <si>
    <t>코리아세븐) 06월 인천B 물류비</t>
  </si>
  <si>
    <t>G02028</t>
  </si>
  <si>
    <t>(주)코리아세븐 천안상온센터</t>
  </si>
  <si>
    <t>코리아세븐) 06월 천안 물류비</t>
  </si>
  <si>
    <t>코리아세븐) 06월 세종 진열장려금</t>
  </si>
  <si>
    <t>코리아세븐) 06월 구성 진열장려금</t>
  </si>
  <si>
    <t>코리아세븐) 06월 제주 진열장려금</t>
  </si>
  <si>
    <t>코리아세븐) 06월 양주 진열장려금</t>
  </si>
  <si>
    <t>코리아세븐) 06월 대구 진열장려금</t>
  </si>
  <si>
    <t>코리아세븐) 06월 성남 진열장려금</t>
  </si>
  <si>
    <t>코리아세븐) 06월 양산 진열장려금</t>
  </si>
  <si>
    <t>코리아세븐) 06월 울산 진열장려금</t>
  </si>
  <si>
    <t>코리아세븐) 06월 인천 진열장려금</t>
  </si>
  <si>
    <t>코리아세븐) 06월 의왕 진열장려금</t>
  </si>
  <si>
    <t>코리아세븐) 06월 광주 진열장려금</t>
  </si>
  <si>
    <t>코리아세븐) 06월 인천B 진열장려금</t>
  </si>
  <si>
    <t>코리아세븐) 06월 천안 진열장려금</t>
  </si>
  <si>
    <t>씨제이올리브영) 06월 진열장려금_추가(환원)</t>
  </si>
  <si>
    <t>R04140</t>
  </si>
  <si>
    <t>(주)지에스리테일</t>
  </si>
  <si>
    <t>지에스리테일) 06월 행사대</t>
  </si>
  <si>
    <t>G01179</t>
  </si>
  <si>
    <t>㈜비지에프리테일 강화지점</t>
  </si>
  <si>
    <t>비지에프리테일) 06월 강화지점 물류비</t>
  </si>
  <si>
    <t>G00003</t>
  </si>
  <si>
    <t>(주)비지에프리테일 의정부지점</t>
  </si>
  <si>
    <t>비지에프리테일) 06월 의정부지점 물류비</t>
  </si>
  <si>
    <t>G00010</t>
  </si>
  <si>
    <t>(주)비지에프리테일 호남지점</t>
  </si>
  <si>
    <t>비지에프리테일) 06월 호남지점 물류비</t>
  </si>
  <si>
    <t>G00008</t>
  </si>
  <si>
    <t>(주)비지에프리테일 대구지점</t>
  </si>
  <si>
    <t>비지에프리테일) 06월 대구지점 물류비</t>
  </si>
  <si>
    <t>G00002</t>
  </si>
  <si>
    <t>(주)비지에프리테일 중부지점</t>
  </si>
  <si>
    <t>비지에프리테일) 06월 중부지점 물류비</t>
  </si>
  <si>
    <t>G00004</t>
  </si>
  <si>
    <t>(주)비지에프리테일 원주지점</t>
  </si>
  <si>
    <t>비지에프리테일) 06월 원주지점 물류비</t>
  </si>
  <si>
    <t>G00025</t>
  </si>
  <si>
    <t>(주)비지에프리테일 남양주지점</t>
  </si>
  <si>
    <t>비지에프리테일) 06월 남양주지점 물류비</t>
  </si>
  <si>
    <t>G00228</t>
  </si>
  <si>
    <t>(주)비지에프리테일 안성지점</t>
  </si>
  <si>
    <t>비지에프리테일) 06월 안성지점 물류비</t>
  </si>
  <si>
    <t>G00596</t>
  </si>
  <si>
    <t>(주)비지에프리테일 전남지점</t>
  </si>
  <si>
    <t>비지에프리테일) 06월 전남지점 물류비</t>
  </si>
  <si>
    <t>G00595</t>
  </si>
  <si>
    <t>(주)비지에프리테일 경남지점</t>
  </si>
  <si>
    <t>비지에프리테일) 06월 경남지점 물류비</t>
  </si>
  <si>
    <t>G00690</t>
  </si>
  <si>
    <t>(주)비지에프리테일 강릉지점</t>
  </si>
  <si>
    <t>비지에프리테일) 06월 강릉지점 물류비</t>
  </si>
  <si>
    <t>G00684</t>
  </si>
  <si>
    <t>(주)비지에프리테일 양산지점</t>
  </si>
  <si>
    <t>비지에프리테일) 06월 양산지점 물류비</t>
  </si>
  <si>
    <t>G01025</t>
  </si>
  <si>
    <t>(주)비지에프리테일 인천지점</t>
  </si>
  <si>
    <t>비지에프리테일) 06월 인천지점 물류비</t>
  </si>
  <si>
    <t>G01096</t>
  </si>
  <si>
    <t>(주)비지에프리테일 세종지점</t>
  </si>
  <si>
    <t>비지에프리테일) 06월 세종지점 물류비</t>
  </si>
  <si>
    <t>G01124</t>
  </si>
  <si>
    <t>(주)비지에프리테일 곤지암지점</t>
  </si>
  <si>
    <t>비지에프리테일) 06월 곤지암지점 물류비</t>
  </si>
  <si>
    <t>G00005</t>
  </si>
  <si>
    <t>㈜비지에프리테일 경인지점</t>
  </si>
  <si>
    <t>비지에프리테일) 06월 경인지점 물류비</t>
  </si>
  <si>
    <t>G01382</t>
  </si>
  <si>
    <t>(주)비지에프리테일 광주지점</t>
  </si>
  <si>
    <t>비지에프리테일) 06월 광주지점 물류비</t>
  </si>
  <si>
    <t>G01245</t>
  </si>
  <si>
    <t>㈜비지에프리테일 충청지점</t>
  </si>
  <si>
    <t>비지에프리테일) 06월 충청지점 물류비</t>
  </si>
  <si>
    <t>G02493</t>
  </si>
  <si>
    <t>㈜비지에프리테일 포항지점</t>
  </si>
  <si>
    <t>비지에프리테일) 06월 포항지점 물류비</t>
  </si>
  <si>
    <t>G02494</t>
  </si>
  <si>
    <t>㈜비지에프리테일 남사지점</t>
  </si>
  <si>
    <t>비지에프리테일) 06월 남사지점 물류비</t>
  </si>
  <si>
    <t>G02495</t>
  </si>
  <si>
    <t>㈜비지에프리테일 청라지점</t>
  </si>
  <si>
    <t>비지에프리테일) 06월 청라지점 물류비</t>
  </si>
  <si>
    <t>G01074</t>
  </si>
  <si>
    <t>㈜비지에프리테일 서인천지점</t>
  </si>
  <si>
    <t>비지에프리테일) 06월 서인천지점 물류비</t>
  </si>
  <si>
    <t>G02496</t>
  </si>
  <si>
    <t>㈜비지에프리테일 대전지점</t>
  </si>
  <si>
    <t>비지에프리테일) 06월 대전지점 물류비</t>
  </si>
  <si>
    <t>G01150</t>
  </si>
  <si>
    <t>㈜비지에프리테일 경북지점</t>
  </si>
  <si>
    <t>비지에프리테일) 06월 경북지점 물류비</t>
  </si>
  <si>
    <t>G01070</t>
  </si>
  <si>
    <t>㈜비지에프리테일 기장지점</t>
  </si>
  <si>
    <t>비지에프리테일) 06월 기장지점 물류비</t>
  </si>
  <si>
    <t>G01044</t>
  </si>
  <si>
    <t>(주)비지에프리테일 서귀포물류</t>
  </si>
  <si>
    <t>비지에프리테일) 06월 서귀포지점 물류비</t>
  </si>
  <si>
    <t>G01504</t>
  </si>
  <si>
    <t>(주)비지에프리테일 진천중앙지점</t>
  </si>
  <si>
    <t>비지에프리테일) 06월 진천중앙지점 물류비</t>
  </si>
  <si>
    <t>G00007</t>
  </si>
  <si>
    <t>(주)비지에프리테일 제주지점</t>
  </si>
  <si>
    <t>비지에프리테일) 06월 제주지점 물류비(음료)</t>
  </si>
  <si>
    <t>비지에프리테일) 06월 제주지점 물류비</t>
  </si>
  <si>
    <t>앤드윈) 5월 쿠팡 그로스 운영대행 수수료</t>
  </si>
  <si>
    <t xml:space="preserve">앤드윈) 5월 쿠팡 그로스 수수료 정산분 </t>
  </si>
  <si>
    <t>R06555</t>
  </si>
  <si>
    <t>주식회사 비엔에프올패키지</t>
  </si>
  <si>
    <t>비엔에프로지스틱스) 6월 물류대행 운송비(온라인)</t>
  </si>
  <si>
    <t>R01252</t>
  </si>
  <si>
    <t>(주)비엔에프로지스틱스</t>
  </si>
  <si>
    <t xml:space="preserve">비엔에프로지스틱스) 6월 물류대행 운송비(오프라인) </t>
  </si>
  <si>
    <t>롯데마트) 06월 성장장려금</t>
  </si>
  <si>
    <t>롯데마트) 06월 매대장려금</t>
  </si>
  <si>
    <t>R07546</t>
  </si>
  <si>
    <t xml:space="preserve">아워박스 주식회사 </t>
  </si>
  <si>
    <t>아워박스) 6월 물류대행 운송비(네이버 N배송)</t>
  </si>
  <si>
    <t>R05946</t>
  </si>
  <si>
    <t>롯데쇼핑(주)롯데슈퍼사업본부</t>
  </si>
  <si>
    <t>롯데슈퍼) 06월 성장장려금</t>
  </si>
  <si>
    <t>R05203</t>
  </si>
  <si>
    <t>(주)비지에프리테일</t>
  </si>
  <si>
    <t>비지에프리테일) 6월 신상품장려금(대금공제)</t>
  </si>
  <si>
    <t>R07491</t>
  </si>
  <si>
    <t>대한상사</t>
  </si>
  <si>
    <t>대한상사) 6월 농협 위탁 벤더수수료</t>
  </si>
  <si>
    <t>메가마트) 6월 진열장려금</t>
  </si>
  <si>
    <t>G01287</t>
  </si>
  <si>
    <t>(주)그린씨알피</t>
  </si>
  <si>
    <t>[마케팅팀] 레모나산 180포 RRP 트레이 목업 제작의 건_202607-마케팅팀-23</t>
  </si>
  <si>
    <t>6월 최민호 이사 대리운전 이용료/생산본부</t>
  </si>
  <si>
    <t>Q00026</t>
  </si>
  <si>
    <t>마산세무서</t>
  </si>
  <si>
    <t>2026년 1기 확정 부가가치세 납부금액</t>
    <phoneticPr fontId="42" type="noConversion"/>
  </si>
  <si>
    <t>미지급금(거래처) 소계</t>
    <phoneticPr fontId="42" type="noConversion"/>
  </si>
  <si>
    <t>적          요</t>
    <phoneticPr fontId="50" type="noConversion"/>
  </si>
  <si>
    <t>a20001</t>
  </si>
  <si>
    <t>배건우</t>
  </si>
  <si>
    <t xml:space="preserve"> 前 배건우 대표 퇴직금(20.03.25~21.09.23), 202112-인사팀-44 </t>
  </si>
  <si>
    <t>이름</t>
    <phoneticPr fontId="53" type="noConversion"/>
  </si>
  <si>
    <t>부서</t>
  </si>
  <si>
    <t>사원번호</t>
    <phoneticPr fontId="53" type="noConversion"/>
  </si>
  <si>
    <t>장윤지</t>
  </si>
  <si>
    <t xml:space="preserve"> 225028 의약사업본부) 최봉준이사 5월 이동전화료(통신비)</t>
  </si>
  <si>
    <t>조정영</t>
  </si>
  <si>
    <t>대표이사</t>
  </si>
  <si>
    <t>a22009</t>
  </si>
  <si>
    <t>신보근</t>
  </si>
  <si>
    <t xml:space="preserve"> 225028 아산공장 미팅 유류비(202606-개발팀-80)</t>
  </si>
  <si>
    <t>임도형</t>
  </si>
  <si>
    <t>사장실</t>
    <phoneticPr fontId="53" type="noConversion"/>
  </si>
  <si>
    <t>a22011</t>
  </si>
  <si>
    <t xml:space="preserve"> 225028 아산공장 미팅 톨비(202606-개발팀-80)</t>
  </si>
  <si>
    <t>최윤범</t>
  </si>
  <si>
    <t>온라인사업본부</t>
  </si>
  <si>
    <t>a22022</t>
  </si>
  <si>
    <t>한가영</t>
  </si>
  <si>
    <t xml:space="preserve"> 225028 개인경비 사용 정산 신청의 건(백찬) / 202607-물류파트-4</t>
  </si>
  <si>
    <t>최제영</t>
  </si>
  <si>
    <t>영업관리팀</t>
  </si>
  <si>
    <t>홍경민</t>
  </si>
  <si>
    <t xml:space="preserve"> 225028 제제연구팀 홍경민대리_2026 06월 개인경비 사용 정산_202606-제제연구팀-11</t>
  </si>
  <si>
    <t>최제영a</t>
    <phoneticPr fontId="53" type="noConversion"/>
  </si>
  <si>
    <t>조승평</t>
  </si>
  <si>
    <t xml:space="preserve"> 225028 감사팀)06.29 6월 시내외 교통비 정산건/202607-감사팀-4</t>
  </si>
  <si>
    <t>박현우</t>
  </si>
  <si>
    <t>일반유통팀</t>
  </si>
  <si>
    <t>고요한</t>
  </si>
  <si>
    <t xml:space="preserve"> 225028 CS파트) 2606-01 클레임 교환품 택배발송_202606-CS파트-12 (6/2)_202606-CS파트-42</t>
  </si>
  <si>
    <t>여성재</t>
  </si>
  <si>
    <t xml:space="preserve"> 225028 CS파트) 클레임 교환품 택배 발송용 소모품 구입 (6/2)_202606-CS파트-42</t>
  </si>
  <si>
    <t>강승한</t>
  </si>
  <si>
    <t>특수유통팀</t>
  </si>
  <si>
    <t xml:space="preserve"> 225028 CS파트) 회의비 사용 (6/8)_202606-CS파트-42</t>
  </si>
  <si>
    <t>이주운</t>
  </si>
  <si>
    <t xml:space="preserve"> 225028 CS파트) 클레임 교환품 택배 발송용 소모품 구입 (6/8)_202606-CS파트-42</t>
  </si>
  <si>
    <t>이선영</t>
  </si>
  <si>
    <t>상품기획마케팅팀</t>
  </si>
  <si>
    <t xml:space="preserve"> 225028 CS파트) 회의비 사용 (6/18)_202606-CS파트-42</t>
  </si>
  <si>
    <t>이상근</t>
  </si>
  <si>
    <t xml:space="preserve"> 225028 CS파트) 2606-18,19 클레임 교환품 택배발송_202606-CS파트-29,30 (6/19)_202606-CS파트-42</t>
  </si>
  <si>
    <t>김규희</t>
  </si>
  <si>
    <t xml:space="preserve"> 225028 CS파트) 회의비 사용 (6/23)_202606-CS파트-42</t>
  </si>
  <si>
    <t>임지혜</t>
  </si>
  <si>
    <t xml:space="preserve"> 225028 CS파트) 2606-21,22 클레임 교환품 택배발송_202606-CS파트-32,33 (6/24)_202606-CS파트-42</t>
  </si>
  <si>
    <t>장하경</t>
  </si>
  <si>
    <t xml:space="preserve"> 225028 CS파트) 2606-29 클레임 교환품 택배발송_202606-CS파트-40 (6/29)_202606-CS파트-42</t>
  </si>
  <si>
    <t>이성우</t>
  </si>
  <si>
    <t>의약사업마케팅본부</t>
  </si>
  <si>
    <t>a22020</t>
  </si>
  <si>
    <t>이하늘</t>
  </si>
  <si>
    <t xml:space="preserve"> 225028 (마케팅팀) 개인경비 청구의 건 / 202606-마케팅팀-88</t>
  </si>
  <si>
    <t>의약품개발팀</t>
  </si>
  <si>
    <t>임종범</t>
  </si>
  <si>
    <t xml:space="preserve"> 225028 마케팅개발본부) 이성우 이사 6월 고지분 통신비(5월 이용분)</t>
  </si>
  <si>
    <t>조규민</t>
  </si>
  <si>
    <t>의약사업마케팅팀</t>
  </si>
  <si>
    <t>유재용</t>
  </si>
  <si>
    <t xml:space="preserve"> 225028 유재용 선임) 06월 개인경비/202606-생산파트-26/202606-생산파트-29</t>
  </si>
  <si>
    <t>고재민</t>
  </si>
  <si>
    <t xml:space="preserve"> 225028 06/04 퀵 발송 비용 (산리오 키링 샘플 감수 1차)</t>
  </si>
  <si>
    <t>박우진</t>
  </si>
  <si>
    <t xml:space="preserve"> 225028 06/08 퀵 발송 비용 (산리오 키링 샘플 감수 2차)</t>
  </si>
  <si>
    <t>윤지현</t>
  </si>
  <si>
    <t xml:space="preserve"> 225028 06/15 산리오 키링 샘플 발송/디자인룩 계약서 발송 우편비</t>
  </si>
  <si>
    <t>정다정</t>
  </si>
  <si>
    <t>구매파트</t>
  </si>
  <si>
    <t xml:space="preserve"> 225028 06/24 퀵 발송 비용 (산리오 키링 샘플 감수 3차)</t>
  </si>
  <si>
    <t>정조운</t>
  </si>
  <si>
    <t xml:space="preserve"> 225028 06/29 칼로 컷앤리셋 외근 교통비 (외근지 평택) </t>
  </si>
  <si>
    <t>이정민</t>
  </si>
  <si>
    <t>디자인파트</t>
  </si>
  <si>
    <t>양재성</t>
  </si>
  <si>
    <t xml:space="preserve"> 225028 도매팀_양재성 통행료정산(06/08~06.17)</t>
  </si>
  <si>
    <t>김정예</t>
  </si>
  <si>
    <t xml:space="preserve"> 225028 도매팀)양재성_통신비_이동전화료</t>
  </si>
  <si>
    <t>CS파트</t>
  </si>
  <si>
    <t xml:space="preserve"> 225028 [마케팅팀] 26년 6월 개인경비 사용 정산 신청의 건 / 202606-마케팅팀-100</t>
  </si>
  <si>
    <t>박상준</t>
  </si>
  <si>
    <t>지원본부</t>
  </si>
  <si>
    <t>a22010</t>
  </si>
  <si>
    <t xml:space="preserve"> 225028 [마케팅팀] 26년 6월 개인경비 사용 정산 신청의 건_고재민 / 202606-마케팅팀-99</t>
  </si>
  <si>
    <t>감사팀</t>
  </si>
  <si>
    <t>한승희</t>
  </si>
  <si>
    <t xml:space="preserve"> 225028 2026년 6월 개인경비 사용 정산/202607-감사팀-5</t>
  </si>
  <si>
    <t>배지혜</t>
  </si>
  <si>
    <t xml:space="preserve"> 225028 위탁업체 (주)한국파비스제약 현장 Audit 출장 통행료/202606-운영파트_품질-7</t>
  </si>
  <si>
    <t>이종석</t>
  </si>
  <si>
    <t xml:space="preserve"> 225028 위탁업체 (주)한국파비스제약 현장 Audit 출장 주유비/202606-운영파트_품질-7</t>
  </si>
  <si>
    <t>박성인</t>
  </si>
  <si>
    <t>인사팀</t>
  </si>
  <si>
    <t>김우진</t>
  </si>
  <si>
    <t>전계준</t>
  </si>
  <si>
    <t xml:space="preserve"> 225028 위탁업체 (주)한국파비스제약 현장 Audit 출장 식비/202606-운영파트_품질-7</t>
  </si>
  <si>
    <t>이시현</t>
  </si>
  <si>
    <t>박수진</t>
  </si>
  <si>
    <t xml:space="preserve"> 225028 박수진 선임)6/26 PQM 학술회 출장/음료비/202606-품질관리팀_의령-31,48</t>
  </si>
  <si>
    <t>최진혁</t>
  </si>
  <si>
    <t>재무팀</t>
  </si>
  <si>
    <t>신희조</t>
  </si>
  <si>
    <t>김규리</t>
  </si>
  <si>
    <t xml:space="preserve"> 225028 박수진 선임)6/26 PQM 학술회 출장/교통비/202606-품질관리팀_의령-31,48</t>
  </si>
  <si>
    <t>서정아</t>
  </si>
  <si>
    <t xml:space="preserve"> 225028 박수진 선임)6/26 PQM 학술회 출장/식대비/202606-품질관리팀_의령-31,48</t>
  </si>
  <si>
    <t>박재윤</t>
  </si>
  <si>
    <t>배문환</t>
  </si>
  <si>
    <t>경영기획팀</t>
  </si>
  <si>
    <t xml:space="preserve"> 225028 김한울 선임)6/12 특수건강검진 출장/통행료/202606-품질관리팀_의령-20,47</t>
  </si>
  <si>
    <t>구자현</t>
  </si>
  <si>
    <t xml:space="preserve"> 225028 황희태 선임)6/5 상수시험의뢰 출장/유류비/202606-품질관리팀_의령-8,50</t>
  </si>
  <si>
    <t>최순호</t>
  </si>
  <si>
    <t>전산팀</t>
  </si>
  <si>
    <t xml:space="preserve"> 225028 황희태 선임)6/5 상수시험의뢰 출장/통행료/202606-품질관리팀_의령-8,50</t>
  </si>
  <si>
    <t>천태진</t>
  </si>
  <si>
    <t xml:space="preserve"> 225028 황희태 선임)6/26 PQM 학술회 출장/유류비/202606-품질관리팀_의령-37,50</t>
  </si>
  <si>
    <t>이효훈</t>
  </si>
  <si>
    <t>생산관리팀</t>
  </si>
  <si>
    <t xml:space="preserve"> 225028 황희태 선임)6/26 PQM 학술회 출장/통행료/202606-품질관리팀_의령-37,50</t>
  </si>
  <si>
    <t>제제연구팀</t>
  </si>
  <si>
    <t xml:space="preserve"> 225028 황희태 선임)6/26 PQM 학술회 출장/식대비/202606-품질관리팀_의령-37,50</t>
  </si>
  <si>
    <t>김성주b</t>
  </si>
  <si>
    <t>제품파트</t>
  </si>
  <si>
    <t>이정화</t>
  </si>
  <si>
    <t xml:space="preserve"> 225028 황희태 선임)6/26 PQM 학술회 출장/음료비/202606-품질관리팀_의령-37,50</t>
  </si>
  <si>
    <t>안은지</t>
  </si>
  <si>
    <t>김하나</t>
  </si>
  <si>
    <t xml:space="preserve"> 225028 디자인파트)회의비 / 202606-디자인파트-14</t>
  </si>
  <si>
    <t>윤하원</t>
  </si>
  <si>
    <t xml:space="preserve"> 225028 디자인파트)신제품 연출촬영본, 색상샘플 전달 / 202606-디자인파트-14</t>
  </si>
  <si>
    <t>김민경</t>
  </si>
  <si>
    <t xml:space="preserve"> 225028 디자인파트)신제품 색상샘플 전달 / 202606-디자인파트-14</t>
  </si>
  <si>
    <t>조성도</t>
  </si>
  <si>
    <t xml:space="preserve"> 225028 디자인파트)출장교통비 / 202606-디자인파트-14</t>
  </si>
  <si>
    <t>이가을</t>
  </si>
  <si>
    <t xml:space="preserve"> 225028 충북대학교 공동실험실습관 출장 주유비/ 202606-관리파트_품질-8</t>
  </si>
  <si>
    <t>조형호</t>
  </si>
  <si>
    <t>품질보증팀</t>
  </si>
  <si>
    <t xml:space="preserve"> 225028 충북대학교 공동실험실습관 출장 주유비/ 202606-관리파트_품질-18</t>
  </si>
  <si>
    <t xml:space="preserve"> 225028 충북대학교 공동실험실습관 출장 주차비/ 202606-관리파트_품질-18</t>
  </si>
  <si>
    <t>이민정</t>
  </si>
  <si>
    <t>운영파트</t>
    <phoneticPr fontId="53" type="noConversion"/>
  </si>
  <si>
    <t xml:space="preserve"> 225028 충북대학교 공동실험실습관 출장 식비/ 202606-관리파트_품질-18</t>
  </si>
  <si>
    <t>이수현</t>
  </si>
  <si>
    <t>관리파트(생산)</t>
  </si>
  <si>
    <t xml:space="preserve"> 225028 2026년 PQM 하반기 학술 발표회 참석 주유비/202606-관리파트_품질-33</t>
  </si>
  <si>
    <t>이재원</t>
  </si>
  <si>
    <t>총무파트</t>
  </si>
  <si>
    <t xml:space="preserve"> 225028 2026년도 제2차 제조 수입업체 관리약사 연수교육비/202607-운영파트_품질-2</t>
  </si>
  <si>
    <t>김성용</t>
  </si>
  <si>
    <t>DI팀</t>
  </si>
  <si>
    <t xml:space="preserve"> 225028 2026년도 건강기능식품맞춤형 업무 설명회 참석 식비/202606-관리파트_품질-36</t>
  </si>
  <si>
    <t>김다빈</t>
  </si>
  <si>
    <t xml:space="preserve"> 225028 2026년도 건강기능식품맞춤형 업무 설명회 참석 주유비/202606-관리파트_품질-36</t>
  </si>
  <si>
    <t>허다빈</t>
  </si>
  <si>
    <t>운영파트</t>
  </si>
  <si>
    <t xml:space="preserve"> 225028 6/11-12 아산공장 출장교통비_202606-재무팀-56</t>
  </si>
  <si>
    <t>정소진</t>
  </si>
  <si>
    <t xml:space="preserve"> 225028 6/2 법인차량 주유비(니로 6987)/202606-마케팅팀-102</t>
  </si>
  <si>
    <t>김유진</t>
  </si>
  <si>
    <t xml:space="preserve"> 225028 6/30 거래처 샘플발송(카카오)/202606-마케팅팀-102</t>
  </si>
  <si>
    <t>원지영</t>
  </si>
  <si>
    <t xml:space="preserve"> 225028 이마트, 올리브영 행사 진열점검 매장방문 시 주차비 / 202607-일반유통팀-4</t>
  </si>
  <si>
    <t>정채언</t>
  </si>
  <si>
    <t>원료파트</t>
  </si>
  <si>
    <t xml:space="preserve"> 225028 코스트코 매장 출입을 위한 멤버십 가입비 / 202607-일반유통팀-4</t>
  </si>
  <si>
    <t>황진석</t>
  </si>
  <si>
    <t xml:space="preserve"> 225028 킴스클럽 시장조사를 위한 매장 방문 시 주차비 / 202607-일반유통팀-4</t>
  </si>
  <si>
    <t>박현주</t>
  </si>
  <si>
    <t xml:space="preserve"> 225028 코스트코 바이어 미팅을 위한 본사 방문 시 통행료 / 202607-일반유통팀-4</t>
  </si>
  <si>
    <t>황혜리</t>
  </si>
  <si>
    <t xml:space="preserve"> 225028 코스트코 바이어 미팅을 위한 샘플 구입 / 202607-일반유통팀-4</t>
  </si>
  <si>
    <t>조석환</t>
  </si>
  <si>
    <t xml:space="preserve"> 225028 코스트코 바이어 미팅을 위한 본사 방문 시 통행료_1 / 202607-일반유통팀-4</t>
  </si>
  <si>
    <t>박병웅</t>
  </si>
  <si>
    <t xml:space="preserve"> 225028 코스트코 바이어 미팅을 위한 본사 방문 시 통행료_2 / 202607-일반유통팀-4</t>
  </si>
  <si>
    <t>이성준</t>
  </si>
  <si>
    <t>원자재파트</t>
  </si>
  <si>
    <t xml:space="preserve"> 225028 올리브영 신제품 전달을 위한 본사 방문 시 주차비 / 202607-일반유통팀-4</t>
  </si>
  <si>
    <t>김재열</t>
  </si>
  <si>
    <t>경기지점</t>
    <phoneticPr fontId="53" type="noConversion"/>
  </si>
  <si>
    <t xml:space="preserve"> 225028 편의점 음료 카테고리 시장조사 시 주차비 / 202607-일반유통팀-4</t>
  </si>
  <si>
    <t>고수</t>
  </si>
  <si>
    <t>물류파트</t>
  </si>
  <si>
    <t xml:space="preserve"> 225028 올리브영 MD 미팅을 위한 본사 방문 시 주차비 / 202607-일반유통팀-4</t>
  </si>
  <si>
    <t>강신용</t>
  </si>
  <si>
    <t>공무파트</t>
  </si>
  <si>
    <t>주민영</t>
  </si>
  <si>
    <t xml:space="preserve"> 225028 영업관리팀, 온라인사업팀) 최제영 06월 거래처 접대비 / 202607-영업관리팀-1</t>
  </si>
  <si>
    <t>안경륜</t>
  </si>
  <si>
    <t xml:space="preserve"> 225028 영업관리팀, 온라인사업팀) 최제영 06월 영업관리팀 회의비 / 202607-영업관리팀-1</t>
  </si>
  <si>
    <t>최민호</t>
  </si>
  <si>
    <t>생산본부</t>
    <phoneticPr fontId="53" type="noConversion"/>
  </si>
  <si>
    <t>a22008</t>
  </si>
  <si>
    <t xml:space="preserve"> 225028 6월 개인경비 사용정산 / 202607-감사팀-2</t>
  </si>
  <si>
    <t>조성철</t>
  </si>
  <si>
    <t>생산팀(의령)</t>
  </si>
  <si>
    <t>진솔빈</t>
  </si>
  <si>
    <t xml:space="preserve"> 225028 6/30 거래처:뉴이츠 계약서 송부_우체국 / 202607-마케팅팀-19</t>
  </si>
  <si>
    <t>이승훈</t>
  </si>
  <si>
    <t>생산관리파트(의령)</t>
  </si>
  <si>
    <t xml:space="preserve"> 225028 신당동 외근 교통비 /202607-인사팀-4</t>
  </si>
  <si>
    <t>생산파트(의령)</t>
  </si>
  <si>
    <t>이동윤</t>
  </si>
  <si>
    <t>황희태</t>
  </si>
  <si>
    <t>품질관리팀(의령)</t>
  </si>
  <si>
    <t>여상훈</t>
  </si>
  <si>
    <t>최정희</t>
  </si>
  <si>
    <t xml:space="preserve"> 225028 개인경비 사용 정산 신청의 건(이효훈) / 생산관리팀</t>
  </si>
  <si>
    <t>김정아</t>
  </si>
  <si>
    <t>관리파트(의령)</t>
  </si>
  <si>
    <t>박지훈</t>
  </si>
  <si>
    <t xml:space="preserve"> 225028 하이패스 이용료</t>
  </si>
  <si>
    <t>하재근</t>
  </si>
  <si>
    <t>생산관리파트(품질)</t>
  </si>
  <si>
    <t>강상우</t>
  </si>
  <si>
    <t xml:space="preserve"> 225028 의약도매팀) 강상우 06/02~06/30 개인경비 사용 내역</t>
  </si>
  <si>
    <t>박상현</t>
  </si>
  <si>
    <t>제품파트</t>
    <phoneticPr fontId="53" type="noConversion"/>
  </si>
  <si>
    <t>권주섭</t>
  </si>
  <si>
    <t xml:space="preserve"> 225028 도매팀) 권주섭/통행료 정산(06/01~06/29 202606-의약도매팀-79)</t>
  </si>
  <si>
    <t>강지수</t>
  </si>
  <si>
    <t xml:space="preserve">박상현 </t>
  </si>
  <si>
    <t xml:space="preserve"> 225028 개인경비) 박병웅사원/202606-원료파트-9</t>
  </si>
  <si>
    <t>남지혜</t>
  </si>
  <si>
    <t xml:space="preserve"> 225028 개인경비) 박병웅사원/202606-원료파트-20</t>
  </si>
  <si>
    <t>김한울</t>
  </si>
  <si>
    <t xml:space="preserve"> 225028 개인경비) 박병웅사원/202606-원료파트-24</t>
  </si>
  <si>
    <t>조수민</t>
  </si>
  <si>
    <t xml:space="preserve"> 225028 개인경비) 박서현사원/202606-제품파트-20</t>
  </si>
  <si>
    <t>최봉준</t>
  </si>
  <si>
    <t>의약사업본부</t>
  </si>
  <si>
    <t>a22004</t>
  </si>
  <si>
    <t xml:space="preserve"> 225028 개인경비) 박서현사원/202606-원료파트-12</t>
  </si>
  <si>
    <t>의약도매팀</t>
  </si>
  <si>
    <t>a22021</t>
  </si>
  <si>
    <t xml:space="preserve"> 225028 개인경비) 박서현사원/202606-원료파트-21</t>
  </si>
  <si>
    <t xml:space="preserve"> 225028 개인경비) 김하나사원/202606-제품파트-25</t>
  </si>
  <si>
    <t>영업기획팀</t>
  </si>
  <si>
    <t xml:space="preserve"> 225028 개인경비) 김하나사원/202606-원료파트-14</t>
  </si>
  <si>
    <t>김재윤</t>
  </si>
  <si>
    <t>강원지점</t>
  </si>
  <si>
    <t>김보영</t>
  </si>
  <si>
    <t xml:space="preserve"> 225028 CS파트) 회의비 사용 (6/30)_202607-CS파트-2</t>
  </si>
  <si>
    <t>고성일</t>
  </si>
  <si>
    <t xml:space="preserve"> 225028 CS파트) 사장님 지시 택배 발송 (6/29)_202607-CS파트-2</t>
  </si>
  <si>
    <t>이재필</t>
  </si>
  <si>
    <t xml:space="preserve"> 225028 디자인파트) 회의비/202606-디자인파트-15</t>
  </si>
  <si>
    <t>임정석</t>
  </si>
  <si>
    <t>대전지점</t>
    <phoneticPr fontId="53" type="noConversion"/>
  </si>
  <si>
    <t xml:space="preserve"> 225028 디자인파트) 촬영용 샘플 거래처 전달/202606-디자인파트-15</t>
  </si>
  <si>
    <t>송원기</t>
  </si>
  <si>
    <t>경기지점</t>
  </si>
  <si>
    <t xml:space="preserve"> 225028 디자인파트) 인쇄 샘플지 거래처 전달/202606-디자인파트-15</t>
  </si>
  <si>
    <t xml:space="preserve"> 225028 디자인파트) 신제품 샘플 견본구입비(레모나튼튼, 멀티)/202606-디자인파트-15</t>
  </si>
  <si>
    <t>이진우</t>
  </si>
  <si>
    <t xml:space="preserve"> 225028 구매파트)출장교통비/202607-구매파트-4</t>
  </si>
  <si>
    <t>유정희</t>
  </si>
  <si>
    <t>인천지점</t>
    <phoneticPr fontId="53" type="noConversion"/>
  </si>
  <si>
    <t xml:space="preserve"> 225028 개인경비 사용정산분(26년 6월)_202607-IT-1</t>
  </si>
  <si>
    <t>송진화</t>
  </si>
  <si>
    <t xml:space="preserve"> 225028 일반유통팀 박지훈) 06월 법인차량(230하8746) 유류비 개인사용분 정산/ 202607-영업관리팀-17</t>
  </si>
  <si>
    <t>안형진</t>
  </si>
  <si>
    <t xml:space="preserve"> 225028 일반유통팀 박현우) 06월 법인차량(179하6988) 유류비 개인사용분 정산/ 202607-영업관리팀-17</t>
  </si>
  <si>
    <t>배준성</t>
  </si>
  <si>
    <t xml:space="preserve"> 225028 특수유통팀 강승한) 06월 법인차량(203허2109) 유류비 개인사용분 정산/ 202607-영업관리팀-17</t>
  </si>
  <si>
    <t>김지훈</t>
  </si>
  <si>
    <t xml:space="preserve"> 225028 특수유통팀 이주운) 06월 법인차량(179하6985) 유류비 개인사용분 정산/ 202607-영업관리팀-17</t>
  </si>
  <si>
    <t>김회중</t>
  </si>
  <si>
    <t xml:space="preserve">박상현 </t>
    <phoneticPr fontId="50" type="noConversion"/>
  </si>
  <si>
    <t xml:space="preserve"> 225028 개인경비) 이가을사원/202606-제품파트-20</t>
  </si>
  <si>
    <t>백길민</t>
  </si>
  <si>
    <t>경남지점</t>
  </si>
  <si>
    <t xml:space="preserve"> 225028 개인경비) 박병웅사원/202606-원료파트-21</t>
  </si>
  <si>
    <t>조현배</t>
  </si>
  <si>
    <t xml:space="preserve"> 225028 개인경비) 정채언사원/202607-제품파트-4</t>
  </si>
  <si>
    <t>이광호</t>
  </si>
  <si>
    <t xml:space="preserve"> 225028 개인경비) 정채언사원/202606-원료파트-5</t>
  </si>
  <si>
    <t>조재홍</t>
  </si>
  <si>
    <t xml:space="preserve"> 225028 개인경비) 정채언사원/202606-제품파트-25</t>
  </si>
  <si>
    <t>김두흥</t>
  </si>
  <si>
    <t>광주지점</t>
  </si>
  <si>
    <t xml:space="preserve"> 225028 개인경비) 정채언사원/202606-원료파트-14</t>
  </si>
  <si>
    <t>서오상</t>
  </si>
  <si>
    <t xml:space="preserve"> 225028 개인경비) 정채언사원/202606-제품파트-35</t>
  </si>
  <si>
    <t>정경환</t>
  </si>
  <si>
    <t xml:space="preserve"> 225028 개인경비) 정채언사원/202606-원료파트-18</t>
  </si>
  <si>
    <t>천성기</t>
  </si>
  <si>
    <t>김석범</t>
  </si>
  <si>
    <t>이춘성</t>
    <phoneticPr fontId="53" type="noConversion"/>
  </si>
  <si>
    <t>북부지점</t>
    <phoneticPr fontId="53" type="noConversion"/>
  </si>
  <si>
    <t xml:space="preserve"> 225028 공무파트 6월 부서 회식비/202607-공무파트-5</t>
  </si>
  <si>
    <t>한형수</t>
  </si>
  <si>
    <t>박나리</t>
  </si>
  <si>
    <t xml:space="preserve"> 225028 6월 생일자 상품권 구입/ 202607-총무파트-7</t>
  </si>
  <si>
    <t>김하성</t>
  </si>
  <si>
    <t>남부지점</t>
  </si>
  <si>
    <t xml:space="preserve"> 225028 H&amp;B사업본부) 특수유통팀 강승한 6월 개인경비 / 2202607-특수유통팀-8</t>
  </si>
  <si>
    <t>양준혁</t>
    <phoneticPr fontId="53" type="noConversion"/>
  </si>
  <si>
    <t xml:space="preserve"> 225028 HnB사업본부) 특수유통팀 이주운 6월 개인경비 / 개인경비 202607-특수유통팀-9 / 출장신청서 202606-특수유통팀-24</t>
  </si>
  <si>
    <t>김광성</t>
  </si>
  <si>
    <t xml:space="preserve"> 225028 HnB사업본부) 특수유통팀 이주운 6월 개인경비 / 202607-특수유통팀-9</t>
  </si>
  <si>
    <t>김선구</t>
    <phoneticPr fontId="53" type="noConversion"/>
  </si>
  <si>
    <t>한동엽</t>
  </si>
  <si>
    <t>대구지점</t>
  </si>
  <si>
    <t>라효길</t>
  </si>
  <si>
    <t>정미진</t>
  </si>
  <si>
    <t>손재희</t>
  </si>
  <si>
    <t>심호선</t>
  </si>
  <si>
    <t>대전지점</t>
  </si>
  <si>
    <t>전성주</t>
  </si>
  <si>
    <t>백태현</t>
  </si>
  <si>
    <t>신희준</t>
  </si>
  <si>
    <t xml:space="preserve"> 225028 핸드폰요금</t>
  </si>
  <si>
    <t>윤종인</t>
  </si>
  <si>
    <t xml:space="preserve"> 225028 지원본부장) 26년 6월 이동통신비(06/01~06/30)</t>
  </si>
  <si>
    <t>김병국</t>
  </si>
  <si>
    <t xml:space="preserve"> 225028 사장) 26년 6월 이동통신비</t>
  </si>
  <si>
    <t>류광환</t>
  </si>
  <si>
    <t>엄지은</t>
  </si>
  <si>
    <t xml:space="preserve"> 225028 의약사업본부) 2026년 6월 개인경비 정산/202607-영업기획팀-15</t>
  </si>
  <si>
    <t>이경석</t>
  </si>
  <si>
    <t>부산지점</t>
  </si>
  <si>
    <t>김주성</t>
  </si>
  <si>
    <t xml:space="preserve"> 225028 2026.06.01 ~ 2026.06.30추가교통비(송지헌)/대구지점/202607-영업기획팀-39</t>
  </si>
  <si>
    <t>송영두</t>
  </si>
  <si>
    <t xml:space="preserve"> 225028 2026.06.01 ~ 2026.06.30추가교통비(한동엽)/대구지점/202607-영업기획팀-39</t>
  </si>
  <si>
    <t>강민재</t>
  </si>
  <si>
    <t xml:space="preserve"> 225028 2026.06.01 ~ 2026.06.30추가교통비(손재희)/대구지점/202607-영업기획팀-39</t>
  </si>
  <si>
    <t>심종섭</t>
  </si>
  <si>
    <t xml:space="preserve"> 225028 2026.06.01 ~ 2026.06.30추가교통비(박광호)/대구지점/202607-영업기획팀-39</t>
  </si>
  <si>
    <t>윤재봉</t>
  </si>
  <si>
    <t xml:space="preserve"> 225028 2026.06.01 ~ 2026.06.30추가교통비(강상우)/의약도매팀/202607-영업기획팀-39</t>
  </si>
  <si>
    <t>신상엽</t>
  </si>
  <si>
    <t xml:space="preserve"> 225028 2026.06.01 ~ 2026.06.30추가교통비(권주섭)/의약도매팀/202607-영업기획팀-39</t>
  </si>
  <si>
    <t>권구민</t>
  </si>
  <si>
    <t>북부지점</t>
  </si>
  <si>
    <t xml:space="preserve"> 225028 2026.06.01 ~ 2026.06.30추가교통비(이왕훈)/남부지점/202607-영업기획팀-39</t>
  </si>
  <si>
    <t>전경원</t>
  </si>
  <si>
    <t xml:space="preserve"> 225028 2026.06.01 ~ 2026.06.30추가교통비(이용일)/남부지점/202607-영업기획팀-39</t>
  </si>
  <si>
    <t>박정호</t>
  </si>
  <si>
    <t xml:space="preserve"> 225028 2026.06.01 ~ 2026.06.30추가교통비(김광성)/남부지점/202607-영업기획팀-39</t>
  </si>
  <si>
    <t>석전도</t>
  </si>
  <si>
    <t xml:space="preserve"> 225028 2026.06.01 ~ 2026.06.30추가교통비(석전도)/남부지점/202607-영업기획팀-39</t>
  </si>
  <si>
    <t xml:space="preserve"> 225028 2026.06.01 ~ 2026.06.30추가교통비(김선구)/남부지점/202607-영업기획팀-39</t>
  </si>
  <si>
    <t>박나리</t>
    <phoneticPr fontId="53" type="noConversion"/>
  </si>
  <si>
    <t>총무파트</t>
    <phoneticPr fontId="53" type="noConversion"/>
  </si>
  <si>
    <t xml:space="preserve"> 225028 2026.06.01 ~ 2026.06.30추가교통비(양준혁)/남부지점/202607-영업기획팀-39</t>
  </si>
  <si>
    <t>이예빈</t>
    <phoneticPr fontId="53" type="noConversion"/>
  </si>
  <si>
    <t>제제연구팀</t>
    <phoneticPr fontId="53" type="noConversion"/>
  </si>
  <si>
    <t xml:space="preserve"> 225028 2026.06.01 ~ 2026.06.30추가교통비(송태인)/남부지점/202607-영업기획팀-39</t>
  </si>
  <si>
    <t>이수현</t>
    <phoneticPr fontId="53" type="noConversion"/>
  </si>
  <si>
    <t xml:space="preserve"> 관리파트(생산)</t>
    <phoneticPr fontId="53" type="noConversion"/>
  </si>
  <si>
    <t xml:space="preserve"> 225028 2026.06.01 ~ 2026.06.30추가교통비(한형수)/북부지점/202607-영업기획팀-39</t>
  </si>
  <si>
    <t>김태준</t>
    <phoneticPr fontId="53" type="noConversion"/>
  </si>
  <si>
    <t xml:space="preserve"> 225028 2026.06.01 ~ 2026.06.30추가교통비(박정호)/북부지점/202607-영업기획팀-39</t>
  </si>
  <si>
    <t>김진성</t>
  </si>
  <si>
    <t xml:space="preserve"> 제조1파트</t>
  </si>
  <si>
    <t xml:space="preserve"> 225028 2026.06.01 ~ 2026.06.30추가교통비(전경원)/북부지점/202607-영업기획팀-39</t>
  </si>
  <si>
    <t>윤혁진</t>
  </si>
  <si>
    <t>제조1파트</t>
  </si>
  <si>
    <t xml:space="preserve"> 225028 2026.06.01 ~ 2026.06.30추가교통비(권구민)/북부지점/202607-영업기획팀-39</t>
  </si>
  <si>
    <t>윤종성</t>
  </si>
  <si>
    <t xml:space="preserve"> 225028 2026.06.01 ~ 2026.06.30추가교통비(송원기)/경기지점/202607-영업기획팀-39</t>
  </si>
  <si>
    <t>박유미</t>
  </si>
  <si>
    <t xml:space="preserve"> 225028 2026.06.01 ~ 2026.06.30추가교통비(김태준)/경기지점/202607-영업기획팀-39</t>
  </si>
  <si>
    <t>고은서</t>
  </si>
  <si>
    <t xml:space="preserve"> 225028 2026.06.01 ~ 2026.06.30추가교통비(이진우)/경기지점/202607-영업기획팀-39</t>
  </si>
  <si>
    <t>박서현</t>
  </si>
  <si>
    <t xml:space="preserve"> 225028 2026.06.01 ~ 2026.06.30추가교통비(송진화)/경기지점/202607-영업기획팀-39</t>
  </si>
  <si>
    <t>김재완</t>
  </si>
  <si>
    <t xml:space="preserve"> 225028 2026.06.01 ~ 2026.06.30추가교통비(김재열)/경기지점/202607-영업기획팀-39</t>
  </si>
  <si>
    <t xml:space="preserve"> 225028 2026.06.01 ~ 2026.06.30추가교통비(안형진)/경기지점/202607-영업기획팀-39</t>
  </si>
  <si>
    <t>김가현</t>
  </si>
  <si>
    <t xml:space="preserve"> 225028 2026.06.01 ~ 2026.06.30추가교통비(배준성)/경기지점/202607-영업기획팀-39</t>
  </si>
  <si>
    <t>김우재</t>
  </si>
  <si>
    <t xml:space="preserve"> 225028 2026.06.01 ~ 2026.06.30추가교통비(유정희)/인천지점/202607-영업기획팀-39</t>
  </si>
  <si>
    <t>전민정</t>
  </si>
  <si>
    <t>온라인사업팀</t>
  </si>
  <si>
    <t xml:space="preserve"> 225028 2026.06.01 ~ 2026.06.30추가교통비(김교성)/인천지점/202607-영업기획팀-39</t>
  </si>
  <si>
    <t>장윤지</t>
    <phoneticPr fontId="50" type="noConversion"/>
  </si>
  <si>
    <t>영업기획팀</t>
    <phoneticPr fontId="50" type="noConversion"/>
  </si>
  <si>
    <t xml:space="preserve"> 225028 2026.06.01 ~ 2026.06.30추가교통비(김재윤)/강원지점/202607-영업기획팀-39</t>
  </si>
  <si>
    <t>주민영</t>
    <phoneticPr fontId="50" type="noConversion"/>
  </si>
  <si>
    <t>영업관리팀</t>
    <phoneticPr fontId="50" type="noConversion"/>
  </si>
  <si>
    <t xml:space="preserve"> 225028 2026.06.01 ~ 2026.06.30추가교통비(이재필)/강원지점/202607-영업기획팀-39</t>
  </si>
  <si>
    <t>엄지은</t>
    <phoneticPr fontId="50" type="noConversion"/>
  </si>
  <si>
    <t xml:space="preserve"> 225028 2026.06.01 ~ 2026.06.30추가교통비(임정석)/대전지점/202607-영업기획팀-39</t>
  </si>
  <si>
    <t>제품파트</t>
    <phoneticPr fontId="50" type="noConversion"/>
  </si>
  <si>
    <t xml:space="preserve"> 225028 2026.06.01 ~ 2026.06.30추가교통비(심호선)/대전지점/202607-영업기획팀-39</t>
  </si>
  <si>
    <t>김주성</t>
    <phoneticPr fontId="50" type="noConversion"/>
  </si>
  <si>
    <t xml:space="preserve"> 225028 2026.06.01 ~ 2026.06.30추가교통비(백태현)/대전지점/202607-영업기획팀-39</t>
  </si>
  <si>
    <t>한가영</t>
    <phoneticPr fontId="50" type="noConversion"/>
  </si>
  <si>
    <t>물류파트</t>
    <phoneticPr fontId="50" type="noConversion"/>
  </si>
  <si>
    <t xml:space="preserve"> 225028 2026.06.01 ~ 2026.06.30추가교통비(전성주)/대전지점/202607-영업기획팀-39</t>
  </si>
  <si>
    <t>진솔빈</t>
    <phoneticPr fontId="50" type="noConversion"/>
  </si>
  <si>
    <t>마케팅팀</t>
    <phoneticPr fontId="50" type="noConversion"/>
  </si>
  <si>
    <t xml:space="preserve"> 225028 2026.06.01 ~ 2026.06.30추가교통비(윤종인)/대전지점/202607-영업기획팀-39</t>
  </si>
  <si>
    <t>김보영</t>
    <phoneticPr fontId="50" type="noConversion"/>
  </si>
  <si>
    <t>CS파트</t>
    <phoneticPr fontId="50" type="noConversion"/>
  </si>
  <si>
    <t xml:space="preserve"> 225028 2026.06.01 ~ 2026.06.30추가교통비(신희준)/대전지점/202607-영업기획팀-39</t>
  </si>
  <si>
    <t xml:space="preserve"> 225028 2026.06.01 ~ 2026.06.30추가교통비(류광환)/대전지점/202607-영업기획팀-39</t>
  </si>
  <si>
    <t xml:space="preserve"> 225028 2026.06.01 ~ 2026.06.30추가교통비(김두흥)/광주지점/202607-영업기획팀-39</t>
  </si>
  <si>
    <t xml:space="preserve"> 225028 2026.06.01 ~ 2026.06.30추가교통비(서오상)/광주지점/202607-영업기획팀-39</t>
  </si>
  <si>
    <t>2026-06-30</t>
  </si>
  <si>
    <t xml:space="preserve"> 225028 di팀_김성용/2021.04.05-2026.06.19(퇴직연금 지급액: 19,495,754원)</t>
  </si>
  <si>
    <t xml:space="preserve"> 225028 포장파트_김종일/2021.05.10-2026.06.30(퇴직연금 지급액 : 25,310,978원)</t>
  </si>
  <si>
    <t xml:space="preserve"> 225028 물류파트_신갑영／입사일1989.04.27_기산일1997.10.01－2026.06.30(퇴직연금 지급액 : 162,685,745원）</t>
  </si>
  <si>
    <t xml:space="preserve"> 225028 물류파트_구재연／입사일1983.02.21_기산일1997.11.01－2026.06.30（퇴직연금 지급액 : 174,420,857원)/202607-인사팀-24</t>
  </si>
  <si>
    <t xml:space="preserve"> 225028 마케팅개발본부_이성우/2025.03.10－2026.06.30（퇴직연금지급액 : 9,713,985원）202607-인사팀-24</t>
  </si>
  <si>
    <t>합 계</t>
    <phoneticPr fontId="42" type="noConversion"/>
  </si>
  <si>
    <t>예 수 금 명 세 서</t>
  </si>
  <si>
    <t>거래처</t>
  </si>
  <si>
    <t>발생일</t>
  </si>
  <si>
    <t>내     역</t>
  </si>
  <si>
    <t>금   액</t>
  </si>
  <si>
    <t>갑근소득세</t>
    <phoneticPr fontId="42" type="noConversion"/>
  </si>
  <si>
    <t>갑근주민세</t>
    <phoneticPr fontId="42" type="noConversion"/>
  </si>
  <si>
    <t>국민연금</t>
    <phoneticPr fontId="42" type="noConversion"/>
  </si>
  <si>
    <t>고용보험</t>
    <phoneticPr fontId="42" type="noConversion"/>
  </si>
  <si>
    <t>건강보험</t>
    <phoneticPr fontId="42" type="noConversion"/>
  </si>
  <si>
    <t>기타</t>
  </si>
  <si>
    <t>부가세</t>
    <phoneticPr fontId="42" type="noConversion"/>
  </si>
  <si>
    <t>부가세 예대 대체 후 잔액</t>
    <phoneticPr fontId="42" type="noConversion"/>
  </si>
  <si>
    <t>합          계</t>
  </si>
  <si>
    <t>선 수 금 명 세 서</t>
    <phoneticPr fontId="50" type="noConversion"/>
  </si>
  <si>
    <t xml:space="preserve">단위 : 원 </t>
    <phoneticPr fontId="42" type="noConversion"/>
  </si>
  <si>
    <t>계정과목</t>
    <phoneticPr fontId="42" type="noConversion"/>
  </si>
  <si>
    <t>IFRS</t>
    <phoneticPr fontId="50" type="noConversion"/>
  </si>
  <si>
    <t>코드</t>
    <phoneticPr fontId="42" type="noConversion"/>
  </si>
  <si>
    <t>적          요</t>
    <phoneticPr fontId="42" type="noConversion"/>
  </si>
  <si>
    <t>금     액</t>
    <phoneticPr fontId="42" type="noConversion"/>
  </si>
  <si>
    <t>비   고</t>
    <phoneticPr fontId="42" type="noConversion"/>
  </si>
  <si>
    <t>R035506</t>
    <phoneticPr fontId="42" type="noConversion"/>
  </si>
  <si>
    <t>선수금 기타 거래처</t>
    <phoneticPr fontId="42" type="noConversion"/>
  </si>
  <si>
    <t>유오동 선수금 입금</t>
    <phoneticPr fontId="42" type="noConversion"/>
  </si>
  <si>
    <t>R035506</t>
  </si>
  <si>
    <t>선수금 기타 거래처</t>
  </si>
  <si>
    <t>미확인 입금건 선수금처리(입금자명 : 오선진)</t>
  </si>
  <si>
    <t>전환사채 5회차 매각 계약금</t>
  </si>
  <si>
    <t>전환사채 6회차 매각 계약금</t>
  </si>
  <si>
    <t>합          계</t>
    <phoneticPr fontId="42" type="noConversion"/>
  </si>
  <si>
    <t>*수금 등록 현황 - 승인중 (상태 : 미완료)</t>
    <phoneticPr fontId="42" type="noConversion"/>
  </si>
  <si>
    <t>보조부원장</t>
    <phoneticPr fontId="42" type="noConversion"/>
  </si>
  <si>
    <t>관리항목원장</t>
    <phoneticPr fontId="42" type="noConversion"/>
  </si>
  <si>
    <t>비고</t>
    <phoneticPr fontId="50" type="noConversion"/>
  </si>
  <si>
    <t>미 지 급 비 용 명 세 서</t>
    <phoneticPr fontId="50" type="noConversion"/>
  </si>
  <si>
    <t>매입채무및기타채무</t>
    <phoneticPr fontId="50" type="noConversion"/>
  </si>
  <si>
    <t>경남제약(주)</t>
    <phoneticPr fontId="50" type="noConversion"/>
  </si>
  <si>
    <t>단위: 원</t>
    <phoneticPr fontId="50" type="noConversion"/>
  </si>
  <si>
    <t>계정과목</t>
    <phoneticPr fontId="50" type="noConversion"/>
  </si>
  <si>
    <t>관리항목값</t>
    <phoneticPr fontId="50" type="noConversion"/>
  </si>
  <si>
    <t>관리항목명</t>
    <phoneticPr fontId="50" type="noConversion"/>
  </si>
  <si>
    <t>전표일자</t>
    <phoneticPr fontId="50" type="noConversion"/>
  </si>
  <si>
    <t>적        요</t>
    <phoneticPr fontId="50" type="noConversion"/>
  </si>
  <si>
    <t>금액</t>
    <phoneticPr fontId="50" type="noConversion"/>
  </si>
  <si>
    <t>미지급비용(급여)</t>
    <phoneticPr fontId="50" type="noConversion"/>
  </si>
  <si>
    <t>서울 및 지점) 9월 급여</t>
  </si>
  <si>
    <t>前 배건우대표</t>
  </si>
  <si>
    <t>2021-10-01</t>
  </si>
  <si>
    <t>前 배건우대표 사임에 따른 미지급 급여(9월)</t>
  </si>
  <si>
    <t>前 배건우대표 수정신고분</t>
  </si>
  <si>
    <t>영업기획팀) 2026년 6월 의약사업본부 소매 인센티브/202607-영업기획팀-16</t>
    <phoneticPr fontId="50" type="noConversion"/>
  </si>
  <si>
    <t>의약사업본부)2026년 상반기 인센티브/202607-영업기획팀-16</t>
    <phoneticPr fontId="50" type="noConversion"/>
  </si>
  <si>
    <t>의약사업본부)2026년 2분기 인센티브/202607-영업기획팀-16</t>
    <phoneticPr fontId="50" type="noConversion"/>
  </si>
  <si>
    <t>[마케팅팀] 2026년 6월 자해생력 담당자 지원 정책 정산의 건/ 202607-마케팅팀-52</t>
    <phoneticPr fontId="50" type="noConversion"/>
  </si>
  <si>
    <t>소계</t>
    <phoneticPr fontId="50" type="noConversion"/>
  </si>
  <si>
    <t>미지급비용(신용카드)</t>
    <phoneticPr fontId="50" type="noConversion"/>
  </si>
  <si>
    <t>2026년 6월 법인카드 사용</t>
    <phoneticPr fontId="50" type="noConversion"/>
  </si>
  <si>
    <t>2025_4Q 미사용연차수당 부채계상</t>
    <phoneticPr fontId="50" type="noConversion"/>
  </si>
  <si>
    <t>미지급비용(이자)</t>
    <phoneticPr fontId="50" type="noConversion"/>
  </si>
  <si>
    <t>신한은행</t>
    <phoneticPr fontId="50" type="noConversion"/>
  </si>
  <si>
    <t>2026.6M 미지급이자(6.13~6.30) 계상(신한50억*4.5%*18/365)</t>
    <phoneticPr fontId="50" type="noConversion"/>
  </si>
  <si>
    <t>합계</t>
    <phoneticPr fontId="50" type="noConversion"/>
  </si>
  <si>
    <t>적정함</t>
    <phoneticPr fontId="9" type="noConversion"/>
  </si>
  <si>
    <t>완료</t>
  </si>
  <si>
    <t>미지급금명세</t>
    <phoneticPr fontId="9" type="noConversion"/>
  </si>
  <si>
    <t>조서No.  5310-1</t>
    <phoneticPr fontId="9" type="noConversion"/>
  </si>
  <si>
    <t>미지급금(사원)명세</t>
    <phoneticPr fontId="9" type="noConversion"/>
  </si>
  <si>
    <t>조서No.  5310-2</t>
    <phoneticPr fontId="9" type="noConversion"/>
  </si>
  <si>
    <t>예수금명세</t>
    <phoneticPr fontId="9" type="noConversion"/>
  </si>
  <si>
    <t>조서No.  5310-3</t>
    <phoneticPr fontId="9" type="noConversion"/>
  </si>
  <si>
    <t>선수금명세</t>
    <phoneticPr fontId="9" type="noConversion"/>
  </si>
  <si>
    <t>조서No.  5310-4</t>
    <phoneticPr fontId="9" type="noConversion"/>
  </si>
  <si>
    <t>미지급비용명세</t>
    <phoneticPr fontId="9" type="noConversion"/>
  </si>
  <si>
    <t>조서No.  5310-5</t>
    <phoneticPr fontId="9" type="noConversion"/>
  </si>
  <si>
    <t>해당없음</t>
  </si>
  <si>
    <t>특수관계자와의 거래내용 없음</t>
    <phoneticPr fontId="9" type="noConversion"/>
  </si>
  <si>
    <t>주석공시사항 검토하였음</t>
    <phoneticPr fontId="9" type="noConversion"/>
  </si>
  <si>
    <t>주석</t>
    <phoneticPr fontId="9" type="noConversion"/>
  </si>
  <si>
    <t>조서No.  5320</t>
    <phoneticPr fontId="9" type="noConversion"/>
  </si>
  <si>
    <t>조서No.  5330</t>
    <phoneticPr fontId="9" type="noConversion"/>
  </si>
  <si>
    <t>(단위: 원)</t>
    <phoneticPr fontId="50" type="noConversion"/>
  </si>
  <si>
    <t>구 분</t>
  </si>
  <si>
    <t>당반기말</t>
  </si>
  <si>
    <t>전기말</t>
  </si>
  <si>
    <t>유 동</t>
  </si>
  <si>
    <t>비유동</t>
  </si>
  <si>
    <t>합 계</t>
  </si>
  <si>
    <t>당반기말과 전기말 현재 매입채무및기타채무의 내역은 다음과 같습니다.</t>
  </si>
  <si>
    <t>당반기말과 전기말 현재 기타부채의 내역은 다음과 같습니다.</t>
  </si>
  <si>
    <t>유동</t>
    <phoneticPr fontId="50" type="noConversion"/>
  </si>
  <si>
    <t>비유동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</si>
</sst>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;\(#,##0\);&quot;-&quot;"/>
    <numFmt numFmtId="177" formatCode="0.0%"/>
    <numFmt numFmtId="178" formatCode="yyyy\.mm\.dd"/>
    <numFmt numFmtId="179" formatCode="_(* #,##0_);_(* \(#,##0\);_(* &quot;-&quot;_);_(@_)"/>
    <numFmt numFmtId="180" formatCode="yyyy&quot;년&quot;\ mm&quot;월&quot;\ dd&quot;일&quot;\ &quot;현&quot;&quot;재&quot;"/>
    <numFmt numFmtId="181" formatCode="yyyy&quot;년&quot;\ mm&quot;월&quot;\ dd&quot;일 현재&quot;"/>
    <numFmt numFmtId="182" formatCode="#,##0_ "/>
    <numFmt numFmtId="183" formatCode="#,##0_ ;[Red]\-#,##0\ "/>
    <numFmt numFmtId="184" formatCode="_-\ #,##0_-;\-\ #,##0_-;_-\ &quot;-&quot;_-;_-@_-"/>
  </numFmts>
  <fonts count="7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10"/>
      <color rgb="FF2E75B6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9"/>
      <color theme="1"/>
      <name val="맑은 고딕"/>
      <family val="2"/>
      <scheme val="minor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8"/>
      <color theme="1"/>
      <name val="굴림체"/>
      <family val="2"/>
      <charset val="129"/>
    </font>
    <font>
      <b/>
      <u/>
      <sz val="20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u/>
      <sz val="9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theme="0"/>
      <name val="돋움"/>
      <family val="3"/>
      <charset val="129"/>
    </font>
    <font>
      <sz val="9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9"/>
      <color indexed="8"/>
      <name val="굴림체"/>
      <family val="3"/>
      <charset val="129"/>
    </font>
    <font>
      <sz val="9"/>
      <color rgb="FFFF000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9"/>
      <name val="돋움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name val="굴림체"/>
      <family val="2"/>
      <charset val="129"/>
    </font>
    <font>
      <sz val="8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name val="돋움체"/>
      <family val="3"/>
      <charset val="129"/>
    </font>
    <font>
      <sz val="10"/>
      <color theme="1"/>
      <name val="맑은 고딕"/>
      <family val="2"/>
      <charset val="129"/>
      <scheme val="minor"/>
    </font>
    <font>
      <u/>
      <sz val="8"/>
      <color theme="10"/>
      <name val="굴림체"/>
      <family val="2"/>
      <charset val="129"/>
    </font>
    <font>
      <b/>
      <u/>
      <sz val="20"/>
      <name val="돋음"/>
      <family val="3"/>
      <charset val="129"/>
    </font>
    <font>
      <b/>
      <u/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20"/>
      <color theme="1"/>
      <name val="돋움"/>
      <family val="3"/>
      <charset val="129"/>
    </font>
    <font>
      <b/>
      <sz val="8"/>
      <color theme="1"/>
      <name val="돋움"/>
      <family val="3"/>
      <charset val="129"/>
    </font>
    <font>
      <b/>
      <sz val="8"/>
      <color theme="1"/>
      <name val="맑은 고딕"/>
      <family val="3"/>
      <charset val="129"/>
      <scheme val="major"/>
    </font>
    <font>
      <sz val="8"/>
      <color theme="1"/>
      <name val="돋움"/>
      <family val="3"/>
      <charset val="129"/>
    </font>
    <font>
      <sz val="10"/>
      <color theme="0"/>
      <name val="돋움"/>
      <family val="3"/>
      <charset val="129"/>
    </font>
    <font>
      <sz val="10"/>
      <name val="굴림체"/>
      <family val="3"/>
      <charset val="129"/>
    </font>
    <font>
      <b/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3E5FF"/>
      </patternFill>
    </fill>
    <fill>
      <patternFill patternType="solid">
        <fgColor rgb="FFF8F8F8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7">
    <border>
      <left/>
      <right/>
      <top/>
      <bottom/>
      <diagonal/>
    </border>
    <border>
      <left/>
      <right/>
      <top style="thin">
        <color rgb="FFFFB900"/>
      </top>
      <bottom style="thin">
        <color rgb="FFFFB9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B9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/>
      <diagonal/>
    </border>
    <border>
      <left/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/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5">
    <xf numFmtId="0" fontId="0" fillId="0" borderId="0"/>
    <xf numFmtId="41" fontId="23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30" fillId="0" borderId="0"/>
    <xf numFmtId="179" fontId="31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2" fillId="0" borderId="0"/>
    <xf numFmtId="0" fontId="33" fillId="0" borderId="0"/>
    <xf numFmtId="0" fontId="3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43" fillId="0" borderId="0"/>
    <xf numFmtId="0" fontId="44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5" fillId="0" borderId="0"/>
    <xf numFmtId="41" fontId="56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67" fillId="0" borderId="0" applyFont="0" applyFill="0" applyBorder="0" applyAlignment="0" applyProtection="0"/>
    <xf numFmtId="41" fontId="31" fillId="0" borderId="0" applyFont="0" applyFill="0" applyBorder="0" applyAlignment="0" applyProtection="0"/>
  </cellStyleXfs>
  <cellXfs count="312">
    <xf numFmtId="0" fontId="0" fillId="0" borderId="0" xfId="0"/>
    <xf numFmtId="0" fontId="0" fillId="0" borderId="1" xfId="0" applyBorder="1"/>
    <xf numFmtId="0" fontId="14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4" fillId="2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 indent="1"/>
    </xf>
    <xf numFmtId="176" fontId="17" fillId="4" borderId="2" xfId="0" applyNumberFormat="1" applyFont="1" applyFill="1" applyBorder="1" applyAlignment="1">
      <alignment horizontal="right" vertical="center"/>
    </xf>
    <xf numFmtId="0" fontId="1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1"/>
    </xf>
    <xf numFmtId="0" fontId="16" fillId="6" borderId="3" xfId="0" applyFont="1" applyFill="1" applyBorder="1" applyAlignment="1">
      <alignment horizontal="center" vertical="center"/>
    </xf>
    <xf numFmtId="176" fontId="16" fillId="6" borderId="3" xfId="0" applyNumberFormat="1" applyFont="1" applyFill="1" applyBorder="1" applyAlignment="1">
      <alignment horizontal="right" vertical="center"/>
    </xf>
    <xf numFmtId="0" fontId="19" fillId="4" borderId="2" xfId="0" applyFont="1" applyFill="1" applyBorder="1" applyAlignment="1">
      <alignment horizontal="left" vertical="center" indent="1"/>
    </xf>
    <xf numFmtId="0" fontId="20" fillId="5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indent="1"/>
    </xf>
    <xf numFmtId="0" fontId="25" fillId="0" borderId="1" xfId="0" applyFont="1" applyBorder="1"/>
    <xf numFmtId="0" fontId="26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left" vertical="center" indent="1"/>
    </xf>
    <xf numFmtId="176" fontId="25" fillId="4" borderId="2" xfId="0" applyNumberFormat="1" applyFont="1" applyFill="1" applyBorder="1" applyAlignment="1">
      <alignment horizontal="right" vertical="center"/>
    </xf>
    <xf numFmtId="177" fontId="25" fillId="4" borderId="2" xfId="0" applyNumberFormat="1" applyFont="1" applyFill="1" applyBorder="1" applyAlignment="1">
      <alignment horizontal="center" vertical="center"/>
    </xf>
    <xf numFmtId="0" fontId="25" fillId="4" borderId="2" xfId="0" applyFont="1" applyFill="1" applyBorder="1"/>
    <xf numFmtId="0" fontId="27" fillId="0" borderId="0" xfId="0" applyFont="1" applyAlignment="1">
      <alignment horizontal="center"/>
    </xf>
    <xf numFmtId="176" fontId="28" fillId="4" borderId="2" xfId="0" applyNumberFormat="1" applyFont="1" applyFill="1" applyBorder="1" applyAlignment="1">
      <alignment horizontal="right" vertical="center"/>
    </xf>
    <xf numFmtId="0" fontId="29" fillId="0" borderId="0" xfId="0" applyFont="1"/>
    <xf numFmtId="0" fontId="25" fillId="0" borderId="0" xfId="0" applyFont="1"/>
    <xf numFmtId="41" fontId="25" fillId="0" borderId="0" xfId="1" applyFont="1">
      <alignment vertical="center"/>
    </xf>
    <xf numFmtId="0" fontId="26" fillId="0" borderId="8" xfId="0" applyFont="1" applyBorder="1" applyAlignment="1">
      <alignment horizontal="center" vertical="top"/>
    </xf>
    <xf numFmtId="0" fontId="29" fillId="0" borderId="13" xfId="0" applyFont="1" applyBorder="1"/>
    <xf numFmtId="41" fontId="25" fillId="0" borderId="14" xfId="1" applyFont="1" applyBorder="1">
      <alignment vertical="center"/>
    </xf>
    <xf numFmtId="0" fontId="29" fillId="0" borderId="11" xfId="0" applyFont="1" applyBorder="1"/>
    <xf numFmtId="41" fontId="25" fillId="0" borderId="9" xfId="1" applyFont="1" applyBorder="1">
      <alignment vertical="center"/>
    </xf>
    <xf numFmtId="41" fontId="25" fillId="0" borderId="12" xfId="1" applyFont="1" applyBorder="1">
      <alignment vertical="center"/>
    </xf>
    <xf numFmtId="41" fontId="25" fillId="0" borderId="13" xfId="1" applyFont="1" applyBorder="1">
      <alignment vertical="center"/>
    </xf>
    <xf numFmtId="41" fontId="25" fillId="0" borderId="11" xfId="1" applyFont="1" applyBorder="1">
      <alignment vertical="center"/>
    </xf>
    <xf numFmtId="0" fontId="0" fillId="2" borderId="10" xfId="0" applyFill="1" applyBorder="1"/>
    <xf numFmtId="0" fontId="0" fillId="0" borderId="10" xfId="0" applyBorder="1"/>
    <xf numFmtId="0" fontId="14" fillId="3" borderId="2" xfId="0" applyFont="1" applyFill="1" applyBorder="1" applyAlignment="1">
      <alignment horizontal="center" vertical="center"/>
    </xf>
    <xf numFmtId="0" fontId="0" fillId="0" borderId="5" xfId="0" applyBorder="1"/>
    <xf numFmtId="0" fontId="0" fillId="7" borderId="2" xfId="0" applyFill="1" applyBorder="1" applyAlignment="1">
      <alignment horizontal="left" vertical="center" wrapText="1" indent="1"/>
    </xf>
    <xf numFmtId="0" fontId="0" fillId="2" borderId="2" xfId="0" applyFill="1" applyBorder="1"/>
    <xf numFmtId="0" fontId="0" fillId="0" borderId="4" xfId="0" applyBorder="1"/>
    <xf numFmtId="0" fontId="0" fillId="9" borderId="2" xfId="0" applyFill="1" applyBorder="1" applyAlignment="1">
      <alignment horizontal="left" vertical="center" wrapText="1" indent="1"/>
    </xf>
    <xf numFmtId="0" fontId="0" fillId="4" borderId="2" xfId="0" applyFill="1" applyBorder="1"/>
    <xf numFmtId="178" fontId="11" fillId="3" borderId="2" xfId="0" applyNumberFormat="1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left" vertical="top" wrapText="1" indent="1"/>
    </xf>
    <xf numFmtId="0" fontId="21" fillId="8" borderId="2" xfId="0" applyFont="1" applyFill="1" applyBorder="1" applyAlignment="1">
      <alignment horizontal="center" vertical="center"/>
    </xf>
    <xf numFmtId="14" fontId="15" fillId="4" borderId="2" xfId="0" applyNumberFormat="1" applyFont="1" applyFill="1" applyBorder="1" applyAlignment="1">
      <alignment horizontal="center" vertical="center"/>
    </xf>
    <xf numFmtId="14" fontId="0" fillId="0" borderId="4" xfId="0" applyNumberFormat="1" applyBorder="1"/>
    <xf numFmtId="14" fontId="0" fillId="0" borderId="5" xfId="0" applyNumberFormat="1" applyBorder="1"/>
    <xf numFmtId="0" fontId="18" fillId="7" borderId="2" xfId="0" applyFont="1" applyFill="1" applyBorder="1" applyAlignment="1">
      <alignment horizontal="left" vertical="top" wrapText="1" indent="1"/>
    </xf>
    <xf numFmtId="0" fontId="25" fillId="4" borderId="2" xfId="0" applyFont="1" applyFill="1" applyBorder="1"/>
    <xf numFmtId="0" fontId="22" fillId="0" borderId="10" xfId="0" applyFont="1" applyBorder="1" applyAlignment="1">
      <alignment horizontal="left" vertical="center" indent="1"/>
    </xf>
    <xf numFmtId="0" fontId="11" fillId="2" borderId="10" xfId="0" applyFont="1" applyFill="1" applyBorder="1" applyAlignment="1">
      <alignment horizontal="right" vertical="center"/>
    </xf>
    <xf numFmtId="0" fontId="0" fillId="7" borderId="2" xfId="0" applyFill="1" applyBorder="1"/>
    <xf numFmtId="0" fontId="11" fillId="2" borderId="3" xfId="0" applyFont="1" applyFill="1" applyBorder="1" applyAlignment="1">
      <alignment horizontal="left" vertical="center" indent="1"/>
    </xf>
    <xf numFmtId="0" fontId="0" fillId="0" borderId="6" xfId="0" applyBorder="1"/>
    <xf numFmtId="0" fontId="0" fillId="0" borderId="7" xfId="0" applyBorder="1"/>
    <xf numFmtId="0" fontId="11" fillId="3" borderId="2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left" vertical="center" indent="1"/>
    </xf>
    <xf numFmtId="0" fontId="12" fillId="2" borderId="10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 indent="1"/>
    </xf>
    <xf numFmtId="0" fontId="15" fillId="4" borderId="2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5" fillId="0" borderId="0" xfId="15" applyFont="1">
      <alignment vertical="center"/>
    </xf>
    <xf numFmtId="0" fontId="35" fillId="0" borderId="0" xfId="15" applyFont="1" applyAlignment="1">
      <alignment horizontal="center" vertical="center"/>
    </xf>
    <xf numFmtId="41" fontId="34" fillId="0" borderId="0" xfId="16" applyNumberFormat="1" applyAlignment="1"/>
    <xf numFmtId="0" fontId="36" fillId="0" borderId="0" xfId="16" applyFont="1">
      <alignment vertical="center"/>
    </xf>
    <xf numFmtId="0" fontId="37" fillId="0" borderId="0" xfId="15" applyFont="1" applyAlignment="1">
      <alignment horizontal="center" vertical="center"/>
    </xf>
    <xf numFmtId="14" fontId="37" fillId="0" borderId="0" xfId="15" applyNumberFormat="1" applyFont="1" applyAlignment="1">
      <alignment horizontal="center" vertical="center"/>
    </xf>
    <xf numFmtId="41" fontId="36" fillId="0" borderId="0" xfId="16" applyNumberFormat="1" applyFont="1">
      <alignment vertical="center"/>
    </xf>
    <xf numFmtId="180" fontId="37" fillId="0" borderId="0" xfId="15" applyNumberFormat="1" applyFont="1">
      <alignment vertical="center"/>
    </xf>
    <xf numFmtId="0" fontId="38" fillId="0" borderId="0" xfId="16" applyFont="1">
      <alignment vertical="center"/>
    </xf>
    <xf numFmtId="0" fontId="39" fillId="0" borderId="0" xfId="15" applyFont="1">
      <alignment vertical="center"/>
    </xf>
    <xf numFmtId="14" fontId="39" fillId="0" borderId="0" xfId="15" applyNumberFormat="1" applyFont="1" applyAlignment="1">
      <alignment horizontal="center" vertical="center"/>
    </xf>
    <xf numFmtId="0" fontId="39" fillId="0" borderId="0" xfId="15" applyFont="1" applyAlignment="1">
      <alignment horizontal="center" vertical="center"/>
    </xf>
    <xf numFmtId="41" fontId="39" fillId="0" borderId="0" xfId="13" applyFont="1">
      <alignment vertical="center"/>
    </xf>
    <xf numFmtId="0" fontId="39" fillId="0" borderId="0" xfId="15" applyFont="1" applyAlignment="1">
      <alignment horizontal="right" vertical="center"/>
    </xf>
    <xf numFmtId="0" fontId="39" fillId="0" borderId="15" xfId="15" applyFont="1" applyBorder="1">
      <alignment vertical="center"/>
    </xf>
    <xf numFmtId="14" fontId="39" fillId="0" borderId="15" xfId="15" applyNumberFormat="1" applyFont="1" applyBorder="1" applyAlignment="1">
      <alignment horizontal="center" vertical="center"/>
    </xf>
    <xf numFmtId="180" fontId="39" fillId="0" borderId="15" xfId="15" applyNumberFormat="1" applyFont="1" applyBorder="1" applyAlignment="1">
      <alignment horizontal="center" vertical="center"/>
    </xf>
    <xf numFmtId="41" fontId="39" fillId="0" borderId="15" xfId="13" applyFont="1" applyBorder="1" applyAlignment="1">
      <alignment horizontal="center" vertical="center"/>
    </xf>
    <xf numFmtId="0" fontId="40" fillId="10" borderId="16" xfId="15" applyFont="1" applyFill="1" applyBorder="1" applyAlignment="1">
      <alignment horizontal="center" vertical="center"/>
    </xf>
    <xf numFmtId="0" fontId="40" fillId="10" borderId="17" xfId="15" applyFont="1" applyFill="1" applyBorder="1" applyAlignment="1">
      <alignment horizontal="center" vertical="center"/>
    </xf>
    <xf numFmtId="14" fontId="40" fillId="10" borderId="18" xfId="15" applyNumberFormat="1" applyFont="1" applyFill="1" applyBorder="1" applyAlignment="1">
      <alignment horizontal="center" vertical="center"/>
    </xf>
    <xf numFmtId="0" fontId="40" fillId="10" borderId="18" xfId="15" applyFont="1" applyFill="1" applyBorder="1" applyAlignment="1">
      <alignment horizontal="center" vertical="center"/>
    </xf>
    <xf numFmtId="41" fontId="40" fillId="10" borderId="18" xfId="13" applyFont="1" applyFill="1" applyBorder="1" applyAlignment="1">
      <alignment horizontal="center" vertical="center"/>
    </xf>
    <xf numFmtId="0" fontId="40" fillId="10" borderId="19" xfId="15" applyFont="1" applyFill="1" applyBorder="1" applyAlignment="1">
      <alignment horizontal="center" vertical="center"/>
    </xf>
    <xf numFmtId="0" fontId="41" fillId="0" borderId="0" xfId="16" applyFont="1" applyAlignment="1">
      <alignment horizontal="center" vertical="center"/>
    </xf>
    <xf numFmtId="14" fontId="41" fillId="0" borderId="20" xfId="17" applyNumberFormat="1" applyFont="1" applyBorder="1" applyAlignment="1">
      <alignment horizontal="center"/>
    </xf>
    <xf numFmtId="0" fontId="41" fillId="0" borderId="21" xfId="17" applyFont="1" applyBorder="1" applyAlignment="1">
      <alignment horizontal="center"/>
    </xf>
    <xf numFmtId="0" fontId="38" fillId="0" borderId="21" xfId="18" applyFont="1" applyBorder="1" applyAlignment="1">
      <alignment vertical="center"/>
    </xf>
    <xf numFmtId="41" fontId="41" fillId="0" borderId="21" xfId="19" applyFont="1" applyFill="1" applyBorder="1" applyAlignment="1" applyProtection="1"/>
    <xf numFmtId="41" fontId="41" fillId="0" borderId="22" xfId="19" applyFont="1" applyFill="1" applyBorder="1" applyAlignment="1" applyProtection="1"/>
    <xf numFmtId="41" fontId="41" fillId="7" borderId="21" xfId="13" applyFont="1" applyFill="1" applyBorder="1" applyAlignment="1" applyProtection="1">
      <alignment horizontal="left" indent="1"/>
    </xf>
    <xf numFmtId="0" fontId="34" fillId="0" borderId="0" xfId="16" applyAlignment="1"/>
    <xf numFmtId="14" fontId="41" fillId="7" borderId="20" xfId="17" applyNumberFormat="1" applyFont="1" applyFill="1" applyBorder="1" applyAlignment="1">
      <alignment horizontal="center"/>
    </xf>
    <xf numFmtId="0" fontId="41" fillId="7" borderId="21" xfId="17" applyFont="1" applyFill="1" applyBorder="1" applyAlignment="1">
      <alignment horizontal="center"/>
    </xf>
    <xf numFmtId="0" fontId="38" fillId="0" borderId="21" xfId="16" applyFont="1" applyBorder="1">
      <alignment vertical="center"/>
    </xf>
    <xf numFmtId="41" fontId="41" fillId="7" borderId="21" xfId="13" applyFont="1" applyFill="1" applyBorder="1" applyAlignment="1" applyProtection="1"/>
    <xf numFmtId="41" fontId="41" fillId="0" borderId="22" xfId="13" applyFont="1" applyFill="1" applyBorder="1" applyAlignment="1" applyProtection="1"/>
    <xf numFmtId="41" fontId="41" fillId="7" borderId="21" xfId="13" applyFont="1" applyFill="1" applyBorder="1" applyAlignment="1" applyProtection="1">
      <alignment horizontal="left" vertical="center"/>
    </xf>
    <xf numFmtId="41" fontId="41" fillId="7" borderId="21" xfId="13" applyFont="1" applyFill="1" applyBorder="1" applyAlignment="1" applyProtection="1">
      <alignment horizontal="left" vertical="center" indent="1"/>
    </xf>
    <xf numFmtId="41" fontId="41" fillId="7" borderId="21" xfId="13" applyFont="1" applyFill="1" applyBorder="1" applyAlignment="1" applyProtection="1">
      <alignment horizontal="left"/>
    </xf>
    <xf numFmtId="41" fontId="41" fillId="0" borderId="21" xfId="13" applyFont="1" applyFill="1" applyBorder="1" applyAlignment="1" applyProtection="1"/>
    <xf numFmtId="0" fontId="41" fillId="0" borderId="21" xfId="17" applyFont="1" applyBorder="1" applyAlignment="1">
      <alignment horizontal="left"/>
    </xf>
    <xf numFmtId="0" fontId="41" fillId="0" borderId="0" xfId="16" applyFont="1" applyAlignment="1">
      <alignment horizontal="center" vertical="center"/>
    </xf>
    <xf numFmtId="41" fontId="45" fillId="0" borderId="22" xfId="13" applyFont="1" applyFill="1" applyBorder="1" applyAlignment="1" applyProtection="1"/>
    <xf numFmtId="41" fontId="41" fillId="0" borderId="20" xfId="13" applyFont="1" applyFill="1" applyBorder="1" applyAlignment="1" applyProtection="1"/>
    <xf numFmtId="41" fontId="41" fillId="7" borderId="0" xfId="13" applyFont="1" applyFill="1" applyBorder="1" applyAlignment="1" applyProtection="1"/>
    <xf numFmtId="0" fontId="46" fillId="11" borderId="0" xfId="16" applyFont="1" applyFill="1">
      <alignment vertical="center"/>
    </xf>
    <xf numFmtId="0" fontId="47" fillId="11" borderId="23" xfId="16" applyFont="1" applyFill="1" applyBorder="1" applyAlignment="1">
      <alignment horizontal="center" vertical="center"/>
    </xf>
    <xf numFmtId="0" fontId="47" fillId="11" borderId="20" xfId="16" applyFont="1" applyFill="1" applyBorder="1" applyAlignment="1">
      <alignment horizontal="center" vertical="center"/>
    </xf>
    <xf numFmtId="41" fontId="48" fillId="11" borderId="22" xfId="13" applyFont="1" applyFill="1" applyBorder="1" applyAlignment="1" applyProtection="1"/>
    <xf numFmtId="0" fontId="36" fillId="11" borderId="24" xfId="16" applyFont="1" applyFill="1" applyBorder="1" applyAlignment="1">
      <alignment horizontal="center" vertical="center"/>
    </xf>
    <xf numFmtId="14" fontId="36" fillId="0" borderId="0" xfId="16" applyNumberFormat="1" applyFont="1" applyAlignment="1">
      <alignment horizontal="center" vertical="center"/>
    </xf>
    <xf numFmtId="0" fontId="36" fillId="0" borderId="0" xfId="16" applyFont="1" applyAlignment="1">
      <alignment horizontal="center" vertical="center"/>
    </xf>
    <xf numFmtId="41" fontId="36" fillId="0" borderId="0" xfId="13" applyFont="1">
      <alignment vertical="center"/>
    </xf>
    <xf numFmtId="14" fontId="34" fillId="0" borderId="0" xfId="16" applyNumberFormat="1" applyAlignment="1">
      <alignment horizontal="center" vertical="center"/>
    </xf>
    <xf numFmtId="0" fontId="34" fillId="0" borderId="0" xfId="16" applyAlignment="1">
      <alignment horizontal="center" vertical="center"/>
    </xf>
    <xf numFmtId="0" fontId="34" fillId="0" borderId="0" xfId="16">
      <alignment vertical="center"/>
    </xf>
    <xf numFmtId="41" fontId="49" fillId="0" borderId="0" xfId="13" applyFont="1">
      <alignment vertical="center"/>
    </xf>
    <xf numFmtId="41" fontId="51" fillId="0" borderId="0" xfId="13" applyFont="1">
      <alignment vertical="center"/>
    </xf>
    <xf numFmtId="14" fontId="41" fillId="7" borderId="8" xfId="17" applyNumberFormat="1" applyFont="1" applyFill="1" applyBorder="1" applyAlignment="1">
      <alignment horizontal="center"/>
    </xf>
    <xf numFmtId="0" fontId="41" fillId="7" borderId="8" xfId="17" applyFont="1" applyFill="1" applyBorder="1" applyAlignment="1">
      <alignment horizontal="center" vertical="center"/>
    </xf>
    <xf numFmtId="0" fontId="38" fillId="0" borderId="8" xfId="20" applyFont="1" applyBorder="1">
      <alignment vertical="center"/>
    </xf>
    <xf numFmtId="41" fontId="41" fillId="7" borderId="8" xfId="21" applyFont="1" applyFill="1" applyBorder="1" applyAlignment="1" applyProtection="1"/>
    <xf numFmtId="0" fontId="52" fillId="12" borderId="25" xfId="16" applyFont="1" applyFill="1" applyBorder="1" applyAlignment="1">
      <alignment horizontal="center" vertical="center"/>
    </xf>
    <xf numFmtId="0" fontId="52" fillId="12" borderId="12" xfId="16" applyFont="1" applyFill="1" applyBorder="1" applyAlignment="1">
      <alignment horizontal="center" vertical="center"/>
    </xf>
    <xf numFmtId="0" fontId="52" fillId="12" borderId="8" xfId="16" applyFont="1" applyFill="1" applyBorder="1" applyAlignment="1">
      <alignment horizontal="center" vertical="center"/>
    </xf>
    <xf numFmtId="0" fontId="54" fillId="0" borderId="26" xfId="16" applyFont="1" applyBorder="1" applyAlignment="1">
      <alignment horizontal="center" vertical="center"/>
    </xf>
    <xf numFmtId="0" fontId="54" fillId="0" borderId="0" xfId="16" applyFont="1" applyAlignment="1">
      <alignment horizontal="center" vertical="center"/>
    </xf>
    <xf numFmtId="14" fontId="41" fillId="7" borderId="11" xfId="17" applyNumberFormat="1" applyFont="1" applyFill="1" applyBorder="1" applyAlignment="1">
      <alignment horizontal="center"/>
    </xf>
    <xf numFmtId="0" fontId="38" fillId="0" borderId="9" xfId="20" applyFont="1" applyBorder="1">
      <alignment vertical="center"/>
    </xf>
    <xf numFmtId="0" fontId="40" fillId="10" borderId="11" xfId="15" applyFont="1" applyFill="1" applyBorder="1">
      <alignment vertical="center"/>
    </xf>
    <xf numFmtId="0" fontId="40" fillId="10" borderId="9" xfId="15" applyFont="1" applyFill="1" applyBorder="1">
      <alignment vertical="center"/>
    </xf>
    <xf numFmtId="41" fontId="40" fillId="10" borderId="9" xfId="15" applyNumberFormat="1" applyFont="1" applyFill="1" applyBorder="1">
      <alignment vertical="center"/>
    </xf>
    <xf numFmtId="0" fontId="35" fillId="0" borderId="0" xfId="22" applyFont="1" applyAlignment="1">
      <alignment horizontal="center" vertical="center"/>
    </xf>
    <xf numFmtId="41" fontId="38" fillId="0" borderId="0" xfId="13" applyFont="1">
      <alignment vertical="center"/>
    </xf>
    <xf numFmtId="181" fontId="37" fillId="0" borderId="0" xfId="22" applyNumberFormat="1" applyFont="1" applyAlignment="1">
      <alignment horizontal="center" vertical="center"/>
    </xf>
    <xf numFmtId="0" fontId="47" fillId="0" borderId="0" xfId="22" applyFont="1">
      <alignment vertical="center"/>
    </xf>
    <xf numFmtId="0" fontId="55" fillId="0" borderId="0" xfId="23" applyAlignment="1">
      <alignment vertical="center"/>
    </xf>
    <xf numFmtId="0" fontId="46" fillId="0" borderId="0" xfId="22" applyFont="1">
      <alignment vertical="center"/>
    </xf>
    <xf numFmtId="0" fontId="39" fillId="0" borderId="0" xfId="22" applyFont="1" applyAlignment="1">
      <alignment horizontal="right" vertical="center"/>
    </xf>
    <xf numFmtId="0" fontId="40" fillId="10" borderId="27" xfId="22" applyFont="1" applyFill="1" applyBorder="1" applyAlignment="1">
      <alignment horizontal="center" vertical="center"/>
    </xf>
    <xf numFmtId="0" fontId="40" fillId="10" borderId="28" xfId="15" applyFont="1" applyFill="1" applyBorder="1" applyAlignment="1">
      <alignment horizontal="center" vertical="center"/>
    </xf>
    <xf numFmtId="0" fontId="40" fillId="10" borderId="29" xfId="22" applyFont="1" applyFill="1" applyBorder="1" applyAlignment="1">
      <alignment horizontal="center" vertical="center"/>
    </xf>
    <xf numFmtId="182" fontId="40" fillId="10" borderId="29" xfId="22" applyNumberFormat="1" applyFont="1" applyFill="1" applyBorder="1" applyAlignment="1">
      <alignment horizontal="center" vertical="center"/>
    </xf>
    <xf numFmtId="183" fontId="40" fillId="10" borderId="29" xfId="22" applyNumberFormat="1" applyFont="1" applyFill="1" applyBorder="1" applyAlignment="1">
      <alignment horizontal="center" vertical="center"/>
    </xf>
    <xf numFmtId="182" fontId="40" fillId="10" borderId="30" xfId="22" applyNumberFormat="1" applyFont="1" applyFill="1" applyBorder="1" applyAlignment="1">
      <alignment horizontal="center" vertical="center"/>
    </xf>
    <xf numFmtId="0" fontId="38" fillId="0" borderId="31" xfId="22" applyFont="1" applyBorder="1" applyAlignment="1">
      <alignment horizontal="center" vertical="center"/>
    </xf>
    <xf numFmtId="0" fontId="38" fillId="0" borderId="32" xfId="22" applyFont="1" applyBorder="1">
      <alignment vertical="center"/>
    </xf>
    <xf numFmtId="0" fontId="38" fillId="0" borderId="21" xfId="22" applyFont="1" applyBorder="1" applyAlignment="1">
      <alignment horizontal="center" vertical="center"/>
    </xf>
    <xf numFmtId="14" fontId="38" fillId="0" borderId="21" xfId="22" applyNumberFormat="1" applyFont="1" applyBorder="1" applyAlignment="1">
      <alignment horizontal="center" vertical="center"/>
    </xf>
    <xf numFmtId="184" fontId="38" fillId="0" borderId="21" xfId="22" applyNumberFormat="1" applyFont="1" applyBorder="1">
      <alignment vertical="center"/>
    </xf>
    <xf numFmtId="183" fontId="38" fillId="0" borderId="21" xfId="22" applyNumberFormat="1" applyFont="1" applyBorder="1">
      <alignment vertical="center"/>
    </xf>
    <xf numFmtId="182" fontId="38" fillId="0" borderId="33" xfId="22" applyNumberFormat="1" applyFont="1" applyBorder="1" applyAlignment="1">
      <alignment vertical="center" wrapText="1"/>
    </xf>
    <xf numFmtId="41" fontId="0" fillId="0" borderId="0" xfId="13" applyFont="1">
      <alignment vertical="center"/>
    </xf>
    <xf numFmtId="41" fontId="38" fillId="0" borderId="0" xfId="13" applyFont="1" applyFill="1">
      <alignment vertical="center"/>
    </xf>
    <xf numFmtId="0" fontId="38" fillId="0" borderId="34" xfId="22" applyFont="1" applyBorder="1">
      <alignment vertical="center"/>
    </xf>
    <xf numFmtId="41" fontId="34" fillId="0" borderId="0" xfId="16" applyNumberFormat="1">
      <alignment vertical="center"/>
    </xf>
    <xf numFmtId="183" fontId="45" fillId="0" borderId="21" xfId="22" applyNumberFormat="1" applyFont="1" applyBorder="1">
      <alignment vertical="center"/>
    </xf>
    <xf numFmtId="182" fontId="38" fillId="0" borderId="35" xfId="22" applyNumberFormat="1" applyFont="1" applyBorder="1" applyAlignment="1">
      <alignment vertical="center" wrapText="1"/>
    </xf>
    <xf numFmtId="0" fontId="38" fillId="0" borderId="36" xfId="22" applyFont="1" applyBorder="1" applyAlignment="1">
      <alignment horizontal="center" vertical="center"/>
    </xf>
    <xf numFmtId="0" fontId="38" fillId="0" borderId="37" xfId="22" applyFont="1" applyBorder="1">
      <alignment vertical="center"/>
    </xf>
    <xf numFmtId="14" fontId="38" fillId="0" borderId="32" xfId="22" applyNumberFormat="1" applyFont="1" applyBorder="1" applyAlignment="1">
      <alignment horizontal="center" vertical="center"/>
    </xf>
    <xf numFmtId="184" fontId="38" fillId="0" borderId="32" xfId="22" applyNumberFormat="1" applyFont="1" applyBorder="1">
      <alignment vertical="center"/>
    </xf>
    <xf numFmtId="183" fontId="38" fillId="0" borderId="32" xfId="22" applyNumberFormat="1" applyFont="1" applyBorder="1">
      <alignment vertical="center"/>
    </xf>
    <xf numFmtId="0" fontId="40" fillId="10" borderId="38" xfId="22" applyFont="1" applyFill="1" applyBorder="1" applyAlignment="1">
      <alignment horizontal="center" vertical="center"/>
    </xf>
    <xf numFmtId="0" fontId="40" fillId="10" borderId="39" xfId="22" applyFont="1" applyFill="1" applyBorder="1" applyAlignment="1">
      <alignment horizontal="center" vertical="center"/>
    </xf>
    <xf numFmtId="0" fontId="40" fillId="10" borderId="40" xfId="22" applyFont="1" applyFill="1" applyBorder="1" applyAlignment="1">
      <alignment horizontal="center" vertical="center"/>
    </xf>
    <xf numFmtId="41" fontId="40" fillId="10" borderId="40" xfId="24" applyFont="1" applyFill="1" applyBorder="1">
      <alignment vertical="center"/>
    </xf>
    <xf numFmtId="182" fontId="40" fillId="10" borderId="41" xfId="22" applyNumberFormat="1" applyFont="1" applyFill="1" applyBorder="1">
      <alignment vertical="center"/>
    </xf>
    <xf numFmtId="183" fontId="34" fillId="0" borderId="0" xfId="16" applyNumberFormat="1">
      <alignment vertical="center"/>
    </xf>
    <xf numFmtId="0" fontId="58" fillId="0" borderId="0" xfId="25" applyFont="1" applyAlignment="1">
      <alignment horizontal="center" vertical="center"/>
    </xf>
    <xf numFmtId="0" fontId="47" fillId="0" borderId="0" xfId="26" applyFont="1">
      <alignment vertical="center"/>
    </xf>
    <xf numFmtId="0" fontId="47" fillId="0" borderId="0" xfId="27" applyFont="1">
      <alignment vertical="center"/>
    </xf>
    <xf numFmtId="180" fontId="59" fillId="0" borderId="0" xfId="27" applyNumberFormat="1" applyFont="1" applyAlignment="1">
      <alignment horizontal="center" vertical="center"/>
    </xf>
    <xf numFmtId="14" fontId="47" fillId="0" borderId="0" xfId="27" applyNumberFormat="1" applyFont="1" applyAlignment="1">
      <alignment horizontal="center" vertical="center"/>
    </xf>
    <xf numFmtId="0" fontId="47" fillId="0" borderId="0" xfId="27" applyFont="1" applyAlignment="1">
      <alignment horizontal="center" vertical="center"/>
    </xf>
    <xf numFmtId="41" fontId="47" fillId="0" borderId="0" xfId="13" applyFont="1" applyFill="1">
      <alignment vertical="center"/>
    </xf>
    <xf numFmtId="0" fontId="47" fillId="0" borderId="0" xfId="27" applyFont="1" applyAlignment="1">
      <alignment horizontal="right" vertical="center"/>
    </xf>
    <xf numFmtId="14" fontId="47" fillId="0" borderId="15" xfId="27" applyNumberFormat="1" applyFont="1" applyBorder="1" applyAlignment="1">
      <alignment horizontal="center" vertical="center"/>
    </xf>
    <xf numFmtId="180" fontId="47" fillId="0" borderId="15" xfId="27" applyNumberFormat="1" applyFont="1" applyBorder="1" applyAlignment="1">
      <alignment horizontal="center" vertical="center"/>
    </xf>
    <xf numFmtId="41" fontId="47" fillId="0" borderId="15" xfId="13" applyFont="1" applyBorder="1" applyAlignment="1">
      <alignment horizontal="center" vertical="center"/>
    </xf>
    <xf numFmtId="0" fontId="60" fillId="10" borderId="42" xfId="27" applyFont="1" applyFill="1" applyBorder="1" applyAlignment="1">
      <alignment horizontal="center" vertical="center"/>
    </xf>
    <xf numFmtId="0" fontId="60" fillId="10" borderId="17" xfId="27" applyFont="1" applyFill="1" applyBorder="1" applyAlignment="1">
      <alignment horizontal="center" vertical="center"/>
    </xf>
    <xf numFmtId="14" fontId="60" fillId="10" borderId="18" xfId="27" applyNumberFormat="1" applyFont="1" applyFill="1" applyBorder="1" applyAlignment="1">
      <alignment horizontal="center" vertical="center"/>
    </xf>
    <xf numFmtId="0" fontId="60" fillId="10" borderId="18" xfId="27" applyFont="1" applyFill="1" applyBorder="1" applyAlignment="1">
      <alignment horizontal="center" vertical="center"/>
    </xf>
    <xf numFmtId="0" fontId="60" fillId="10" borderId="19" xfId="27" applyFont="1" applyFill="1" applyBorder="1" applyAlignment="1">
      <alignment horizontal="center" vertical="center"/>
    </xf>
    <xf numFmtId="41" fontId="60" fillId="10" borderId="19" xfId="13" applyFont="1" applyFill="1" applyBorder="1" applyAlignment="1">
      <alignment horizontal="center" vertical="center"/>
    </xf>
    <xf numFmtId="0" fontId="46" fillId="0" borderId="0" xfId="27" applyFont="1">
      <alignment vertical="center"/>
    </xf>
    <xf numFmtId="0" fontId="61" fillId="0" borderId="43" xfId="27" applyFont="1" applyBorder="1" applyAlignment="1">
      <alignment horizontal="center" vertical="center"/>
    </xf>
    <xf numFmtId="0" fontId="61" fillId="0" borderId="44" xfId="27" applyFont="1" applyBorder="1">
      <alignment vertical="center"/>
    </xf>
    <xf numFmtId="14" fontId="61" fillId="0" borderId="44" xfId="27" applyNumberFormat="1" applyFont="1" applyBorder="1" applyAlignment="1">
      <alignment horizontal="center" vertical="center"/>
    </xf>
    <xf numFmtId="183" fontId="61" fillId="0" borderId="44" xfId="27" applyNumberFormat="1" applyFont="1" applyBorder="1" applyAlignment="1">
      <alignment horizontal="center" vertical="center"/>
    </xf>
    <xf numFmtId="183" fontId="61" fillId="0" borderId="44" xfId="27" applyNumberFormat="1" applyFont="1" applyBorder="1" applyAlignment="1">
      <alignment horizontal="left" vertical="center"/>
    </xf>
    <xf numFmtId="41" fontId="61" fillId="0" borderId="44" xfId="13" applyFont="1" applyFill="1" applyBorder="1" applyAlignment="1">
      <alignment horizontal="center" vertical="center"/>
    </xf>
    <xf numFmtId="0" fontId="61" fillId="0" borderId="0" xfId="27" applyFont="1">
      <alignment vertical="center"/>
    </xf>
    <xf numFmtId="0" fontId="60" fillId="10" borderId="45" xfId="27" applyFont="1" applyFill="1" applyBorder="1" applyAlignment="1">
      <alignment horizontal="center" vertical="center"/>
    </xf>
    <xf numFmtId="0" fontId="60" fillId="10" borderId="15" xfId="27" applyFont="1" applyFill="1" applyBorder="1" applyAlignment="1">
      <alignment horizontal="center" vertical="center"/>
    </xf>
    <xf numFmtId="0" fontId="60" fillId="10" borderId="46" xfId="27" applyFont="1" applyFill="1" applyBorder="1" applyAlignment="1">
      <alignment horizontal="center" vertical="center"/>
    </xf>
    <xf numFmtId="0" fontId="60" fillId="10" borderId="47" xfId="27" applyFont="1" applyFill="1" applyBorder="1">
      <alignment vertical="center"/>
    </xf>
    <xf numFmtId="41" fontId="60" fillId="10" borderId="47" xfId="13" applyFont="1" applyFill="1" applyBorder="1" applyAlignment="1">
      <alignment vertical="center"/>
    </xf>
    <xf numFmtId="41" fontId="47" fillId="0" borderId="0" xfId="27" applyNumberFormat="1" applyFont="1">
      <alignment vertical="center"/>
    </xf>
    <xf numFmtId="14" fontId="46" fillId="0" borderId="0" xfId="27" applyNumberFormat="1" applyFont="1" applyAlignment="1">
      <alignment horizontal="center" vertical="center"/>
    </xf>
    <xf numFmtId="0" fontId="46" fillId="0" borderId="0" xfId="27" applyFont="1" applyAlignment="1">
      <alignment horizontal="center" vertical="center"/>
    </xf>
    <xf numFmtId="41" fontId="46" fillId="0" borderId="0" xfId="13" applyFont="1">
      <alignment vertical="center"/>
    </xf>
    <xf numFmtId="41" fontId="46" fillId="0" borderId="0" xfId="27" applyNumberFormat="1" applyFont="1">
      <alignment vertical="center"/>
    </xf>
    <xf numFmtId="41" fontId="46" fillId="0" borderId="0" xfId="13" applyFont="1" applyFill="1">
      <alignment vertical="center"/>
    </xf>
    <xf numFmtId="0" fontId="62" fillId="0" borderId="0" xfId="16" applyFont="1" applyAlignment="1">
      <alignment horizontal="center" vertical="center"/>
    </xf>
    <xf numFmtId="0" fontId="63" fillId="0" borderId="0" xfId="16" applyFont="1">
      <alignment vertical="center"/>
    </xf>
    <xf numFmtId="0" fontId="64" fillId="0" borderId="21" xfId="16" applyFont="1" applyBorder="1" applyAlignment="1">
      <alignment horizontal="center" vertical="center" shrinkToFit="1"/>
    </xf>
    <xf numFmtId="41" fontId="63" fillId="0" borderId="0" xfId="29" applyFont="1" applyFill="1">
      <alignment vertical="center"/>
    </xf>
    <xf numFmtId="180" fontId="59" fillId="0" borderId="0" xfId="31" applyNumberFormat="1" applyFont="1" applyAlignment="1">
      <alignment horizontal="center" vertical="center"/>
    </xf>
    <xf numFmtId="0" fontId="47" fillId="0" borderId="0" xfId="16" applyFont="1" applyAlignment="1">
      <alignment horizontal="left" vertical="center"/>
    </xf>
    <xf numFmtId="0" fontId="47" fillId="0" borderId="0" xfId="16" applyFont="1" applyAlignment="1">
      <alignment horizontal="left" vertical="center" shrinkToFit="1"/>
    </xf>
    <xf numFmtId="0" fontId="47" fillId="0" borderId="0" xfId="16" applyFont="1" applyAlignment="1">
      <alignment horizontal="right" vertical="center"/>
    </xf>
    <xf numFmtId="0" fontId="47" fillId="0" borderId="0" xfId="16" applyFont="1" applyAlignment="1">
      <alignment horizontal="center" vertical="center"/>
    </xf>
    <xf numFmtId="0" fontId="47" fillId="0" borderId="0" xfId="16" applyFont="1" applyAlignment="1">
      <alignment horizontal="center" vertical="center" shrinkToFit="1"/>
    </xf>
    <xf numFmtId="41" fontId="47" fillId="0" borderId="0" xfId="29" applyFont="1" applyFill="1" applyAlignment="1">
      <alignment vertical="center"/>
    </xf>
    <xf numFmtId="14" fontId="47" fillId="0" borderId="0" xfId="16" applyNumberFormat="1" applyFont="1" applyAlignment="1">
      <alignment horizontal="center" vertical="center"/>
    </xf>
    <xf numFmtId="0" fontId="47" fillId="0" borderId="0" xfId="16" applyFont="1">
      <alignment vertical="center"/>
    </xf>
    <xf numFmtId="41" fontId="47" fillId="0" borderId="0" xfId="29" applyFont="1" applyFill="1" applyAlignment="1">
      <alignment vertical="center" shrinkToFit="1"/>
    </xf>
    <xf numFmtId="0" fontId="60" fillId="10" borderId="48" xfId="16" applyFont="1" applyFill="1" applyBorder="1" applyAlignment="1">
      <alignment horizontal="center" vertical="center"/>
    </xf>
    <xf numFmtId="0" fontId="60" fillId="10" borderId="62" xfId="16" applyFont="1" applyFill="1" applyBorder="1" applyAlignment="1">
      <alignment horizontal="center" vertical="center" shrinkToFit="1"/>
    </xf>
    <xf numFmtId="0" fontId="60" fillId="10" borderId="49" xfId="16" applyFont="1" applyFill="1" applyBorder="1" applyAlignment="1">
      <alignment horizontal="center" vertical="center"/>
    </xf>
    <xf numFmtId="41" fontId="60" fillId="10" borderId="49" xfId="29" applyFont="1" applyFill="1" applyBorder="1" applyAlignment="1">
      <alignment horizontal="center" vertical="center"/>
    </xf>
    <xf numFmtId="14" fontId="60" fillId="10" borderId="49" xfId="16" applyNumberFormat="1" applyFont="1" applyFill="1" applyBorder="1" applyAlignment="1">
      <alignment horizontal="center" vertical="center"/>
    </xf>
    <xf numFmtId="41" fontId="60" fillId="10" borderId="49" xfId="29" applyFont="1" applyFill="1" applyBorder="1" applyAlignment="1">
      <alignment horizontal="center" vertical="center" shrinkToFit="1"/>
    </xf>
    <xf numFmtId="0" fontId="60" fillId="10" borderId="50" xfId="16" applyFont="1" applyFill="1" applyBorder="1" applyAlignment="1">
      <alignment horizontal="center" vertical="center"/>
    </xf>
    <xf numFmtId="0" fontId="63" fillId="0" borderId="0" xfId="16" applyFont="1" applyAlignment="1">
      <alignment horizontal="center" vertical="center"/>
    </xf>
    <xf numFmtId="41" fontId="63" fillId="0" borderId="0" xfId="29" applyFont="1" applyFill="1" applyAlignment="1">
      <alignment horizontal="center" vertical="center"/>
    </xf>
    <xf numFmtId="0" fontId="46" fillId="0" borderId="51" xfId="16" applyFont="1" applyBorder="1" applyAlignment="1">
      <alignment horizontal="center" vertical="center"/>
    </xf>
    <xf numFmtId="0" fontId="46" fillId="0" borderId="54" xfId="16" applyFont="1" applyBorder="1" applyAlignment="1">
      <alignment horizontal="center" vertical="center" shrinkToFit="1"/>
    </xf>
    <xf numFmtId="0" fontId="46" fillId="0" borderId="44" xfId="16" applyFont="1" applyBorder="1" applyAlignment="1">
      <alignment horizontal="center" vertical="center"/>
    </xf>
    <xf numFmtId="41" fontId="46" fillId="0" borderId="44" xfId="29" applyFont="1" applyFill="1" applyBorder="1" applyAlignment="1">
      <alignment vertical="center"/>
    </xf>
    <xf numFmtId="14" fontId="46" fillId="0" borderId="44" xfId="16" applyNumberFormat="1" applyFont="1" applyBorder="1" applyAlignment="1">
      <alignment horizontal="center" vertical="center"/>
    </xf>
    <xf numFmtId="0" fontId="46" fillId="0" borderId="44" xfId="16" applyFont="1" applyBorder="1">
      <alignment vertical="center"/>
    </xf>
    <xf numFmtId="41" fontId="46" fillId="0" borderId="44" xfId="29" applyFont="1" applyFill="1" applyBorder="1" applyAlignment="1">
      <alignment vertical="center" shrinkToFit="1"/>
    </xf>
    <xf numFmtId="0" fontId="46" fillId="0" borderId="52" xfId="16" applyFont="1" applyBorder="1" applyAlignment="1">
      <alignment horizontal="center" vertical="center"/>
    </xf>
    <xf numFmtId="0" fontId="65" fillId="0" borderId="0" xfId="16" applyFont="1">
      <alignment vertical="center"/>
    </xf>
    <xf numFmtId="41" fontId="65" fillId="0" borderId="0" xfId="29" applyFont="1" applyFill="1" applyAlignment="1">
      <alignment vertical="center"/>
    </xf>
    <xf numFmtId="0" fontId="46" fillId="0" borderId="53" xfId="16" applyFont="1" applyBorder="1" applyAlignment="1">
      <alignment horizontal="center" vertical="center"/>
    </xf>
    <xf numFmtId="0" fontId="46" fillId="0" borderId="56" xfId="16" applyFont="1" applyBorder="1">
      <alignment vertical="center"/>
    </xf>
    <xf numFmtId="0" fontId="47" fillId="13" borderId="57" xfId="16" applyFont="1" applyFill="1" applyBorder="1" applyAlignment="1">
      <alignment horizontal="center" vertical="center"/>
    </xf>
    <xf numFmtId="0" fontId="47" fillId="13" borderId="54" xfId="16" applyFont="1" applyFill="1" applyBorder="1" applyAlignment="1">
      <alignment horizontal="centerContinuous" vertical="center"/>
    </xf>
    <xf numFmtId="0" fontId="47" fillId="13" borderId="44" xfId="16" applyFont="1" applyFill="1" applyBorder="1" applyAlignment="1">
      <alignment horizontal="centerContinuous" vertical="center"/>
    </xf>
    <xf numFmtId="0" fontId="47" fillId="13" borderId="44" xfId="16" applyFont="1" applyFill="1" applyBorder="1" applyAlignment="1">
      <alignment horizontal="center" vertical="center"/>
    </xf>
    <xf numFmtId="41" fontId="47" fillId="13" borderId="44" xfId="29" applyFont="1" applyFill="1" applyBorder="1" applyAlignment="1">
      <alignment vertical="center" shrinkToFit="1"/>
    </xf>
    <xf numFmtId="0" fontId="47" fillId="13" borderId="52" xfId="16" applyFont="1" applyFill="1" applyBorder="1" applyAlignment="1">
      <alignment horizontal="center" vertical="center"/>
    </xf>
    <xf numFmtId="0" fontId="47" fillId="0" borderId="57" xfId="16" applyFont="1" applyBorder="1" applyAlignment="1">
      <alignment horizontal="center" vertical="center"/>
    </xf>
    <xf numFmtId="0" fontId="47" fillId="0" borderId="54" xfId="16" applyFont="1" applyBorder="1" applyAlignment="1">
      <alignment horizontal="centerContinuous" vertical="center"/>
    </xf>
    <xf numFmtId="0" fontId="47" fillId="0" borderId="44" xfId="16" applyFont="1" applyBorder="1" applyAlignment="1">
      <alignment horizontal="centerContinuous" vertical="center"/>
    </xf>
    <xf numFmtId="41" fontId="47" fillId="0" borderId="44" xfId="29" applyFont="1" applyFill="1" applyBorder="1" applyAlignment="1">
      <alignment vertical="center" shrinkToFit="1"/>
    </xf>
    <xf numFmtId="0" fontId="47" fillId="0" borderId="52" xfId="16" applyFont="1" applyBorder="1" applyAlignment="1">
      <alignment horizontal="center" vertical="center"/>
    </xf>
    <xf numFmtId="0" fontId="46" fillId="0" borderId="57" xfId="16" applyFont="1" applyBorder="1" applyAlignment="1">
      <alignment horizontal="center" vertical="center"/>
    </xf>
    <xf numFmtId="41" fontId="63" fillId="0" borderId="0" xfId="16" applyNumberFormat="1" applyFont="1">
      <alignment vertical="center"/>
    </xf>
    <xf numFmtId="41" fontId="65" fillId="0" borderId="0" xfId="16" applyNumberFormat="1" applyFont="1">
      <alignment vertical="center"/>
    </xf>
    <xf numFmtId="0" fontId="46" fillId="0" borderId="51" xfId="16" applyFont="1" applyBorder="1" applyAlignment="1">
      <alignment horizontal="center" vertical="center"/>
    </xf>
    <xf numFmtId="0" fontId="46" fillId="0" borderId="44" xfId="16" applyFont="1" applyBorder="1" applyAlignment="1">
      <alignment horizontal="centerContinuous" vertical="center"/>
    </xf>
    <xf numFmtId="0" fontId="46" fillId="0" borderId="44" xfId="16" applyFont="1" applyBorder="1" applyAlignment="1">
      <alignment horizontal="left" vertical="center"/>
    </xf>
    <xf numFmtId="41" fontId="63" fillId="0" borderId="0" xfId="29" applyFont="1" applyFill="1" applyAlignment="1">
      <alignment vertical="center"/>
    </xf>
    <xf numFmtId="0" fontId="63" fillId="0" borderId="13" xfId="16" applyFont="1" applyBorder="1">
      <alignment vertical="center"/>
    </xf>
    <xf numFmtId="0" fontId="46" fillId="0" borderId="55" xfId="16" applyFont="1" applyBorder="1" applyAlignment="1">
      <alignment horizontal="center" vertical="center"/>
    </xf>
    <xf numFmtId="0" fontId="47" fillId="13" borderId="57" xfId="16" applyFont="1" applyFill="1" applyBorder="1" applyAlignment="1">
      <alignment horizontal="centerContinuous" vertical="center"/>
    </xf>
    <xf numFmtId="41" fontId="47" fillId="13" borderId="63" xfId="29" applyFont="1" applyFill="1" applyBorder="1" applyAlignment="1">
      <alignment vertical="center" shrinkToFit="1"/>
    </xf>
    <xf numFmtId="0" fontId="47" fillId="13" borderId="64" xfId="16" applyFont="1" applyFill="1" applyBorder="1" applyAlignment="1">
      <alignment horizontal="center" vertical="center"/>
    </xf>
    <xf numFmtId="41" fontId="46" fillId="0" borderId="0" xfId="29" applyFont="1" applyFill="1" applyBorder="1" applyAlignment="1">
      <alignment vertical="center"/>
    </xf>
    <xf numFmtId="0" fontId="46" fillId="0" borderId="0" xfId="16" applyFont="1" applyAlignment="1">
      <alignment horizontal="center" vertical="center"/>
    </xf>
    <xf numFmtId="0" fontId="60" fillId="10" borderId="58" xfId="16" applyFont="1" applyFill="1" applyBorder="1" applyAlignment="1">
      <alignment horizontal="centerContinuous" vertical="center"/>
    </xf>
    <xf numFmtId="0" fontId="60" fillId="10" borderId="59" xfId="16" applyFont="1" applyFill="1" applyBorder="1" applyAlignment="1">
      <alignment horizontal="centerContinuous" vertical="center"/>
    </xf>
    <xf numFmtId="0" fontId="60" fillId="10" borderId="60" xfId="16" applyFont="1" applyFill="1" applyBorder="1" applyAlignment="1">
      <alignment horizontal="center" vertical="center"/>
    </xf>
    <xf numFmtId="0" fontId="60" fillId="10" borderId="60" xfId="16" applyFont="1" applyFill="1" applyBorder="1" applyAlignment="1">
      <alignment horizontal="centerContinuous" vertical="center"/>
    </xf>
    <xf numFmtId="41" fontId="66" fillId="10" borderId="60" xfId="29" applyFont="1" applyFill="1" applyBorder="1" applyAlignment="1">
      <alignment vertical="center" shrinkToFit="1"/>
    </xf>
    <xf numFmtId="0" fontId="60" fillId="10" borderId="61" xfId="16" applyFont="1" applyFill="1" applyBorder="1" applyAlignment="1">
      <alignment horizontal="center" vertical="center"/>
    </xf>
    <xf numFmtId="41" fontId="63" fillId="0" borderId="0" xfId="29" applyFont="1" applyFill="1" applyBorder="1" applyAlignment="1">
      <alignment vertical="center"/>
    </xf>
    <xf numFmtId="0" fontId="46" fillId="0" borderId="0" xfId="16" applyFont="1" applyAlignment="1">
      <alignment horizontal="center" vertical="center" shrinkToFit="1"/>
    </xf>
    <xf numFmtId="41" fontId="46" fillId="0" borderId="0" xfId="29" applyFont="1" applyFill="1" applyAlignment="1">
      <alignment vertical="center"/>
    </xf>
    <xf numFmtId="14" fontId="46" fillId="0" borderId="0" xfId="16" applyNumberFormat="1" applyFont="1" applyAlignment="1">
      <alignment horizontal="center" vertical="center"/>
    </xf>
    <xf numFmtId="0" fontId="46" fillId="0" borderId="0" xfId="16" applyFont="1">
      <alignment vertical="center"/>
    </xf>
    <xf numFmtId="41" fontId="46" fillId="0" borderId="0" xfId="29" applyFont="1" applyFill="1" applyAlignment="1">
      <alignment vertical="center" shrinkToFit="1"/>
    </xf>
    <xf numFmtId="41" fontId="65" fillId="0" borderId="0" xfId="29" applyFont="1" applyFill="1">
      <alignment vertical="center"/>
    </xf>
    <xf numFmtId="41" fontId="65" fillId="0" borderId="0" xfId="29" applyFont="1" applyFill="1" applyAlignment="1">
      <alignment horizontal="right" vertical="center"/>
    </xf>
    <xf numFmtId="41" fontId="63" fillId="0" borderId="0" xfId="29" applyFont="1" applyFill="1" applyAlignment="1">
      <alignment horizontal="right" vertical="center"/>
    </xf>
    <xf numFmtId="0" fontId="25" fillId="7" borderId="2" xfId="0" applyFont="1" applyFill="1" applyBorder="1"/>
    <xf numFmtId="0" fontId="29" fillId="0" borderId="4" xfId="0" applyFont="1" applyBorder="1"/>
    <xf numFmtId="0" fontId="29" fillId="0" borderId="5" xfId="0" applyFont="1" applyBorder="1"/>
    <xf numFmtId="0" fontId="68" fillId="14" borderId="65" xfId="0" applyFont="1" applyFill="1" applyBorder="1" applyAlignment="1">
      <alignment horizontal="right" vertical="center"/>
    </xf>
    <xf numFmtId="0" fontId="68" fillId="14" borderId="66" xfId="0" applyFont="1" applyFill="1" applyBorder="1" applyAlignment="1">
      <alignment horizontal="right" vertical="center"/>
    </xf>
    <xf numFmtId="0" fontId="68" fillId="14" borderId="67" xfId="0" applyFont="1" applyFill="1" applyBorder="1" applyAlignment="1">
      <alignment horizontal="right" vertical="center"/>
    </xf>
    <xf numFmtId="0" fontId="68" fillId="14" borderId="68" xfId="0" applyFont="1" applyFill="1" applyBorder="1" applyAlignment="1">
      <alignment horizontal="center" vertical="center"/>
    </xf>
    <xf numFmtId="0" fontId="68" fillId="14" borderId="69" xfId="0" applyFont="1" applyFill="1" applyBorder="1" applyAlignment="1">
      <alignment horizontal="center" vertical="center"/>
    </xf>
    <xf numFmtId="0" fontId="68" fillId="14" borderId="70" xfId="0" applyFont="1" applyFill="1" applyBorder="1" applyAlignment="1">
      <alignment horizontal="center" vertical="center"/>
    </xf>
    <xf numFmtId="0" fontId="68" fillId="14" borderId="71" xfId="0" applyFont="1" applyFill="1" applyBorder="1" applyAlignment="1">
      <alignment horizontal="center" vertical="center"/>
    </xf>
    <xf numFmtId="0" fontId="68" fillId="14" borderId="72" xfId="0" applyFont="1" applyFill="1" applyBorder="1" applyAlignment="1">
      <alignment horizontal="center" vertical="center"/>
    </xf>
    <xf numFmtId="0" fontId="68" fillId="14" borderId="73" xfId="0" applyFont="1" applyFill="1" applyBorder="1" applyAlignment="1">
      <alignment horizontal="center" vertical="center"/>
    </xf>
    <xf numFmtId="0" fontId="68" fillId="14" borderId="74" xfId="0" applyFont="1" applyFill="1" applyBorder="1" applyAlignment="1">
      <alignment horizontal="center" vertical="center"/>
    </xf>
    <xf numFmtId="0" fontId="68" fillId="14" borderId="75" xfId="0" applyFont="1" applyFill="1" applyBorder="1" applyAlignment="1">
      <alignment horizontal="center" vertical="center"/>
    </xf>
    <xf numFmtId="0" fontId="69" fillId="0" borderId="76" xfId="0" applyFont="1" applyBorder="1" applyAlignment="1">
      <alignment horizontal="left" vertical="top"/>
    </xf>
    <xf numFmtId="38" fontId="69" fillId="0" borderId="74" xfId="0" applyNumberFormat="1" applyFont="1" applyBorder="1" applyAlignment="1">
      <alignment horizontal="right" vertical="center"/>
    </xf>
    <xf numFmtId="38" fontId="69" fillId="0" borderId="75" xfId="0" applyNumberFormat="1" applyFont="1" applyBorder="1" applyAlignment="1">
      <alignment horizontal="right" vertical="center"/>
    </xf>
    <xf numFmtId="38" fontId="69" fillId="12" borderId="74" xfId="0" applyNumberFormat="1" applyFont="1" applyFill="1" applyBorder="1" applyAlignment="1">
      <alignment horizontal="right" vertical="center"/>
    </xf>
    <xf numFmtId="0" fontId="68" fillId="14" borderId="8" xfId="0" applyFont="1" applyFill="1" applyBorder="1" applyAlignment="1">
      <alignment horizontal="right" vertical="center"/>
    </xf>
    <xf numFmtId="0" fontId="68" fillId="14" borderId="8" xfId="0" applyFont="1" applyFill="1" applyBorder="1" applyAlignment="1">
      <alignment horizontal="center" vertical="top"/>
    </xf>
    <xf numFmtId="0" fontId="68" fillId="14" borderId="8" xfId="0" applyFont="1" applyFill="1" applyBorder="1" applyAlignment="1">
      <alignment horizontal="center" vertical="top"/>
    </xf>
    <xf numFmtId="0" fontId="69" fillId="0" borderId="8" xfId="0" applyFont="1" applyBorder="1" applyAlignment="1">
      <alignment horizontal="left" vertical="top"/>
    </xf>
    <xf numFmtId="38" fontId="69" fillId="0" borderId="8" xfId="0" applyNumberFormat="1" applyFont="1" applyBorder="1" applyAlignment="1">
      <alignment horizontal="right" vertical="top"/>
    </xf>
    <xf numFmtId="38" fontId="70" fillId="0" borderId="8" xfId="0" applyNumberFormat="1" applyFont="1" applyBorder="1" applyAlignment="1">
      <alignment vertical="center"/>
    </xf>
    <xf numFmtId="38" fontId="69" fillId="12" borderId="8" xfId="0" applyNumberFormat="1" applyFont="1" applyFill="1" applyBorder="1" applyAlignment="1">
      <alignment horizontal="right" vertical="top"/>
    </xf>
  </cellXfs>
  <cellStyles count="35">
    <cellStyle name="쉼표 [0]" xfId="1" builtinId="6"/>
    <cellStyle name="쉼표 [0] 12 2" xfId="14" xr:uid="{8638453F-2F43-4C89-BE68-62097EC4FD00}"/>
    <cellStyle name="쉼표 [0] 2" xfId="6" xr:uid="{C7B58E65-7FED-43FB-B36E-4387831F1CBB}"/>
    <cellStyle name="쉼표 [0] 2 2" xfId="7" xr:uid="{C7F1C096-6250-4EB7-83D2-51D8D4704D87}"/>
    <cellStyle name="쉼표 [0] 2 2 2" xfId="9" xr:uid="{9123B1C0-BBF3-4413-BF95-7249889CB962}"/>
    <cellStyle name="쉼표 [0] 2 2 2 2" xfId="33" xr:uid="{7F865F61-D020-438E-83FE-AC6FE4659786}"/>
    <cellStyle name="쉼표 [0] 2 2 3" xfId="5" xr:uid="{0741AEE0-C3B4-448F-96E3-8BD1EFB20A7A}"/>
    <cellStyle name="쉼표 [0] 2 2 3 2" xfId="34" xr:uid="{9746F1A6-DA10-4865-AF7F-B1F2863729A2}"/>
    <cellStyle name="쉼표 [0] 2 2 4" xfId="30" xr:uid="{501D02A3-30D3-4972-B180-3DEDD25C4E32}"/>
    <cellStyle name="쉼표 [0] 2 45" xfId="29" xr:uid="{5AF4FAEF-74B5-465F-931D-8A1C06F4DBB3}"/>
    <cellStyle name="쉼표 [0] 21" xfId="24" xr:uid="{0A6925A3-BB6E-4433-AB23-DDC9F4E9DBBE}"/>
    <cellStyle name="쉼표 [0] 3 3" xfId="13" xr:uid="{F91C1CD0-9FDC-4CE3-8BC1-EC92639483E4}"/>
    <cellStyle name="쉼표 [0] 30" xfId="21" xr:uid="{14132AE3-7FFD-4260-A9A1-BEC6D6D07E33}"/>
    <cellStyle name="쉼표 [0] 4" xfId="19" xr:uid="{ECAB8D65-615B-4A59-9F84-FD7284A7A29A}"/>
    <cellStyle name="표준" xfId="0" builtinId="0"/>
    <cellStyle name="표준 108" xfId="17" xr:uid="{697ACD93-096F-4119-BC65-0968DB066059}"/>
    <cellStyle name="표준 109" xfId="20" xr:uid="{34BF810C-2DC1-409E-A45B-AFDE9CC01E75}"/>
    <cellStyle name="표준 12" xfId="10" xr:uid="{465AC4EC-24A0-4B70-90EC-F9B50EFC4D45}"/>
    <cellStyle name="표준 15 2 2 2" xfId="28" xr:uid="{0FE56C3D-8E62-4164-B82C-27A8CB36DFB8}"/>
    <cellStyle name="표준 15 2 3" xfId="22" xr:uid="{EFF5EE01-9052-4119-A31F-D87BF5D20257}"/>
    <cellStyle name="표준 15 2 3 2" xfId="26" xr:uid="{E1AE7113-0B06-4C00-8BFA-65CE4F90F946}"/>
    <cellStyle name="표준 15 2 4" xfId="27" xr:uid="{C2A655E4-F33B-43B8-8182-248A9A22A5F0}"/>
    <cellStyle name="표준 15 2 5" xfId="32" xr:uid="{841556C2-281D-402C-B101-3462B21CAFDE}"/>
    <cellStyle name="표준 2" xfId="2" xr:uid="{00000000-0005-0000-0000-000002000000}"/>
    <cellStyle name="표준 2 2" xfId="8" xr:uid="{AB591C46-DCD4-4627-8620-5AF45E0762F8}"/>
    <cellStyle name="표준 2 43" xfId="15" xr:uid="{06E239E4-1264-4590-B1DC-61E3B9D998E3}"/>
    <cellStyle name="표준 2 44" xfId="31" xr:uid="{ACD5523A-039E-4E85-9DCB-7A8C2056410B}"/>
    <cellStyle name="표준 2 45" xfId="12" xr:uid="{18C47D36-0AEB-45B0-BD7D-D874F406E22A}"/>
    <cellStyle name="표준 3" xfId="3" xr:uid="{00000000-0005-0000-0000-000004000000}"/>
    <cellStyle name="표준 4" xfId="11" xr:uid="{AB50E89A-8E0A-4456-9639-316ACF44877D}"/>
    <cellStyle name="표준 4 5" xfId="4" xr:uid="{7200522C-DA69-4976-9ADD-437A09145B5F}"/>
    <cellStyle name="표준 5" xfId="16" xr:uid="{EC1BF902-9005-4590-887D-CBEBE4CEFD67}"/>
    <cellStyle name="표준 5 2" xfId="18" xr:uid="{030739BC-65F3-40C2-90B7-B0B160A4ACF5}"/>
    <cellStyle name="표준 64" xfId="23" xr:uid="{44465BA5-F990-43F0-B903-56145FEDCFF5}"/>
    <cellStyle name="하이퍼링크 2" xfId="25" xr:uid="{DEE0D56D-72C6-41F0-9676-7CBBC0151A33}"/>
  </cellStyles>
  <dxfs count="2">
    <dxf>
      <font>
        <b/>
        <i/>
        <color rgb="FF00B0F0"/>
      </font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3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56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26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44221;&#45224;&#51228;&#50557;/26&#45380;/&#48152;&#44592;/&#54924;&#49324;&#51228;&#49884;_&#48152;&#44592;/&#51116;&#47924;&#51228;&#54364;%20&#48143;%20&#44208;&#49328;&#49436;/4.%202026_06M%20&#51092;&#50529;&#47749;&#49464;&#49436;(&#48512;&#52292;)_v1_123115.xlsx" TargetMode="External"/><Relationship Id="rId2" Type="http://schemas.openxmlformats.org/officeDocument/2006/relationships/externalLinkPath" Target="file:///D:\Users\lbh00\OneDrive\&#47928;&#49436;\&#44048;&#49324;\&#44221;&#45224;&#51228;&#50557;\26&#45380;\&#48152;&#44592;\&#54924;&#49324;&#51228;&#49884;_&#48152;&#44592;\&#51116;&#47924;&#51228;&#54364;%20&#48143;%20&#44208;&#49328;&#49436;\4.%202026_06M%20&#51092;&#50529;&#47749;&#49464;&#49436;(&#48512;&#52292;)_v1_123115.xlsx" TargetMode="External"/><Relationship Id="rId1" Type="http://schemas.openxmlformats.org/officeDocument/2006/relationships/externalLinkPath" Target="/Users/lbh00/OneDrive/&#47928;&#49436;/&#44048;&#49324;/&#44221;&#45224;&#51228;&#50557;/26&#45380;/&#48152;&#44592;/&#54924;&#49324;&#51228;&#49884;_&#48152;&#44592;/&#51116;&#47924;&#51228;&#54364;%20&#48143;%20&#44208;&#49328;&#49436;/4.%202026_06M%20&#51092;&#50529;&#47749;&#49464;&#49436;(&#48512;&#52292;)_v1_1231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672;&#49689;\CLIENT\CLIENTS\Maa98\Maafs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672;&#49689;\CLIENT\CLASS\CLIENTS\Misung97\97audit\Maa97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SOFFICE\HEXCEL\REALMOSH\&#44148;&#44053;&#51452;&#44036;\&#50672;&#4697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44208;&#49328;\Audit\JPM\2002\Year_end\&#48372;&#44256;&#49436;&#44288;&#47144;\&#52572;&#49888;\2002JPMC%20FS(Final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windows\TEMP\chiyoung\Audit%20&amp;%20tax\&#45224;&#50689;&#51204;&#44396;\WF200\TMP\~TMP5043.$$$\&#44228;&#51221;&#44284;&#4778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imth\&#51076;&#44552;&#51088;&#47308;\&#44592;&#51456;\&#51068;&#44553;\DATA\&#51068;&#44553;&#54637;&#4778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ale%20&amp;%20Income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51077;&#51613;&#44048;&#49324;\DTT%20PACK\Substantive%20Analytical%20Procedures%20(Templat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Clients%201\&#50976;&#54204;&#49828;\2003\2003&#48152;&#44592;\windows\TEMP\chiyoung\Audit%20&amp;%20tax\&#45224;&#50689;&#51204;&#44396;\WF200\TMP\~TMP5043.$$$\&#44228;&#51221;&#44284;&#4778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50504;&#44148;&#51088;&#47308;&#49892;\&#44048;&#49324;&#48372;&#44256;&#49436;\&#49457;&#52285;&#50557;&#54408;\AHNKWON\REPORT\CROWN-C\CW-9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44208;&#49328;\My%20Documents\Non%20audit\&#50696;&#44552;&#48372;&#54744;&#44277;&#49324;\&#51228;&#51068;&#51008;&#54665;FIS\2001&#45380;3&#49324;&#48516;&#44592;\&#51008;&#54665;&#51228;&#49884;\&#44277;&#50976;\My-Sec\1999-12&#50900;\Security9912-&#51092;&#47448;&#4851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51221;&#49440;\&#49888;&#46041;&#51061;\WINDOWS\TEMP\&#48149;&#54872;&#44397;\BWM95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Clients%201\&#45824;&#50896;C&amp;A\2004&#45380;\2004.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BAEKINJOONG\aws\&#44048;&#49324;\&#44032;&#50640;&#49436;%20&#47532;\&#46160;&#49328;&#44148;&#49444;\2000\&#44592;&#47568;&#44048;&#49324;\MSOffice\Excel\COST02\&#51088;&#4730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6&#54840;&#44592;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ACT_MIS/Bonnie/SKLEE/Nov00/Korea30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Excel\LIK\OTH\Inv\00&#48152;&#44592;\&#51116;&#44256;&#51312;&#49324;9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CCOUNT\DEPE\96&#47749;&#494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1&#45380;&#48152;&#44592;&#44208;&#49328;\WINDOWS\TEMP\&#48149;&#54872;&#44397;\BWM95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44208;&#49328;\&#53945;&#49688;&#52292;&#44428;&#47588;&#44033;\&#51088;&#47928;&#49324;&#51228;&#52636;2\&#50689;&#45224;&#48376;&#48512;(Regular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50948;&#46300;\CLIENT\&#50976;&#54148;&#49828;\2004\2004&#44592;&#47568;\windows\TEMP\chiyoung\Audit%20&amp;%20tax\&#45224;&#50689;&#51204;&#44396;\WF200\TMP\~TMP5043.$$$\&#44228;&#51221;&#44284;&#4778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BAEKINJOONG\aws\EXCEL\RegionData\Oct\SW-10&#50900;%20&#44208;&#49328;&#51088;&#4730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48176;&#49457;&#44508;\AUDIT\&#48708;&#50656;&#44544;&#47196;&#48268;\&#48708;&#50656;0502(&#44592;&#47568;)-&#52572;&#51333;\My%20WorkPaper\5320%20&#47588;&#52636;&#52292;&#44428;%20Sub-Leadshee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ACT_MIS/Bonnie/SKLEE/Jan01/Korea29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a1kji\c\My%20Documents\HP\&#44592;&#47568;(01)\&#51228;&#47924;&#51116;&#54364;(&#51228;&#51312;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WINDOWS\TEMP\GAMxFiles\wzbpecbhsynmghder4f228vf6m7zyf8rb3kzxnaat9q9v7ypkkmc\2%202%2010\9142f3422dd44e96bc9ac0ff42b12d9c\2008_YE\E000_%20Lead_Account%20Receivable_Cambridge_2008123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5310%20&#47588;&#52636;&#52292;&#44428;%20&#51312;&#49436;(0312)(&#52280;&#44256;&#50857;)&#51032;%20&#50892;&#53356;&#49884;&#53944;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5810-1%20&#47924;&#54805;&#51088;&#49328;subleed&#51032;%20&#50892;&#53356;&#49884;&#53944;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5311%20&#47588;&#52636;&#52292;&#44428;%20&#51312;&#49436;&#51032;%20&#50892;&#53356;&#49884;&#53944;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5811%20&#47924;&#54805;&#51088;&#49328;%20Leadsheet&#51032;%20&#50892;&#53356;&#49884;&#53944;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45824;&#50864;\&#45824;&#50864;&#48516;&#44592;\&#51060;&#48337;&#49849;\5710-1%20&#50976;&#54805;&#51088;&#49328;%20Leadshee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chiyoung\Audit%20&amp;%20tax\&#45224;&#50689;&#51204;&#44396;\WF200\TMP\~TMP5043.$$$\&#44228;&#51221;&#44284;&#47785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1109\c\&#50504;&#48337;&#51068;\&#49464;&#48120;&#45208;\Realm%20O.S.H\97&#50696;&#49328;\97&#50696;\&#47588;&#52636;\&#51312;&#51649;&#48324;\&#47588;&#52636;&#52509;&#44292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INDOWS\TEMP\MSOFFICE\HEXCEL\REALMOSH\&#44148;&#44053;&#51452;&#44036;\&#50672;&#46973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&#44608;&#48124;&#44216;\&#47476;&#45348;&#49345;&#49828;%20&#48373;\WINDOWS\TEMP\apt%20f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w214\d\LSP%2098&#51060;&#51204;&#47928;&#49436;\97&#44208;&#49328;&#52572;&#51333;(&#54924;&#44228;&#54016;)\97&#45380;&#51228;4&#44592;&#51116;&#47924;&#51228;&#54364;(&#52636;&#47141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CLIENTS\&#47112;&#51060;&#51232;\2002.3&#48516;&#44592;\&#44048;&#49324;&#51312;&#49436;(AFILE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68;&#44592;\&#44277;&#50976;\&#50504;&#48337;&#51068;\&#49464;&#48120;&#45208;\Realm%20O.S.H\97&#50696;&#49328;\97&#50696;\&#47588;&#52636;\&#51312;&#51649;&#48324;\&#47588;&#52636;&#52509;&#442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50504;&#48337;&#51068;\&#49464;&#48120;&#45208;\Realm%20O.S.H\97&#50696;&#49328;\97&#50696;\&#47588;&#52636;\&#51312;&#51649;&#48324;\&#47588;&#52636;&#52509;&#44292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KHK\&#50696;&#49328;97\97&#49324;&#50629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BAEKINJOONG\aws\Documents%20and%20Settings\cdjin\My%20Documents\&#44048;&#49324;\&#52292;&#44428;&#52292;&#47924;&#51312;&#54924;\&#54400;&#47924;&#50896;&#45433;&#51609;\&#52292;&#44428;&#52292;&#47924;&#51312;&#54924;&#49436;&#52509;&#44292;&#54364;(&#54400;&#47924;&#50896;&#45433;&#51609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DOCUME~1/NETWAR~1/LOCALS~1/Temp/NOCR/#115~116_(0410NCR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BAEKINJOONG\aws\My%20Documents\&#51088;&#44552;&#50629;&#47924;\&#51068;&#51068;&#51088;&#44552;&#48372;&#44256;\01&#45380;11&#50900;\01&#45380;11&#50900;-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hhh\&#54224;&#44592;&#47932;&#51064;&#44228;&#49436;\2006&#45380;%20&#54224;&#44592;&#47932;%20&#51064;&#44228;&#49436;\2006&#45380;&#54224;&#44592;&#47932;&#51064;&#44228;&#45236;&#50669;&#54788;&#54889;(4&#50900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&#51060;&#44592;&#54868;\PBM&#51064;&#50896;&#54788;&#54889;\&#51312;&#51649;&#46020;\2000&#45380;%20&#51312;&#51649;&#48320;&#44221;%20&#44288;&#47144;\WINDOWS\TEMP\&#49552;&#51061;\97&#45380;&#49888;&#44228;&#54925;\&#50900;&#48324;\0JHKIM\&#54032;&#47588;\96\GC2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DATA\WINDOWS\TEMP\&#53748;&#51649;&#52628;&#4422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44208;&#49328;\&#53945;&#49688;&#52292;&#44428;&#47588;&#44033;\&#45432;&#53944;&#48513;\Data%20Disk%202\&#53945;&#49688;&#52292;&#4442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857;&#49437;\&#54016;&#48324;&#51228;&#52636;&#51088;&#47308;\&#51221;&#47532;&#44552;&#50997;&#44277;&#49324;\&#48512;&#46041;&#49328;\7.&#48372;&#54744;\2006&#45380;%20&#44032;&#51077;&#45236;&#50669;\&#54868;&#51116;&#48372;&#54744;&#44032;&#51077;&#50696;&#51221;(2006.03.15)&#50756;&#47308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Documents%20and%20Settings\sskim\&#48148;&#53461;%20&#54868;&#47732;\&#49464;&#50500;&#47700;&#53448;\2001&#45380;%20&#44592;&#47568;&#44048;&#49324;\&#47924;&#47548;&#51228;&#51648;\&#47924;&#47548;-&#52572;&#51333;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microsoft.com/office/2019/04/relationships/externalLinkLongPath" Target="http://210.107.66.51/Documents%20and%20Settings/hyahn/My%20Documents/&#51089;&#50629;file/Corporate%20Finance/Shadow/DITC/DITC_04.10.31/My%20Documents/Audit_working/Audit/DY2003/&#44592;&#47568;/&#54924;&#49324;&#51228;&#49884;&#51088;&#47308;/My%20Documents/&#54924;&#44228;&#44048;&#49324;/&#46041;&#51652;&#51060;&#44277;/&#44592;&#47568;&#44048;&#49324;/&#48372;&#44256;&#49436;/&#50629;&#47924;&#54260;&#45908;/&#44048;&#49324;&#48372;&#44256;&#49436;&#52572;&#51333;/JJang/KET/&#49340;&#54868;95.XLS?90C85E24" TargetMode="External"/><Relationship Id="rId1" Type="http://schemas.openxmlformats.org/officeDocument/2006/relationships/externalLinkPath" Target="file:///\\90C85E24\&#49340;&#54868;9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My%20Documents/Audit_working/Audit/DY2003/&#44592;&#47568;/&#54924;&#49324;&#51228;&#49884;&#51088;&#47308;/kbs/2000&#45380;%20&#51473;&#44036;&#44048;&#49324;/KET/&#49340;&#54868;9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0.107.66.51/Documents%20and%20Settings/hyahn/My%20Documents/&#51089;&#50629;file/Corporate%20Finance/Shadow/DITC/DITC_04.10.31/CgkimBox/KCG/XLS/&#44208;&#49328;(1999)/JJang/KETDATA/XLS/&#49340;&#54868;9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68;&#44592;\&#44277;&#50976;\EXCHANGE\WINDOWS\TEMP\MSOFFICE\HEXCEL\REALMOSH\&#44148;&#44053;&#51452;&#44036;\&#50672;&#46973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WINDOWS\TEMP\&#49552;&#51061;\97&#45380;&#49888;&#44228;&#54925;\&#50900;&#48324;\0JHKIM\&#54032;&#47588;\96\GC200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&#54644;&#50868;&#45824;&#51216;\ADATA\98FILE\3&#50900;\&#44368;&#53685;&#45824;&#52293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0857;&#51452;\98&#50696;&#49328;&#54200;\&#51228;&#51312;&#50896;&#44032;\&#47749;&#44032;\&#44036;&#48512;&#49464;&#4812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9\&#51116;&#47924;&#54016;\My%20Documents\&#44552;&#54840;MDI\99&#51473;&#44036;&#44208;&#4932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340;&#54868;9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특관자"/>
      <sheetName val="부채"/>
      <sheetName val="외상매입금 "/>
      <sheetName val="미지급금"/>
      <sheetName val="미지급금(사원)상세"/>
      <sheetName val="예수금"/>
      <sheetName val="선수금-잡이익 상계"/>
      <sheetName val="일반선수금"/>
      <sheetName val="임대보증금 "/>
      <sheetName val="차입금(단기,사채,유동성장기) "/>
      <sheetName val="미지급법인세"/>
      <sheetName val="미지급비용(급여확인 필요)"/>
      <sheetName val="미지급비용(이자)"/>
      <sheetName val="전환사채"/>
      <sheetName val="이연수익"/>
      <sheetName val="파생상품부채"/>
      <sheetName val="기타부채"/>
      <sheetName val="계약부채 "/>
      <sheetName val="확정급여채무"/>
      <sheetName val="장기미지급비용"/>
      <sheetName val="국민연금전환금"/>
      <sheetName val="퇴직연금운용자산"/>
      <sheetName val="수입보증금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 sheet"/>
      <sheetName val="시산표"/>
      <sheetName val="국문FS "/>
      <sheetName val="국문제조"/>
      <sheetName val="현금흐름"/>
      <sheetName val="영문FS"/>
      <sheetName val="영문제조원가"/>
      <sheetName val="자금SCHEDULE"/>
      <sheetName val="보정사항"/>
      <sheetName val="Index"/>
      <sheetName val="제출용BS(한일+할부)"/>
      <sheetName val="점유면적"/>
      <sheetName val="10월시간수당"/>
      <sheetName val="11월시간수당"/>
      <sheetName val="12월시간수당"/>
      <sheetName val="주민번호"/>
      <sheetName val="12월급여"/>
      <sheetName val="118.세금과공과"/>
      <sheetName val="수선비"/>
      <sheetName val="목록"/>
      <sheetName val="Asset98-CAK"/>
      <sheetName val="Asset9809CAK"/>
      <sheetName val="수정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 sheet"/>
      <sheetName val="시산표"/>
      <sheetName val="국문FS "/>
      <sheetName val="현금흐름"/>
      <sheetName val="재무비율"/>
      <sheetName val="국문제조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업무연락"/>
      <sheetName val="표지"/>
      <sheetName val="8월현금흐름표"/>
      <sheetName val="공표손익"/>
      <sheetName val="절대지우지말것"/>
      <sheetName val="유통망계획"/>
      <sheetName val="DS_1999"/>
      <sheetName val="DS_3Q"/>
      <sheetName val="DS_2Q"/>
      <sheetName val="첨부2. HW,SW사용료"/>
      <sheetName val="Sheet2"/>
      <sheetName val="ALL"/>
      <sheetName val="시산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업통제용"/>
      <sheetName val="리드"/>
      <sheetName val="수정사항"/>
      <sheetName val="중요성기준"/>
      <sheetName val="대차대조표"/>
      <sheetName val="손익계산서"/>
      <sheetName val="잉여금"/>
      <sheetName val="현금흐름표"/>
      <sheetName val="CF만들기"/>
      <sheetName val="경영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ery"/>
      <sheetName val="Application Appendix"/>
      <sheetName val="Room sales plan"/>
      <sheetName val="Project Income"/>
      <sheetName val="Sales Cost"/>
      <sheetName val="Construction"/>
      <sheetName val="scale &amp; Incom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Excess Calc"/>
      <sheetName val="Tickmarks"/>
      <sheetName val="Threshold Calc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현금흐름"/>
      <sheetName val="결손금"/>
    </sheetNames>
    <sheetDataSet>
      <sheetData sheetId="0"/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ection 대상 유가증권 명세 보고서"/>
      <sheetName val="BLOOMBERG"/>
      <sheetName val="DW SEC"/>
      <sheetName val="LG SEC"/>
      <sheetName val="Rate"/>
      <sheetName val="감손환입"/>
      <sheetName val="매매"/>
      <sheetName val="bs확인(외화)"/>
      <sheetName val="bs확인(원화)"/>
      <sheetName val="Sheet2"/>
      <sheetName val="12월 평가"/>
      <sheetName val="잔류유가증권명세"/>
      <sheetName val="감손환입분 장부가조정"/>
      <sheetName val="잔류유가증권명세 (1차수정)"/>
      <sheetName val="12월 평가 (2)"/>
      <sheetName val="covered sec"/>
      <sheetName val="잔류유가증권명세 (2차수정)"/>
      <sheetName val="2차 이관 명세"/>
      <sheetName val="잔류유가증권명세 (지점수관분) "/>
      <sheetName val="Assets"/>
      <sheetName val="Liabilities"/>
      <sheetName val="General Data"/>
      <sheetName val="1. P-L"/>
      <sheetName val="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갑)"/>
      <sheetName val="(을)"/>
      <sheetName val="(병)"/>
      <sheetName val="(정)"/>
      <sheetName val="inform"/>
      <sheetName val="BS"/>
      <sheetName val="PL"/>
      <sheetName val="요약원가"/>
      <sheetName val="RE"/>
      <sheetName val="TB"/>
      <sheetName val="T1"/>
      <sheetName val="T1-2"/>
      <sheetName val="T2"/>
      <sheetName val="T2부표"/>
      <sheetName val="T5"/>
      <sheetName val="T6"/>
      <sheetName val="T6A"/>
      <sheetName val="T6B"/>
      <sheetName val="T6-1"/>
      <sheetName val="T6-3(2)"/>
      <sheetName val="T6-3(3)"/>
      <sheetName val="T6-3(4)"/>
      <sheetName val="T6-4A"/>
      <sheetName val="T6-4B"/>
      <sheetName val="T6-6(2)"/>
      <sheetName val="Pricing"/>
      <sheetName val="Debt Service Schedule"/>
      <sheetName val="시산표"/>
      <sheetName val="BWM95M"/>
      <sheetName val="FSS TB summary Report"/>
      <sheetName val="사파리_연결"/>
      <sheetName val="stdd costBPCS"/>
      <sheetName val="dso-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C-1"/>
      <sheetName val="은행조회서"/>
      <sheetName val="D"/>
      <sheetName val="D-1"/>
      <sheetName val="control sheet"/>
      <sheetName val="연령분석2003"/>
      <sheetName val="연령분석2004.6"/>
      <sheetName val="대손분석"/>
      <sheetName val="M"/>
      <sheetName val="U"/>
      <sheetName val="U-1"/>
      <sheetName val="영업외"/>
      <sheetName val="매출계약서"/>
      <sheetName val="제품매출"/>
      <sheetName val="상품매출"/>
      <sheetName val="제품매출(2003)"/>
      <sheetName val="상품매출2(200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OST97.02"/>
      <sheetName val="GIBO97.02"/>
      <sheetName val="BCOST97.02"/>
      <sheetName val="금리추97.02"/>
      <sheetName val="차입추97.02"/>
      <sheetName val="월금리97.02"/>
      <sheetName val="당잔97.02"/>
      <sheetName val="BACKDA97.02"/>
      <sheetName val="건공97.02"/>
      <sheetName val="경수97.02"/>
      <sheetName val="백암비스타내역"/>
      <sheetName val="YOUNGBI"/>
      <sheetName val="YOUNGS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SM"/>
      <sheetName val="Analytical(대차)"/>
      <sheetName val="Analytical(손익)"/>
      <sheetName val="주요계정(대차)"/>
      <sheetName val="주요계정(손익)"/>
      <sheetName val="Sheet1"/>
      <sheetName val="잉여금, 현금흐름"/>
      <sheetName val="IS정산표"/>
      <sheetName val="대차대조표 (2)"/>
      <sheetName val="손익계산서 (2)"/>
      <sheetName val="주요대차"/>
      <sheetName val="주요손익"/>
      <sheetName val="제표최종"/>
      <sheetName val="주요경영지표계산 (2)"/>
      <sheetName val="손익계산서 (3)"/>
      <sheetName val="BS"/>
      <sheetName val="PL"/>
      <sheetName val="대차분석"/>
      <sheetName val="손익분석"/>
      <sheetName val="폐토수익화 "/>
      <sheetName val="#REF"/>
      <sheetName val="Data"/>
      <sheetName val="경수97.02"/>
      <sheetName val="Links"/>
      <sheetName val="Lead"/>
      <sheetName val="보고"/>
      <sheetName val="BA"/>
      <sheetName val="수처리사업"/>
      <sheetName val="Update"/>
      <sheetName val="P&amp;L"/>
      <sheetName val="2311 재무제표검토 Worksheet의 워크시트"/>
      <sheetName val="WACC"/>
      <sheetName val="만기"/>
      <sheetName val="8220"/>
      <sheetName val="XREF"/>
      <sheetName val="월미수수익집계표"/>
      <sheetName val="백암비스타내역"/>
      <sheetName val="Sheet3"/>
      <sheetName val="Sheet1 (3)"/>
      <sheetName val="1995년 섹터별 매출"/>
      <sheetName val="대출금"/>
      <sheetName val="단기차입금"/>
      <sheetName val="97년추정손익계산서"/>
      <sheetName val="Assumption"/>
      <sheetName val="A"/>
      <sheetName val="Balance Sheet"/>
      <sheetName val="Income Statement"/>
      <sheetName val="확인서"/>
      <sheetName val="건물"/>
      <sheetName val="SALE&amp;COST"/>
      <sheetName val="수정시산표"/>
      <sheetName val="Inputs"/>
      <sheetName val="StandAlne"/>
      <sheetName val="Cust"/>
      <sheetName val="Excess Calc"/>
      <sheetName val="적용환율"/>
      <sheetName val="0-Basics"/>
      <sheetName val="COMPS"/>
      <sheetName val="분석mast"/>
      <sheetName val="C-Lead"/>
      <sheetName val="원자재수불(최종)"/>
      <sheetName val="C100 LEAD"/>
      <sheetName val="수익증권명세서(매도가능)"/>
      <sheetName val="전신전화가입권"/>
      <sheetName val="Assumptions"/>
      <sheetName val="손익1월"/>
      <sheetName val="월 Capa"/>
      <sheetName val="1.외주공사"/>
      <sheetName val="2.직영공사"/>
      <sheetName val="대차대조표-공시형"/>
      <sheetName val="F12"/>
      <sheetName val="F3"/>
      <sheetName val="Sheet2"/>
      <sheetName val="Borrower"/>
      <sheetName val="감가상각비"/>
      <sheetName val="FS"/>
      <sheetName val="PPC기"/>
      <sheetName val="소기"/>
      <sheetName val="대기"/>
      <sheetName val="합기"/>
      <sheetName val="메뉴얼1(기본정보)"/>
      <sheetName val="FTE"/>
      <sheetName val="공통비"/>
      <sheetName val="Asset9809CAK"/>
      <sheetName val="39기"/>
      <sheetName val="Variables"/>
      <sheetName val="00.08계정"/>
      <sheetName val="Customer"/>
      <sheetName val="forecasted_BS"/>
      <sheetName val="forecasted_IS"/>
      <sheetName val="108.수선비"/>
      <sheetName val="pre-anal손익계산서"/>
      <sheetName val="pre-anal대차대조표"/>
      <sheetName val="Cover"/>
      <sheetName val="시산표"/>
      <sheetName val="krsec08"/>
      <sheetName val="10월 급여"/>
      <sheetName val="소매_신용"/>
      <sheetName val="특정상품(비소매)"/>
      <sheetName val="비소매신용"/>
      <sheetName val="직공비"/>
      <sheetName val="Lists"/>
      <sheetName val="Payout-HurdleNotReached"/>
      <sheetName val="Incentive_Paid_Out"/>
      <sheetName val="Pay Out Tables"/>
      <sheetName val="Sales_Rep_Details"/>
      <sheetName val="Actual_Sales_Results"/>
      <sheetName val="신전산소항목시산표(5월)"/>
      <sheetName val="관세구분시트"/>
      <sheetName val="Code"/>
      <sheetName val="대환취급"/>
      <sheetName val="종합일지"/>
      <sheetName val="Condition"/>
      <sheetName val="노무비"/>
      <sheetName val="General Assumptions"/>
      <sheetName val="Reference2"/>
      <sheetName val="KeyMultInputs"/>
      <sheetName val="Vega"/>
      <sheetName val="Heading"/>
      <sheetName val="sap`04.7.14"/>
      <sheetName val="AKL"/>
      <sheetName val="Sales"/>
      <sheetName val="System"/>
      <sheetName val="Tables"/>
      <sheetName val="July."/>
      <sheetName val="Sheet1 (2)"/>
      <sheetName val="COM"/>
      <sheetName val="HK-I"/>
      <sheetName val="INT-I"/>
      <sheetName val="RSCH"/>
      <sheetName val="TR"/>
      <sheetName val="KMT물량"/>
      <sheetName val="T진도"/>
      <sheetName val="1_當期시산표"/>
      <sheetName val="세부"/>
      <sheetName val="index"/>
      <sheetName val="VB_100-Lead"/>
      <sheetName val="Start"/>
      <sheetName val="YTD"/>
      <sheetName val="Bu03"/>
      <sheetName val="보험금"/>
      <sheetName val="미수금 (O)"/>
      <sheetName val="내역서"/>
      <sheetName val="PACKING"/>
      <sheetName val="Dept"/>
      <sheetName val="SCA"/>
      <sheetName val="기본 상수"/>
      <sheetName val="수입2"/>
      <sheetName val="A1"/>
      <sheetName val="분당임차변경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WBS"/>
      <sheetName val="f_BS"/>
      <sheetName val="f_IS"/>
      <sheetName val="Com-Button"/>
      <sheetName val="부서자료"/>
      <sheetName val="CW1 Provision"/>
      <sheetName val="조정15 FVH152"/>
      <sheetName val="양식"/>
      <sheetName val="K-Lead"/>
      <sheetName val="Ratios"/>
      <sheetName val="Sheet5"/>
      <sheetName val="Sheet6 (3)"/>
      <sheetName val="3. BSC NC ratio"/>
      <sheetName val="무형"/>
      <sheetName val="Accts"/>
      <sheetName val="Menu data"/>
      <sheetName val="FY0201"/>
      <sheetName val="국외감가상각내역0103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종목코드"/>
      <sheetName val="내역"/>
      <sheetName val="부외부채"/>
      <sheetName val="1-1"/>
      <sheetName val="손익합산"/>
      <sheetName val="제품마스타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1. PS_bond"/>
      <sheetName val="PO4 - Staff Exp"/>
      <sheetName val="3110-2"/>
      <sheetName val="Controls"/>
      <sheetName val="NO.2-1"/>
      <sheetName val="Approval status(QTAK)"/>
      <sheetName val="Extra strand"/>
      <sheetName val="보고서"/>
      <sheetName val="단가조정"/>
      <sheetName val="본문1"/>
      <sheetName val="계획"/>
      <sheetName val="TNC"/>
      <sheetName val="2003손익"/>
      <sheetName val="CLM-MP"/>
      <sheetName val="ss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급여지급"/>
      <sheetName val="SALTAB97"/>
      <sheetName val="Chart"/>
      <sheetName val="채권조회서 Roll-forward test"/>
      <sheetName val="기타현황"/>
      <sheetName val="source"/>
      <sheetName val="유화"/>
      <sheetName val="합병분개 Adj"/>
      <sheetName val="0.1 KEY ASSUMPTIONS"/>
      <sheetName val="0.2 SCENARIO"/>
      <sheetName val="0. CONTROL"/>
      <sheetName val="고정자산원본"/>
      <sheetName val="반기_유가증권"/>
      <sheetName val="Sheet01S"/>
      <sheetName val="GM&amp;NA"/>
      <sheetName val="General Memo"/>
      <sheetName val="Sensitivity"/>
      <sheetName val="서식시트"/>
      <sheetName val="96실용"/>
      <sheetName val="입찰"/>
      <sheetName val="총상담"/>
      <sheetName val="현경"/>
      <sheetName val="TEMP1"/>
      <sheetName val="TEMP2"/>
      <sheetName val=""/>
      <sheetName val="영업CF적용방안선택"/>
      <sheetName val="감가상각"/>
      <sheetName val="수입"/>
      <sheetName val="가공비명세"/>
      <sheetName val="자재비명세"/>
      <sheetName val="제품입출고"/>
      <sheetName val="재공품재고"/>
      <sheetName val="콤보박스와 리스트박스의 연결"/>
      <sheetName val="InformationPartag?"/>
      <sheetName val="Stock d'id?s"/>
      <sheetName val="Donn?s Flux"/>
      <sheetName val="조직도_99"/>
      <sheetName val="UNIT"/>
      <sheetName val="Supply DB"/>
      <sheetName val="Demand DB"/>
      <sheetName val="도금1 (2)"/>
      <sheetName val="F라인"/>
      <sheetName val="Cover Page"/>
      <sheetName val="1.PJT등록의뢰"/>
      <sheetName val="JAN94RIG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control sheet"/>
      <sheetName val="당기TB"/>
      <sheetName val="J00"/>
      <sheetName val="p-memo"/>
      <sheetName val="Hypotheses"/>
    </sheetNames>
    <sheetDataSet>
      <sheetData sheetId="0">
        <row r="2">
          <cell r="E2">
            <v>0.2</v>
          </cell>
        </row>
      </sheetData>
      <sheetData sheetId="1">
        <row r="2">
          <cell r="E2">
            <v>0.2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E2">
            <v>0.2</v>
          </cell>
        </row>
      </sheetData>
      <sheetData sheetId="20" refreshError="1"/>
      <sheetData sheetId="21">
        <row r="2">
          <cell r="E2">
            <v>0.2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>
        <row r="2">
          <cell r="E2">
            <v>0.2</v>
          </cell>
        </row>
      </sheetData>
      <sheetData sheetId="27">
        <row r="2">
          <cell r="E2">
            <v>0.2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 refreshError="1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호기"/>
      <sheetName val="집행"/>
      <sheetName val="월별산출-직원"/>
      <sheetName val="laroux"/>
      <sheetName val="급여산정"/>
      <sheetName val="총괄표"/>
      <sheetName val="VXXXXX"/>
      <sheetName val="VXXXX"/>
      <sheetName val="@요약표"/>
      <sheetName val="@견적조건"/>
      <sheetName val="新주택문화관수준"/>
      <sheetName val="@최종(상승포함)"/>
      <sheetName val="리모델링"/>
      <sheetName val="금액확인"/>
      <sheetName val="@갑지&amp;DATA"/>
      <sheetName val="공유보정"/>
      <sheetName val="층,세대,연면적보정"/>
      <sheetName val="@토공-흙막이"/>
      <sheetName val="집계표"/>
      <sheetName val="내역서"/>
      <sheetName val="회의록"/>
      <sheetName val="[6호기ࡴ집행"/>
      <sheetName val="집행품의"/>
      <sheetName val="집행품의 (2)"/>
      <sheetName val="안전난간"/>
      <sheetName val="안전표어공모"/>
      <sheetName val="준설"/>
      <sheetName val="바리케이트"/>
      <sheetName val="시공팀업무분장"/>
      <sheetName val="레미탈"/>
      <sheetName val="안,환,업무분장"/>
      <sheetName val="배수판"/>
      <sheetName val="목차"/>
      <sheetName val="50m도로변가설휀스"/>
      <sheetName val="가설출입문 (2)"/>
      <sheetName val="Sheet1 (2)"/>
      <sheetName val="휀스민원"/>
      <sheetName val="쓰레기민원"/>
      <sheetName val="진동및소음"/>
      <sheetName val="사진대지"/>
      <sheetName val="Sheet1"/>
      <sheetName val="Sheet2"/>
      <sheetName val="Sheet3"/>
      <sheetName val="대전(세창동)"/>
      <sheetName val="한강운반비"/>
      <sheetName val="물가시세"/>
      <sheetName val="96노임기준"/>
      <sheetName val="입찰안"/>
      <sheetName val="식재"/>
      <sheetName val="시설물"/>
      <sheetName val="식재출력용"/>
      <sheetName val="유지관리"/>
      <sheetName val="단가"/>
      <sheetName val="실행(1)"/>
      <sheetName val="기본단가"/>
      <sheetName val="인건비단가"/>
      <sheetName val="데이타"/>
      <sheetName val="식재인부"/>
      <sheetName val="일지-H"/>
      <sheetName val="Total"/>
      <sheetName val="설계예시"/>
      <sheetName val="견적율"/>
      <sheetName val="공사설명서"/>
      <sheetName val="갑지"/>
      <sheetName val="unit 4"/>
      <sheetName val="정부노임단가"/>
      <sheetName val="GAEYO"/>
      <sheetName val="SAM"/>
      <sheetName val="일위대가목차"/>
      <sheetName val="일위대가표"/>
      <sheetName val="#REF"/>
      <sheetName val="Y-WORK"/>
      <sheetName val="기별"/>
      <sheetName val="백암비스타내역"/>
      <sheetName val="내역"/>
      <sheetName val="Sheet4"/>
      <sheetName val="소비자가"/>
      <sheetName val="일위대가"/>
      <sheetName val="BID"/>
      <sheetName val="소요자재"/>
      <sheetName val="노무산출서"/>
      <sheetName val="CTEMCOST"/>
      <sheetName val="전기일위대가"/>
      <sheetName val="기계공사"/>
      <sheetName val="단위단가"/>
      <sheetName val="비교표"/>
      <sheetName val="교각계산"/>
      <sheetName val="개산공사비"/>
      <sheetName val="수지표"/>
      <sheetName val="셀명"/>
      <sheetName val="수량산출서"/>
      <sheetName val="내역(설비)"/>
      <sheetName val="대비표"/>
      <sheetName val="JUCKEYK"/>
      <sheetName val="간접"/>
      <sheetName val="설계내역서"/>
      <sheetName val="공구원가계산"/>
      <sheetName val="부속동"/>
      <sheetName val="산출내역서집계표"/>
      <sheetName val="마감사양"/>
      <sheetName val="D"/>
      <sheetName val="원형1호맨홀토공수량"/>
      <sheetName val="우석문틀"/>
      <sheetName val="노임"/>
      <sheetName val="대림경상68억"/>
      <sheetName val="견적"/>
      <sheetName val="노무단가"/>
      <sheetName val="표지"/>
      <sheetName val="유림골조"/>
      <sheetName val="AS포장복구 "/>
      <sheetName val="경산"/>
      <sheetName val="UR2-Calculation"/>
      <sheetName val="수량산출"/>
      <sheetName val="단가조사서"/>
      <sheetName val="부대내역"/>
      <sheetName val="구의33고"/>
      <sheetName val="노임단가"/>
      <sheetName val="수목단가"/>
      <sheetName val="시설수량표"/>
      <sheetName val="식재수량표"/>
      <sheetName val="자재단가"/>
      <sheetName val="대비"/>
      <sheetName val="총원가계산서(요율)"/>
      <sheetName val="기본일위"/>
      <sheetName val="집계"/>
      <sheetName val="직노"/>
      <sheetName val="I一般比"/>
      <sheetName val="내역서2안"/>
      <sheetName val="설직재-1"/>
      <sheetName val="철거 물량 산출서"/>
      <sheetName val="실행내역"/>
      <sheetName val="건축집계"/>
      <sheetName val="결재갑지"/>
      <sheetName val="통신집계표1"/>
      <sheetName val="기본데이타입력"/>
      <sheetName val="3.경비"/>
      <sheetName val="1.급료"/>
      <sheetName val="외주"/>
      <sheetName val="공문"/>
      <sheetName val="공사비산출내역"/>
      <sheetName val="공통가설"/>
      <sheetName val="전기공사"/>
      <sheetName val="실행"/>
      <sheetName val="단가 (2)"/>
      <sheetName val="사업수지분석"/>
      <sheetName val="죽전"/>
      <sheetName val="화정"/>
      <sheetName val="해운대"/>
      <sheetName val="프린트용"/>
      <sheetName val="0.준공시예정원가갑지"/>
      <sheetName val="1.하도급 계약현황 "/>
      <sheetName val="1-1.하도정산계획"/>
      <sheetName val="2.자재구매계약현황"/>
      <sheetName val="3.직영공사(예상투자)"/>
      <sheetName val="4.지급자재"/>
      <sheetName val="5.업그레이드등"/>
      <sheetName val="6.VE계획"/>
      <sheetName val="7.임차장비현황"/>
      <sheetName val="8.간접비집계(직영)"/>
      <sheetName val="8-1.간접비집계 (직영+하도)"/>
      <sheetName val="9.실행예산서"/>
      <sheetName val="9-1.직영상세조회"/>
      <sheetName val="9-2.하도상세조회"/>
      <sheetName val="도급"/>
      <sheetName val="동해title"/>
      <sheetName val="4.공사별"/>
      <sheetName val="설비"/>
      <sheetName val="기계내역"/>
      <sheetName val="별표(59~89)"/>
      <sheetName val="투찰(하수)"/>
      <sheetName val="127동 History"/>
      <sheetName val="사급자재"/>
      <sheetName val="일위단위"/>
      <sheetName val="밸브설치"/>
      <sheetName val="도급내역"/>
      <sheetName val="정보"/>
      <sheetName val="Macro1"/>
      <sheetName val="금액집계"/>
      <sheetName val="을"/>
      <sheetName val="골조시행"/>
      <sheetName val="수입"/>
      <sheetName val="관접합및부설"/>
      <sheetName val="공조기휀"/>
      <sheetName val="을지"/>
      <sheetName val="건축공사실행"/>
      <sheetName val="교대(A1)"/>
      <sheetName val="잡비"/>
      <sheetName val="APT"/>
      <sheetName val="합의경상"/>
      <sheetName val="증감대비"/>
      <sheetName val="SCHEDULE"/>
      <sheetName val="전계가"/>
      <sheetName val="공사개요"/>
      <sheetName val="여과지동"/>
      <sheetName val="기초자료"/>
      <sheetName val="연동내역"/>
      <sheetName val="FOB발"/>
      <sheetName val="노원열병합  건축공사기성내역서"/>
      <sheetName val="내역서(총)"/>
      <sheetName val="원가계산서"/>
      <sheetName val="EACT10"/>
      <sheetName val="패널"/>
      <sheetName val="ELECTRIC"/>
      <sheetName val="2000.11월설계내역"/>
      <sheetName val="예가표"/>
      <sheetName val="단위수량"/>
      <sheetName val="가시설수량"/>
      <sheetName val="전선관"/>
      <sheetName val="Front"/>
      <sheetName val="wall"/>
      <sheetName val="잉여처분"/>
      <sheetName val="일반부표"/>
      <sheetName val="건축원가계산서"/>
      <sheetName val="내부마감"/>
      <sheetName val="기안"/>
      <sheetName val="교대(A1-A2)"/>
      <sheetName val="일반공사"/>
      <sheetName val="전기혼잡제경비(45)"/>
      <sheetName val="문학간접"/>
      <sheetName val="준검 내역서"/>
      <sheetName val="INPUT"/>
      <sheetName val="전기"/>
      <sheetName val="변수데이타"/>
      <sheetName val="세금자료"/>
      <sheetName val="차액보증"/>
      <sheetName val="소업1교"/>
      <sheetName val="명단"/>
      <sheetName val="신우"/>
      <sheetName val="직공비"/>
      <sheetName val="단가조사"/>
      <sheetName val="코드"/>
      <sheetName val="보할최종(준공)only"/>
      <sheetName val="기자재비"/>
      <sheetName val="DB"/>
      <sheetName val="총괄내역서"/>
      <sheetName val="중동상가"/>
      <sheetName val="일위목차"/>
      <sheetName val="Baby일위대가"/>
      <sheetName val="단가표"/>
      <sheetName val="간접비"/>
      <sheetName val="내역5"/>
      <sheetName val="총괄"/>
      <sheetName val="토목"/>
      <sheetName val="수목데이타"/>
      <sheetName val="건축개요"/>
      <sheetName val="실행철강하도"/>
      <sheetName val="개요"/>
      <sheetName val="교통대책내역"/>
      <sheetName val="중기일위대가"/>
      <sheetName val="안정검토(온1)"/>
      <sheetName val="전체분내역서"/>
      <sheetName val="노임단가 (2)"/>
      <sheetName val="원가계산하도"/>
      <sheetName val="청천내"/>
      <sheetName val="1단계"/>
      <sheetName val="인제내역"/>
      <sheetName val="현장별계약현황('98.10.31)"/>
      <sheetName val="기본사항"/>
      <sheetName val="방배동내역(리라)"/>
      <sheetName val="부대공사총괄"/>
      <sheetName val="현장경비"/>
      <sheetName val="건축공사집계표"/>
      <sheetName val="T13(P68~72,78)"/>
      <sheetName val="TYPE-A"/>
      <sheetName val="plan&amp;section of foundation"/>
      <sheetName val="working load at the btm ft."/>
      <sheetName val="stability check"/>
      <sheetName val="design criteria"/>
      <sheetName val="design load"/>
      <sheetName val="TB-내역서"/>
      <sheetName val="Sheet5"/>
      <sheetName val="노무비"/>
      <sheetName val="Requirement(Work Crew)"/>
      <sheetName val="지급자재"/>
      <sheetName val="DATA"/>
      <sheetName val="설계명세서"/>
      <sheetName val="총물량"/>
      <sheetName val="기성고려"/>
      <sheetName val="갑지_추정_"/>
      <sheetName val="코드표"/>
      <sheetName val="남양시작동자105노65기1.3화1.2"/>
      <sheetName val="PIPE"/>
      <sheetName val="FLANGE"/>
      <sheetName val="VALVE"/>
      <sheetName val="카렌스센터계량기설치공사"/>
      <sheetName val=" 견적서"/>
      <sheetName val="담당자"/>
      <sheetName val="C급보 "/>
      <sheetName val="매각(6)"/>
      <sheetName val="FB25JN"/>
      <sheetName val="세부내역"/>
      <sheetName val="건축원가"/>
      <sheetName val="도기류"/>
      <sheetName val="내역1"/>
      <sheetName val="건축-물가변동"/>
      <sheetName val="기계설비"/>
      <sheetName val="Macro3"/>
      <sheetName val="단면"/>
      <sheetName val="단가(반정3교-원주)"/>
      <sheetName val="COVER-P"/>
      <sheetName val="착공계(전체)"/>
      <sheetName val="현장관리비 산출내역"/>
      <sheetName val="16-1"/>
      <sheetName val="MOTOR"/>
      <sheetName val="정공공사"/>
      <sheetName val="자재비"/>
      <sheetName val="기성2"/>
      <sheetName val="매원개착터널총괄"/>
      <sheetName val="손익차9월2"/>
      <sheetName val="2공구산출내역"/>
      <sheetName val="내역(을)"/>
      <sheetName val="화재 탐지 설비"/>
      <sheetName val="터파기및재료"/>
      <sheetName val="빌딩 안내"/>
      <sheetName val="조견표"/>
      <sheetName val="준공조서"/>
      <sheetName val="공사준공계"/>
      <sheetName val="준공검사보고서"/>
      <sheetName val="노임이"/>
      <sheetName val="잡비계산"/>
      <sheetName val="에너지동"/>
      <sheetName val="XZLC2"/>
      <sheetName val="현장관리비 "/>
      <sheetName val="대가목록"/>
      <sheetName val="자탐"/>
      <sheetName val="공사내역"/>
      <sheetName val="모래기초"/>
      <sheetName val="사기도장"/>
      <sheetName val="TIE-IN"/>
      <sheetName val="부대공Ⅱ"/>
      <sheetName val="평가데이터"/>
      <sheetName val="Customer Databas"/>
      <sheetName val="효성CB 1P기초"/>
      <sheetName val="실행(ALT1)"/>
      <sheetName val="P.M 별"/>
      <sheetName val="설계명세서(장비)"/>
      <sheetName val="RFP002"/>
      <sheetName val="원가data"/>
      <sheetName val="원가서"/>
      <sheetName val="SUMMARY"/>
      <sheetName val="PAINT"/>
      <sheetName val="예총"/>
      <sheetName val="예산내역"/>
      <sheetName val="총괄수지표"/>
      <sheetName val="J01"/>
      <sheetName val="B1F"/>
      <sheetName val="H-PILE수량집계"/>
      <sheetName val="구간별현황"/>
      <sheetName val="3.골재원검토의견서 갑지"/>
      <sheetName val="시설물일위"/>
      <sheetName val="가설공사"/>
      <sheetName val="내역아"/>
      <sheetName val="울타리"/>
      <sheetName val="토목주소"/>
      <sheetName val="프랜트면허"/>
      <sheetName val="단가 및 재료비"/>
      <sheetName val="중기사용료산출근거"/>
      <sheetName val="5.전사투자계획종함안"/>
      <sheetName val="상반기손익차2총괄"/>
      <sheetName val="환율표"/>
      <sheetName val="ETC"/>
      <sheetName val="기초분물량표"/>
      <sheetName val="단위세대물량"/>
      <sheetName val="연령현황"/>
      <sheetName val="환산"/>
      <sheetName val="인건비"/>
      <sheetName val="2.대외공문"/>
      <sheetName val="단가조사표"/>
      <sheetName val="기본DATA"/>
      <sheetName val="추가공사"/>
      <sheetName val="1~9 하중계산"/>
      <sheetName val="전차선로 물량표"/>
      <sheetName val="자재"/>
      <sheetName val="공통(20-91)"/>
      <sheetName val="위치조서"/>
      <sheetName val="일위대가(계측기설치)"/>
      <sheetName val="가격조사서"/>
      <sheetName val="소방"/>
      <sheetName val="신표지1"/>
      <sheetName val="입력"/>
      <sheetName val="말고개터널조명전압강하"/>
      <sheetName val="조직"/>
      <sheetName val="BREAKDOWN"/>
      <sheetName val="TEST1"/>
      <sheetName val="기계경비(시간당)"/>
      <sheetName val="램머"/>
      <sheetName val="바.한일양산"/>
      <sheetName val="Dinh nghia"/>
      <sheetName val="DEF"/>
      <sheetName val="물량표S"/>
      <sheetName val="피벗테이블데이터분석"/>
      <sheetName val="평균높이산출근거"/>
      <sheetName val="횡배수관위치조서"/>
      <sheetName val="ABUT수량-A1"/>
      <sheetName val="01"/>
      <sheetName val=" 냉각수펌프"/>
      <sheetName val="AHU집계"/>
      <sheetName val="제잡비"/>
      <sheetName val="도배공사언고"/>
      <sheetName val="직재"/>
      <sheetName val="재집"/>
      <sheetName val="EKOG10건축"/>
      <sheetName val="DATE"/>
      <sheetName val="99노임기준"/>
      <sheetName val="단가대비표"/>
      <sheetName val="날개벽수량표"/>
      <sheetName val="견적서"/>
      <sheetName val="총괄갑 "/>
      <sheetName val="설계내역"/>
      <sheetName val="D&amp;P특기사항"/>
      <sheetName val="Sheet6"/>
      <sheetName val="내역서 제출"/>
      <sheetName val="집계장(대목_실행)"/>
      <sheetName val="견"/>
      <sheetName val="SAMPLE"/>
      <sheetName val="데리네이타현황"/>
      <sheetName val="장비종합부표"/>
      <sheetName val="집계표_식재"/>
      <sheetName val="부표"/>
      <sheetName val="내역표지"/>
      <sheetName val="전선 및 전선관"/>
      <sheetName val="1.우편집중내역서"/>
      <sheetName val="자재집계"/>
      <sheetName val="Macro(MCC)"/>
      <sheetName val="EQT-ESTN"/>
      <sheetName val="실행내역서 "/>
      <sheetName val="1-1"/>
      <sheetName val="조건"/>
      <sheetName val="금액"/>
      <sheetName val="원가계산"/>
      <sheetName val="Y_WORK"/>
      <sheetName val="단가산출"/>
      <sheetName val="일위목록"/>
      <sheetName val="천안IP공장자100노100물량110할증"/>
      <sheetName val="70%"/>
      <sheetName val="danga"/>
      <sheetName val="ilch"/>
      <sheetName val="양수장(기계)"/>
      <sheetName val="배관"/>
      <sheetName val="Tender Summary"/>
      <sheetName val="예산내역서(총괄)"/>
      <sheetName val="예산내역서"/>
      <sheetName val="공제대산출"/>
      <sheetName val="운반공사,공구손료"/>
      <sheetName val="자판실행"/>
      <sheetName val="내부부하"/>
      <sheetName val="도급FORM"/>
      <sheetName val="설계조건"/>
      <sheetName val="집수정"/>
      <sheetName val="중기사용료"/>
      <sheetName val="단가일람"/>
      <sheetName val="조경일람"/>
      <sheetName val="금융"/>
      <sheetName val="날개벽"/>
      <sheetName val="저"/>
      <sheetName val="별표"/>
      <sheetName val="자재조사표"/>
      <sheetName val="RE9604"/>
      <sheetName val="본사공가현황"/>
      <sheetName val="1층"/>
      <sheetName val="청주-교대(A1)"/>
      <sheetName val="3련 BOX"/>
      <sheetName val="(갑지)"/>
      <sheetName val="9GNG운반"/>
      <sheetName val="20관리비율"/>
      <sheetName val="S0"/>
      <sheetName val="견적대비표"/>
      <sheetName val="물량표"/>
      <sheetName val="설계"/>
      <sheetName val="노임,재료비"/>
      <sheetName val="결재판(삭제하지말아주세요)"/>
      <sheetName val="기초일위"/>
      <sheetName val="시설일위"/>
      <sheetName val="조명일위"/>
      <sheetName val="type-F"/>
      <sheetName val="건축공사 분괴표원본데이터(공통+건축)"/>
      <sheetName val="9.설치품셈"/>
      <sheetName val="품셈총괄"/>
      <sheetName val="기본DATA Sheet"/>
      <sheetName val="수량총괄"/>
      <sheetName val="견적990322"/>
      <sheetName val="200"/>
      <sheetName val="품셈"/>
      <sheetName val="3.공통공사대비"/>
      <sheetName val="45,46"/>
      <sheetName val="일위대가(출입)"/>
      <sheetName val="빙장비사양"/>
      <sheetName val="장비사양"/>
      <sheetName val="상행-교대(A1-A2)"/>
      <sheetName val="변경집계표"/>
      <sheetName val="hvac(제어동)"/>
      <sheetName val="원가계산서(남측)"/>
      <sheetName val="연면적대비(12-7)"/>
      <sheetName val="충주"/>
      <sheetName val="수목데이타 "/>
      <sheetName val="건축내역서"/>
      <sheetName val="설비내역서"/>
      <sheetName val="전기내역서"/>
      <sheetName val="9."/>
      <sheetName val="계수시트"/>
      <sheetName val="각종양식"/>
      <sheetName val="3-구교-오리지날"/>
      <sheetName val="9-1차이내역"/>
      <sheetName val="단가기준"/>
      <sheetName val="자동제어"/>
      <sheetName val="가로등내역서"/>
      <sheetName val="목록"/>
      <sheetName val="시중노임단가"/>
      <sheetName val="기성내역서"/>
      <sheetName val="매립"/>
      <sheetName val="우수"/>
      <sheetName val="7월11일"/>
      <sheetName val="SULKEA"/>
      <sheetName val="갑지(추정)"/>
      <sheetName val="토사(PE)"/>
      <sheetName val="월별수입"/>
      <sheetName val="비용"/>
      <sheetName val="포장공"/>
      <sheetName val="배수공"/>
      <sheetName val="토공"/>
      <sheetName val="집수정(600-700)"/>
      <sheetName val="건축"/>
      <sheetName val="AP1"/>
      <sheetName val="연돌일위집계"/>
      <sheetName val="부표총괄"/>
      <sheetName val="Salary(해외)"/>
      <sheetName val="Regenerator  Concrete Structure"/>
      <sheetName val="5. 현장관리비(new) "/>
      <sheetName val="현황CODE"/>
      <sheetName val="손익현황"/>
      <sheetName val="조경내역"/>
      <sheetName val="1차변경내역"/>
      <sheetName val="갑지1"/>
      <sheetName val="행거,슈,볼트,펌프,잡재"/>
      <sheetName val="정화조동내역"/>
      <sheetName val="단"/>
      <sheetName val="BSD (2)"/>
      <sheetName val="직영(비교견적서)"/>
      <sheetName val="_6호기ࡴ집행"/>
      <sheetName val="A공구"/>
      <sheetName val="남양내역"/>
      <sheetName val="약품공급2"/>
      <sheetName val="1.취수장"/>
      <sheetName val="일위대가 "/>
      <sheetName val="경율산정.XLS"/>
      <sheetName val="강교(Sub)"/>
      <sheetName val="일반토공견적"/>
      <sheetName val="건축(충일분)"/>
      <sheetName val="일위대가목록"/>
      <sheetName val="요율"/>
      <sheetName val="10월 중구다동"/>
      <sheetName val="단위가격"/>
      <sheetName val="약품설비"/>
      <sheetName val="수배전반"/>
      <sheetName val="제안서입력"/>
      <sheetName val="품셈TABLE"/>
      <sheetName val="쌍송교"/>
      <sheetName val="c_balju"/>
      <sheetName val="마산월령동골조물량변경"/>
      <sheetName val="내역서1"/>
      <sheetName val="tax1"/>
      <sheetName val="손익계산서"/>
      <sheetName val="대차대조표"/>
      <sheetName val="장비집계"/>
    </sheetNames>
    <sheetDataSet>
      <sheetData sheetId="0" refreshError="1">
        <row r="1">
          <cell r="A1" t="str">
            <v xml:space="preserve">    대구내당아파트 현장직원 급여산정 기준표</v>
          </cell>
        </row>
      </sheetData>
      <sheetData sheetId="1"/>
      <sheetData sheetId="2">
        <row r="1">
          <cell r="A1" t="str">
            <v xml:space="preserve">    대구내당아파트 현장직원 급여산정 기준표</v>
          </cell>
        </row>
      </sheetData>
      <sheetData sheetId="3" refreshError="1"/>
      <sheetData sheetId="4">
        <row r="1">
          <cell r="A1" t="str">
            <v xml:space="preserve">    대구내당아파트 현장직원 급여산정 기준표</v>
          </cell>
        </row>
      </sheetData>
      <sheetData sheetId="5"/>
      <sheetData sheetId="6"/>
      <sheetData sheetId="7"/>
      <sheetData sheetId="8"/>
      <sheetData sheetId="9">
        <row r="1">
          <cell r="A1" t="str">
            <v>분류번호</v>
          </cell>
        </row>
      </sheetData>
      <sheetData sheetId="10">
        <row r="1">
          <cell r="A1" t="str">
            <v xml:space="preserve">    대구내당아파트 현장직원 급여산정 기준표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 t="str">
            <v>분류번호</v>
          </cell>
        </row>
      </sheetData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rea Sign-Internal"/>
      <sheetName val="Adjustments"/>
      <sheetName val="warrants"/>
      <sheetName val="Stock Div Accural"/>
      <sheetName val="adjustment"/>
      <sheetName val="FX"/>
      <sheetName val="HR Final"/>
      <sheetName val="HR"/>
      <sheetName val="RAT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고조사1"/>
      <sheetName val="재고조사자"/>
      <sheetName val="타처보관"/>
      <sheetName val="하기휴가변경"/>
      <sheetName val="Sheet1"/>
      <sheetName val="T_No"/>
      <sheetName val="RPMF"/>
      <sheetName val="FGMD"/>
      <sheetName val="FGMD (2)"/>
      <sheetName val="FGMD (3)"/>
      <sheetName val="INFG1198"/>
      <sheetName val="INFG1198 (2)"/>
      <sheetName val="INMD1198"/>
      <sheetName val="INMD1198 (2)"/>
      <sheetName val="key"/>
      <sheetName val="RMPM"/>
      <sheetName val="RMPM (2)"/>
      <sheetName val="RMPM (3)"/>
      <sheetName val="RMPM (4)"/>
      <sheetName val="INRM1198"/>
      <sheetName val="INRM1198 (2)"/>
      <sheetName val="INPM1198"/>
      <sheetName val="INPM1198 (2)"/>
      <sheetName val="Sheet3 (2)"/>
      <sheetName val="Sheet2"/>
      <sheetName val="Sheet3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BE8" t="str">
            <v>{calc}</v>
          </cell>
        </row>
        <row r="53">
          <cell r="B53">
            <v>101260</v>
          </cell>
          <cell r="C53" t="str">
            <v>Mokdong Gold A 4.5kg</v>
          </cell>
          <cell r="D53">
            <v>4.5</v>
          </cell>
          <cell r="E53">
            <v>1</v>
          </cell>
          <cell r="F53">
            <v>6090.1512618052329</v>
          </cell>
          <cell r="G53">
            <v>6508.6062858027562</v>
          </cell>
          <cell r="H53">
            <v>4853</v>
          </cell>
          <cell r="I53">
            <v>0</v>
          </cell>
          <cell r="J53">
            <v>797</v>
          </cell>
          <cell r="K53">
            <v>0</v>
          </cell>
          <cell r="L53">
            <v>170</v>
          </cell>
          <cell r="M53">
            <v>0</v>
          </cell>
          <cell r="N53">
            <v>289</v>
          </cell>
          <cell r="O53">
            <v>0</v>
          </cell>
          <cell r="P53">
            <v>350</v>
          </cell>
          <cell r="Q53">
            <v>0</v>
          </cell>
          <cell r="R53">
            <v>6459</v>
          </cell>
          <cell r="S53">
            <v>0</v>
          </cell>
          <cell r="T53">
            <v>0</v>
          </cell>
          <cell r="U53">
            <v>0</v>
          </cell>
          <cell r="V53">
            <v>6459</v>
          </cell>
          <cell r="W53">
            <v>0</v>
          </cell>
          <cell r="X53">
            <v>39336287</v>
          </cell>
          <cell r="Y53">
            <v>42039088</v>
          </cell>
          <cell r="Z53">
            <v>5326</v>
          </cell>
          <cell r="AB53">
            <v>797</v>
          </cell>
          <cell r="AC53">
            <v>183</v>
          </cell>
          <cell r="AD53">
            <v>289</v>
          </cell>
          <cell r="AE53">
            <v>350</v>
          </cell>
          <cell r="AF53">
            <v>6945</v>
          </cell>
          <cell r="AG53">
            <v>6945</v>
          </cell>
          <cell r="AI53">
            <v>473</v>
          </cell>
          <cell r="AJ53">
            <v>2880642</v>
          </cell>
          <cell r="AK53">
            <v>3078571</v>
          </cell>
          <cell r="AL53">
            <v>0</v>
          </cell>
          <cell r="AM53">
            <v>0</v>
          </cell>
          <cell r="AN53">
            <v>0</v>
          </cell>
          <cell r="AO53">
            <v>13</v>
          </cell>
          <cell r="AP53">
            <v>79172</v>
          </cell>
          <cell r="AQ53">
            <v>84612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486</v>
          </cell>
          <cell r="AY53">
            <v>2959814</v>
          </cell>
          <cell r="AZ53">
            <v>3163183</v>
          </cell>
        </row>
        <row r="54">
          <cell r="B54">
            <v>101261</v>
          </cell>
          <cell r="C54" t="str">
            <v>Mokdong Gold B 4.5kg</v>
          </cell>
          <cell r="D54">
            <v>4.5</v>
          </cell>
          <cell r="E54">
            <v>1</v>
          </cell>
          <cell r="F54">
            <v>5777.2307692307695</v>
          </cell>
          <cell r="G54">
            <v>6289.6153846153848</v>
          </cell>
          <cell r="H54">
            <v>0</v>
          </cell>
          <cell r="I54">
            <v>0</v>
          </cell>
          <cell r="L54">
            <v>13</v>
          </cell>
          <cell r="M54">
            <v>0</v>
          </cell>
          <cell r="R54">
            <v>13</v>
          </cell>
          <cell r="S54">
            <v>0</v>
          </cell>
          <cell r="T54">
            <v>0</v>
          </cell>
          <cell r="U54">
            <v>0</v>
          </cell>
          <cell r="V54">
            <v>13</v>
          </cell>
          <cell r="W54">
            <v>0</v>
          </cell>
          <cell r="X54">
            <v>75104</v>
          </cell>
          <cell r="Y54">
            <v>81765</v>
          </cell>
          <cell r="AF54">
            <v>0</v>
          </cell>
          <cell r="AG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-13</v>
          </cell>
          <cell r="AP54">
            <v>-75103</v>
          </cell>
          <cell r="AQ54">
            <v>-81764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-13</v>
          </cell>
          <cell r="AY54">
            <v>-75103</v>
          </cell>
          <cell r="AZ54">
            <v>-81764</v>
          </cell>
        </row>
        <row r="55">
          <cell r="B55">
            <v>101262</v>
          </cell>
          <cell r="C55" t="str">
            <v>Mokdong Gold C 4.5kg</v>
          </cell>
          <cell r="D55">
            <v>4.5</v>
          </cell>
          <cell r="E55">
            <v>1</v>
          </cell>
          <cell r="F55">
            <v>0</v>
          </cell>
          <cell r="G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AF55">
            <v>0</v>
          </cell>
          <cell r="AG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</row>
        <row r="56">
          <cell r="B56">
            <v>101263</v>
          </cell>
          <cell r="C56" t="str">
            <v>Mokdong Gold D 4.5kg</v>
          </cell>
          <cell r="D56">
            <v>4.5</v>
          </cell>
          <cell r="E56">
            <v>1</v>
          </cell>
          <cell r="F56">
            <v>0</v>
          </cell>
          <cell r="G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AF56">
            <v>0</v>
          </cell>
          <cell r="AG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</row>
        <row r="57">
          <cell r="B57">
            <v>101300</v>
          </cell>
          <cell r="C57" t="str">
            <v>Isabel A 9kg</v>
          </cell>
          <cell r="D57">
            <v>0.9</v>
          </cell>
          <cell r="E57">
            <v>10</v>
          </cell>
          <cell r="F57">
            <v>11305.316022099447</v>
          </cell>
          <cell r="G57">
            <v>12115.552486187846</v>
          </cell>
          <cell r="H57">
            <v>1810</v>
          </cell>
          <cell r="I57">
            <v>0</v>
          </cell>
          <cell r="R57">
            <v>1810</v>
          </cell>
          <cell r="S57">
            <v>0</v>
          </cell>
          <cell r="T57">
            <v>0</v>
          </cell>
          <cell r="U57">
            <v>0</v>
          </cell>
          <cell r="V57">
            <v>1810</v>
          </cell>
          <cell r="W57">
            <v>0</v>
          </cell>
          <cell r="X57">
            <v>20462622</v>
          </cell>
          <cell r="Y57">
            <v>21929150</v>
          </cell>
          <cell r="Z57">
            <v>2248</v>
          </cell>
          <cell r="AF57">
            <v>2248</v>
          </cell>
          <cell r="AG57">
            <v>2248</v>
          </cell>
          <cell r="AI57">
            <v>438</v>
          </cell>
          <cell r="AJ57">
            <v>4951728</v>
          </cell>
          <cell r="AK57">
            <v>5306612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438</v>
          </cell>
          <cell r="AY57">
            <v>4951728</v>
          </cell>
          <cell r="AZ57">
            <v>5306612</v>
          </cell>
        </row>
        <row r="58">
          <cell r="B58">
            <v>101301</v>
          </cell>
          <cell r="C58" t="str">
            <v>Isabel B 9kg</v>
          </cell>
          <cell r="D58">
            <v>0.9</v>
          </cell>
          <cell r="E58">
            <v>10</v>
          </cell>
          <cell r="F58">
            <v>11441.081272084806</v>
          </cell>
          <cell r="G58">
            <v>12345.113074204946</v>
          </cell>
          <cell r="H58">
            <v>434</v>
          </cell>
          <cell r="I58">
            <v>0</v>
          </cell>
          <cell r="J58">
            <v>54</v>
          </cell>
          <cell r="N58">
            <v>47</v>
          </cell>
          <cell r="O58">
            <v>0</v>
          </cell>
          <cell r="P58">
            <v>31</v>
          </cell>
          <cell r="Q58">
            <v>0</v>
          </cell>
          <cell r="R58">
            <v>566</v>
          </cell>
          <cell r="S58">
            <v>0</v>
          </cell>
          <cell r="T58">
            <v>0</v>
          </cell>
          <cell r="U58">
            <v>0</v>
          </cell>
          <cell r="V58">
            <v>566</v>
          </cell>
          <cell r="W58">
            <v>0</v>
          </cell>
          <cell r="X58">
            <v>6475652</v>
          </cell>
          <cell r="Y58">
            <v>6987334</v>
          </cell>
          <cell r="AB58">
            <v>54</v>
          </cell>
          <cell r="AD58">
            <v>47</v>
          </cell>
          <cell r="AE58">
            <v>31</v>
          </cell>
          <cell r="AF58">
            <v>132</v>
          </cell>
          <cell r="AG58">
            <v>132</v>
          </cell>
          <cell r="AI58">
            <v>-434</v>
          </cell>
          <cell r="AJ58">
            <v>-4965428</v>
          </cell>
          <cell r="AK58">
            <v>-5357778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-434</v>
          </cell>
          <cell r="AY58">
            <v>-4965428</v>
          </cell>
          <cell r="AZ58">
            <v>-5357778</v>
          </cell>
        </row>
        <row r="59">
          <cell r="B59">
            <v>101302</v>
          </cell>
          <cell r="C59" t="str">
            <v>Isabel C 9kg</v>
          </cell>
          <cell r="D59">
            <v>0.9</v>
          </cell>
          <cell r="E59">
            <v>10</v>
          </cell>
          <cell r="F59">
            <v>11018.5</v>
          </cell>
          <cell r="G59">
            <v>11756.75</v>
          </cell>
          <cell r="H59">
            <v>4</v>
          </cell>
          <cell r="I59">
            <v>0</v>
          </cell>
          <cell r="R59">
            <v>4</v>
          </cell>
          <cell r="S59">
            <v>0</v>
          </cell>
          <cell r="T59">
            <v>0</v>
          </cell>
          <cell r="U59">
            <v>0</v>
          </cell>
          <cell r="V59">
            <v>4</v>
          </cell>
          <cell r="W59">
            <v>0</v>
          </cell>
          <cell r="X59">
            <v>44074</v>
          </cell>
          <cell r="Y59">
            <v>47027</v>
          </cell>
          <cell r="AF59">
            <v>0</v>
          </cell>
          <cell r="AG59">
            <v>0</v>
          </cell>
          <cell r="AI59">
            <v>-4</v>
          </cell>
          <cell r="AJ59">
            <v>-44073</v>
          </cell>
          <cell r="AK59">
            <v>-47026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-4</v>
          </cell>
          <cell r="AY59">
            <v>-44073</v>
          </cell>
          <cell r="AZ59">
            <v>-47026</v>
          </cell>
        </row>
        <row r="60">
          <cell r="B60">
            <v>101303</v>
          </cell>
          <cell r="C60" t="str">
            <v>Isabel D 9kg</v>
          </cell>
          <cell r="D60">
            <v>0.9</v>
          </cell>
          <cell r="E60">
            <v>10</v>
          </cell>
          <cell r="F60">
            <v>0</v>
          </cell>
          <cell r="G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AF60">
            <v>0</v>
          </cell>
          <cell r="AG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</row>
        <row r="61">
          <cell r="B61">
            <v>101310</v>
          </cell>
          <cell r="C61" t="str">
            <v>Isabel A 10kg</v>
          </cell>
          <cell r="D61">
            <v>1</v>
          </cell>
          <cell r="E61">
            <v>10</v>
          </cell>
          <cell r="F61">
            <v>12227.607786589762</v>
          </cell>
          <cell r="G61">
            <v>13125.134823359769</v>
          </cell>
          <cell r="H61">
            <v>1387</v>
          </cell>
          <cell r="I61">
            <v>0</v>
          </cell>
          <cell r="R61">
            <v>1387</v>
          </cell>
          <cell r="S61">
            <v>0</v>
          </cell>
          <cell r="T61">
            <v>0</v>
          </cell>
          <cell r="U61">
            <v>0</v>
          </cell>
          <cell r="V61">
            <v>1387</v>
          </cell>
          <cell r="W61">
            <v>0</v>
          </cell>
          <cell r="X61">
            <v>16959692</v>
          </cell>
          <cell r="Y61">
            <v>18204562</v>
          </cell>
          <cell r="Z61">
            <v>1432</v>
          </cell>
          <cell r="AC61">
            <v>61</v>
          </cell>
          <cell r="AF61">
            <v>1493</v>
          </cell>
          <cell r="AG61">
            <v>1493</v>
          </cell>
          <cell r="AI61">
            <v>45</v>
          </cell>
          <cell r="AJ61">
            <v>550242</v>
          </cell>
          <cell r="AK61">
            <v>590631</v>
          </cell>
          <cell r="AL61">
            <v>0</v>
          </cell>
          <cell r="AM61">
            <v>0</v>
          </cell>
          <cell r="AN61">
            <v>0</v>
          </cell>
          <cell r="AO61">
            <v>61</v>
          </cell>
          <cell r="AP61">
            <v>745884</v>
          </cell>
          <cell r="AQ61">
            <v>800633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106</v>
          </cell>
          <cell r="AY61">
            <v>1296126</v>
          </cell>
          <cell r="AZ61">
            <v>1391264</v>
          </cell>
        </row>
        <row r="62">
          <cell r="B62">
            <v>101311</v>
          </cell>
          <cell r="C62" t="str">
            <v>Isabel B 10kg</v>
          </cell>
          <cell r="D62">
            <v>1</v>
          </cell>
          <cell r="E62">
            <v>10</v>
          </cell>
          <cell r="F62">
            <v>12474.013157894737</v>
          </cell>
          <cell r="G62">
            <v>13428.719298245614</v>
          </cell>
          <cell r="H62">
            <v>45</v>
          </cell>
          <cell r="I62">
            <v>0</v>
          </cell>
          <cell r="J62">
            <v>78</v>
          </cell>
          <cell r="K62">
            <v>0</v>
          </cell>
          <cell r="L62">
            <v>61</v>
          </cell>
          <cell r="M62">
            <v>6</v>
          </cell>
          <cell r="N62">
            <v>43</v>
          </cell>
          <cell r="O62">
            <v>5</v>
          </cell>
          <cell r="R62">
            <v>228</v>
          </cell>
          <cell r="S62">
            <v>1</v>
          </cell>
          <cell r="T62">
            <v>0</v>
          </cell>
          <cell r="U62">
            <v>0</v>
          </cell>
          <cell r="V62">
            <v>228</v>
          </cell>
          <cell r="W62">
            <v>1</v>
          </cell>
          <cell r="X62">
            <v>2844075</v>
          </cell>
          <cell r="Y62">
            <v>3061748</v>
          </cell>
          <cell r="AB62">
            <v>78</v>
          </cell>
          <cell r="AD62">
            <v>43</v>
          </cell>
          <cell r="AF62">
            <v>121</v>
          </cell>
          <cell r="AG62">
            <v>121</v>
          </cell>
          <cell r="AI62">
            <v>-45</v>
          </cell>
          <cell r="AJ62">
            <v>-561330</v>
          </cell>
          <cell r="AK62">
            <v>-604291</v>
          </cell>
          <cell r="AL62">
            <v>0</v>
          </cell>
          <cell r="AM62">
            <v>0</v>
          </cell>
          <cell r="AN62">
            <v>0</v>
          </cell>
          <cell r="AO62">
            <v>-61</v>
          </cell>
          <cell r="AP62">
            <v>-760914</v>
          </cell>
          <cell r="AQ62">
            <v>-819151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-106</v>
          </cell>
          <cell r="AY62">
            <v>-1322244</v>
          </cell>
          <cell r="AZ62">
            <v>-1423442</v>
          </cell>
        </row>
        <row r="63">
          <cell r="B63">
            <v>101312</v>
          </cell>
          <cell r="C63" t="str">
            <v>Isabel C 10kg</v>
          </cell>
          <cell r="D63">
            <v>1</v>
          </cell>
          <cell r="E63">
            <v>10</v>
          </cell>
          <cell r="F63">
            <v>0</v>
          </cell>
          <cell r="G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AF63">
            <v>0</v>
          </cell>
          <cell r="AG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</row>
        <row r="64">
          <cell r="B64">
            <v>101313</v>
          </cell>
          <cell r="C64" t="str">
            <v>Isabel D 10kg</v>
          </cell>
          <cell r="D64">
            <v>1</v>
          </cell>
          <cell r="E64">
            <v>10</v>
          </cell>
          <cell r="F64">
            <v>0</v>
          </cell>
          <cell r="G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AF64">
            <v>0</v>
          </cell>
          <cell r="AG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</row>
        <row r="65">
          <cell r="B65">
            <v>101320</v>
          </cell>
          <cell r="C65" t="str">
            <v>Isabel A 4.5kg</v>
          </cell>
          <cell r="D65">
            <v>4.5</v>
          </cell>
          <cell r="E65">
            <v>1</v>
          </cell>
          <cell r="F65">
            <v>4995</v>
          </cell>
          <cell r="G65">
            <v>5454</v>
          </cell>
          <cell r="L65">
            <v>2</v>
          </cell>
          <cell r="M65">
            <v>0</v>
          </cell>
          <cell r="N65">
            <v>0</v>
          </cell>
          <cell r="O65">
            <v>0</v>
          </cell>
          <cell r="R65">
            <v>2</v>
          </cell>
          <cell r="S65">
            <v>0</v>
          </cell>
          <cell r="T65">
            <v>0</v>
          </cell>
          <cell r="U65">
            <v>0</v>
          </cell>
          <cell r="V65">
            <v>2</v>
          </cell>
          <cell r="W65">
            <v>0</v>
          </cell>
          <cell r="X65">
            <v>9990</v>
          </cell>
          <cell r="Y65">
            <v>10908</v>
          </cell>
          <cell r="AC65">
            <v>2</v>
          </cell>
          <cell r="AF65">
            <v>2</v>
          </cell>
          <cell r="AG65">
            <v>2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</row>
        <row r="66">
          <cell r="B66">
            <v>101322</v>
          </cell>
          <cell r="C66" t="str">
            <v>Isabel C 4.5kg</v>
          </cell>
          <cell r="D66">
            <v>4.5</v>
          </cell>
          <cell r="E66">
            <v>1</v>
          </cell>
          <cell r="F66">
            <v>0</v>
          </cell>
          <cell r="G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AF66">
            <v>0</v>
          </cell>
          <cell r="AG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</row>
        <row r="67">
          <cell r="B67">
            <v>101323</v>
          </cell>
          <cell r="C67" t="str">
            <v>Isabel D 4.5kg</v>
          </cell>
          <cell r="D67">
            <v>4.5</v>
          </cell>
          <cell r="E67">
            <v>1</v>
          </cell>
          <cell r="F67">
            <v>0</v>
          </cell>
          <cell r="G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AF67">
            <v>0</v>
          </cell>
          <cell r="AG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</row>
        <row r="68">
          <cell r="B68">
            <v>101504</v>
          </cell>
          <cell r="C68" t="str">
            <v>Export S) 100 10P</v>
          </cell>
          <cell r="D68">
            <v>4.5</v>
          </cell>
          <cell r="E68">
            <v>1</v>
          </cell>
          <cell r="F68">
            <v>0</v>
          </cell>
          <cell r="G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AF68">
            <v>0</v>
          </cell>
          <cell r="AG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</row>
        <row r="69">
          <cell r="B69">
            <v>101505</v>
          </cell>
          <cell r="C69" t="str">
            <v>Pri Mix 20kg</v>
          </cell>
          <cell r="D69">
            <v>20</v>
          </cell>
          <cell r="E69">
            <v>1</v>
          </cell>
          <cell r="F69">
            <v>21282.444444444445</v>
          </cell>
          <cell r="G69">
            <v>23431.388888888891</v>
          </cell>
          <cell r="H69">
            <v>18</v>
          </cell>
          <cell r="I69">
            <v>0</v>
          </cell>
          <cell r="R69">
            <v>18</v>
          </cell>
          <cell r="S69">
            <v>0</v>
          </cell>
          <cell r="T69">
            <v>0</v>
          </cell>
          <cell r="U69">
            <v>0</v>
          </cell>
          <cell r="V69">
            <v>18</v>
          </cell>
          <cell r="W69">
            <v>0</v>
          </cell>
          <cell r="X69">
            <v>383084</v>
          </cell>
          <cell r="Y69">
            <v>421765</v>
          </cell>
          <cell r="Z69">
            <v>18</v>
          </cell>
          <cell r="AF69">
            <v>18</v>
          </cell>
          <cell r="AG69">
            <v>18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</row>
        <row r="70">
          <cell r="B70">
            <v>101521</v>
          </cell>
          <cell r="C70" t="str">
            <v>Scholar 4.5kg</v>
          </cell>
          <cell r="D70">
            <v>4.5</v>
          </cell>
          <cell r="E70">
            <v>1</v>
          </cell>
          <cell r="F70">
            <v>5081</v>
          </cell>
          <cell r="G70">
            <v>5588</v>
          </cell>
          <cell r="L70">
            <v>1</v>
          </cell>
          <cell r="M70">
            <v>0</v>
          </cell>
          <cell r="P70">
            <v>0</v>
          </cell>
          <cell r="Q70">
            <v>0</v>
          </cell>
          <cell r="R70">
            <v>1</v>
          </cell>
          <cell r="S70">
            <v>0</v>
          </cell>
          <cell r="T70">
            <v>0</v>
          </cell>
          <cell r="U70">
            <v>0</v>
          </cell>
          <cell r="V70">
            <v>1</v>
          </cell>
          <cell r="W70">
            <v>0</v>
          </cell>
          <cell r="X70">
            <v>5081</v>
          </cell>
          <cell r="Y70">
            <v>5588</v>
          </cell>
          <cell r="AC70">
            <v>1</v>
          </cell>
          <cell r="AF70">
            <v>1</v>
          </cell>
          <cell r="AG70">
            <v>1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</row>
        <row r="71">
          <cell r="B71">
            <v>101523</v>
          </cell>
          <cell r="C71" t="str">
            <v>Scholar-P 4.5kg</v>
          </cell>
          <cell r="D71">
            <v>4.5</v>
          </cell>
          <cell r="E71">
            <v>1</v>
          </cell>
          <cell r="F71">
            <v>0</v>
          </cell>
          <cell r="G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AF71">
            <v>0</v>
          </cell>
          <cell r="AG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</row>
        <row r="72">
          <cell r="B72">
            <v>101545</v>
          </cell>
          <cell r="C72" t="str">
            <v>Hi Pastry 500g</v>
          </cell>
          <cell r="D72">
            <v>0.5</v>
          </cell>
          <cell r="E72">
            <v>20</v>
          </cell>
          <cell r="F72">
            <v>12645.554545454546</v>
          </cell>
          <cell r="G72">
            <v>13616.854545454546</v>
          </cell>
          <cell r="H72">
            <v>220</v>
          </cell>
          <cell r="I72">
            <v>0</v>
          </cell>
          <cell r="R72">
            <v>220</v>
          </cell>
          <cell r="S72">
            <v>0</v>
          </cell>
          <cell r="T72">
            <v>0</v>
          </cell>
          <cell r="U72">
            <v>0</v>
          </cell>
          <cell r="V72">
            <v>220</v>
          </cell>
          <cell r="W72">
            <v>0</v>
          </cell>
          <cell r="X72">
            <v>2782022</v>
          </cell>
          <cell r="Y72">
            <v>2995708</v>
          </cell>
          <cell r="Z72">
            <v>220</v>
          </cell>
          <cell r="AF72">
            <v>220</v>
          </cell>
          <cell r="AG72">
            <v>220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</row>
        <row r="73">
          <cell r="B73">
            <v>101546</v>
          </cell>
          <cell r="C73" t="str">
            <v>Jenny 4.5kg</v>
          </cell>
          <cell r="D73">
            <v>4.5</v>
          </cell>
          <cell r="E73">
            <v>1</v>
          </cell>
          <cell r="F73">
            <v>4748.3538191395965</v>
          </cell>
          <cell r="G73">
            <v>5201.6663740122913</v>
          </cell>
          <cell r="H73">
            <v>979</v>
          </cell>
          <cell r="I73">
            <v>0</v>
          </cell>
          <cell r="L73">
            <v>90</v>
          </cell>
          <cell r="M73">
            <v>0</v>
          </cell>
          <cell r="N73">
            <v>70</v>
          </cell>
          <cell r="O73">
            <v>0</v>
          </cell>
          <cell r="R73">
            <v>1139</v>
          </cell>
          <cell r="S73">
            <v>0</v>
          </cell>
          <cell r="T73">
            <v>0</v>
          </cell>
          <cell r="U73">
            <v>0</v>
          </cell>
          <cell r="V73">
            <v>1139</v>
          </cell>
          <cell r="W73">
            <v>0</v>
          </cell>
          <cell r="X73">
            <v>5408375</v>
          </cell>
          <cell r="Y73">
            <v>5924698</v>
          </cell>
          <cell r="Z73">
            <v>979</v>
          </cell>
          <cell r="AC73">
            <v>90</v>
          </cell>
          <cell r="AD73">
            <v>70</v>
          </cell>
          <cell r="AF73">
            <v>1139</v>
          </cell>
          <cell r="AG73">
            <v>1139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</row>
        <row r="74">
          <cell r="B74">
            <v>101547</v>
          </cell>
          <cell r="C74" t="str">
            <v>Choco Cream 10kg</v>
          </cell>
          <cell r="D74">
            <v>10</v>
          </cell>
          <cell r="E74">
            <v>1</v>
          </cell>
          <cell r="F74">
            <v>0</v>
          </cell>
          <cell r="G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AF74">
            <v>0</v>
          </cell>
          <cell r="AG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</row>
        <row r="75">
          <cell r="B75">
            <v>101550</v>
          </cell>
          <cell r="C75" t="str">
            <v>Chongok 4.5kg (Bakery)</v>
          </cell>
          <cell r="D75">
            <v>4.5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1</v>
          </cell>
          <cell r="Y75">
            <v>2</v>
          </cell>
          <cell r="AF75">
            <v>0</v>
          </cell>
          <cell r="AG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</row>
        <row r="76">
          <cell r="B76">
            <v>101551</v>
          </cell>
          <cell r="C76" t="str">
            <v>Double Soft 4.5kg</v>
          </cell>
          <cell r="D76">
            <v>4.5</v>
          </cell>
          <cell r="E76">
            <v>1</v>
          </cell>
          <cell r="F76">
            <v>6422.3187732342003</v>
          </cell>
          <cell r="G76">
            <v>6882.9228624535317</v>
          </cell>
          <cell r="H76">
            <v>987</v>
          </cell>
          <cell r="I76">
            <v>0</v>
          </cell>
          <cell r="N76">
            <v>89</v>
          </cell>
          <cell r="O76">
            <v>0</v>
          </cell>
          <cell r="R76">
            <v>1076</v>
          </cell>
          <cell r="S76">
            <v>0</v>
          </cell>
          <cell r="T76">
            <v>0</v>
          </cell>
          <cell r="U76">
            <v>0</v>
          </cell>
          <cell r="V76">
            <v>1076</v>
          </cell>
          <cell r="W76">
            <v>0</v>
          </cell>
          <cell r="X76">
            <v>6910415</v>
          </cell>
          <cell r="Y76">
            <v>7406025</v>
          </cell>
          <cell r="Z76">
            <v>987</v>
          </cell>
          <cell r="AD76">
            <v>89</v>
          </cell>
          <cell r="AF76">
            <v>1076</v>
          </cell>
          <cell r="AG76">
            <v>1076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</row>
        <row r="77">
          <cell r="B77">
            <v>101558</v>
          </cell>
          <cell r="C77" t="str">
            <v>Mokdong Gold 10P (EWha)</v>
          </cell>
          <cell r="D77">
            <v>4.5</v>
          </cell>
          <cell r="E77">
            <v>1</v>
          </cell>
          <cell r="F77">
            <v>0</v>
          </cell>
          <cell r="G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AF77">
            <v>0</v>
          </cell>
          <cell r="AG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</row>
        <row r="78">
          <cell r="B78">
            <v>101559</v>
          </cell>
          <cell r="C78" t="str">
            <v>Hi Soft 3kg</v>
          </cell>
          <cell r="D78">
            <v>3</v>
          </cell>
          <cell r="E78">
            <v>4</v>
          </cell>
          <cell r="F78">
            <v>0</v>
          </cell>
          <cell r="G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AF78">
            <v>0</v>
          </cell>
          <cell r="AG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</row>
        <row r="79">
          <cell r="B79">
            <v>101563</v>
          </cell>
          <cell r="C79" t="str">
            <v>French 1.5kg</v>
          </cell>
          <cell r="D79">
            <v>1.5</v>
          </cell>
          <cell r="E79">
            <v>10</v>
          </cell>
          <cell r="F79">
            <v>0</v>
          </cell>
          <cell r="G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AF79">
            <v>0</v>
          </cell>
          <cell r="AG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</row>
        <row r="80">
          <cell r="B80">
            <v>101564</v>
          </cell>
          <cell r="C80" t="str">
            <v>H) 27kg</v>
          </cell>
          <cell r="D80">
            <v>27</v>
          </cell>
          <cell r="E80">
            <v>1</v>
          </cell>
          <cell r="F80">
            <v>26847.469648562299</v>
          </cell>
          <cell r="G80">
            <v>29509.479233226837</v>
          </cell>
          <cell r="H80">
            <v>462</v>
          </cell>
          <cell r="I80">
            <v>0</v>
          </cell>
          <cell r="J80">
            <v>164</v>
          </cell>
          <cell r="K80">
            <v>0</v>
          </cell>
          <cell r="R80">
            <v>626</v>
          </cell>
          <cell r="S80">
            <v>0</v>
          </cell>
          <cell r="T80">
            <v>0</v>
          </cell>
          <cell r="U80">
            <v>0</v>
          </cell>
          <cell r="V80">
            <v>626</v>
          </cell>
          <cell r="W80">
            <v>0</v>
          </cell>
          <cell r="X80">
            <v>16806516</v>
          </cell>
          <cell r="Y80">
            <v>18472934</v>
          </cell>
          <cell r="Z80">
            <v>462</v>
          </cell>
          <cell r="AB80">
            <v>164</v>
          </cell>
          <cell r="AF80">
            <v>626</v>
          </cell>
          <cell r="AG80">
            <v>626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</row>
        <row r="81">
          <cell r="B81">
            <v>101566</v>
          </cell>
          <cell r="C81" t="str">
            <v>Green 4.5kg</v>
          </cell>
          <cell r="D81">
            <v>4.5</v>
          </cell>
          <cell r="E81">
            <v>1</v>
          </cell>
          <cell r="F81">
            <v>6438.7992202729047</v>
          </cell>
          <cell r="G81">
            <v>6938.0448343079925</v>
          </cell>
          <cell r="H81">
            <v>513</v>
          </cell>
          <cell r="I81">
            <v>0</v>
          </cell>
          <cell r="R81">
            <v>513</v>
          </cell>
          <cell r="S81">
            <v>0</v>
          </cell>
          <cell r="T81">
            <v>0</v>
          </cell>
          <cell r="U81">
            <v>0</v>
          </cell>
          <cell r="V81">
            <v>513</v>
          </cell>
          <cell r="W81">
            <v>0</v>
          </cell>
          <cell r="X81">
            <v>3303104</v>
          </cell>
          <cell r="Y81">
            <v>3559217</v>
          </cell>
          <cell r="Z81">
            <v>513</v>
          </cell>
          <cell r="AF81">
            <v>513</v>
          </cell>
          <cell r="AG81">
            <v>513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</row>
        <row r="82">
          <cell r="B82">
            <v>101567</v>
          </cell>
          <cell r="C82" t="str">
            <v>Creamia 4.5kg</v>
          </cell>
          <cell r="D82">
            <v>4.5</v>
          </cell>
          <cell r="E82">
            <v>1</v>
          </cell>
          <cell r="F82">
            <v>4729.605170902717</v>
          </cell>
          <cell r="G82">
            <v>5148.3400525854513</v>
          </cell>
          <cell r="H82">
            <v>1613</v>
          </cell>
          <cell r="I82">
            <v>0</v>
          </cell>
          <cell r="J82">
            <v>320</v>
          </cell>
          <cell r="K82">
            <v>0</v>
          </cell>
          <cell r="L82">
            <v>71</v>
          </cell>
          <cell r="M82">
            <v>0</v>
          </cell>
          <cell r="N82">
            <v>264</v>
          </cell>
          <cell r="O82">
            <v>0</v>
          </cell>
          <cell r="P82">
            <v>14</v>
          </cell>
          <cell r="Q82">
            <v>0</v>
          </cell>
          <cell r="R82">
            <v>2282</v>
          </cell>
          <cell r="S82">
            <v>0</v>
          </cell>
          <cell r="T82">
            <v>0</v>
          </cell>
          <cell r="U82">
            <v>0</v>
          </cell>
          <cell r="V82">
            <v>2282</v>
          </cell>
          <cell r="W82">
            <v>0</v>
          </cell>
          <cell r="X82">
            <v>10792959</v>
          </cell>
          <cell r="Y82">
            <v>11748512</v>
          </cell>
          <cell r="Z82">
            <v>1613</v>
          </cell>
          <cell r="AB82">
            <v>320</v>
          </cell>
          <cell r="AC82">
            <v>71</v>
          </cell>
          <cell r="AD82">
            <v>264</v>
          </cell>
          <cell r="AE82">
            <v>14</v>
          </cell>
          <cell r="AF82">
            <v>2282</v>
          </cell>
          <cell r="AG82">
            <v>2282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3">
          <cell r="B83">
            <v>101568</v>
          </cell>
          <cell r="C83" t="str">
            <v>Diana 4.5kg</v>
          </cell>
          <cell r="D83">
            <v>4.5</v>
          </cell>
          <cell r="E83">
            <v>1</v>
          </cell>
          <cell r="F83">
            <v>7607.9753554502367</v>
          </cell>
          <cell r="G83">
            <v>8051.5055292259085</v>
          </cell>
          <cell r="H83">
            <v>2696</v>
          </cell>
          <cell r="I83">
            <v>0</v>
          </cell>
          <cell r="J83">
            <v>128</v>
          </cell>
          <cell r="K83">
            <v>0</v>
          </cell>
          <cell r="L83">
            <v>338</v>
          </cell>
          <cell r="M83">
            <v>0</v>
          </cell>
          <cell r="N83">
            <v>3</v>
          </cell>
          <cell r="O83">
            <v>0</v>
          </cell>
          <cell r="R83">
            <v>3165</v>
          </cell>
          <cell r="S83">
            <v>0</v>
          </cell>
          <cell r="T83">
            <v>0</v>
          </cell>
          <cell r="U83">
            <v>0</v>
          </cell>
          <cell r="V83">
            <v>3165</v>
          </cell>
          <cell r="W83">
            <v>0</v>
          </cell>
          <cell r="X83">
            <v>24079242</v>
          </cell>
          <cell r="Y83">
            <v>25483015</v>
          </cell>
          <cell r="Z83">
            <v>2696</v>
          </cell>
          <cell r="AB83">
            <v>128</v>
          </cell>
          <cell r="AC83">
            <v>338</v>
          </cell>
          <cell r="AD83">
            <v>3</v>
          </cell>
          <cell r="AF83">
            <v>3165</v>
          </cell>
          <cell r="AG83">
            <v>3165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</row>
        <row r="84">
          <cell r="B84">
            <v>101571</v>
          </cell>
          <cell r="C84" t="str">
            <v>Diana 1000 4.5kg</v>
          </cell>
          <cell r="D84">
            <v>4.5</v>
          </cell>
          <cell r="E84">
            <v>1</v>
          </cell>
          <cell r="F84">
            <v>0</v>
          </cell>
          <cell r="G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AF84">
            <v>0</v>
          </cell>
          <cell r="AG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</row>
        <row r="85">
          <cell r="B85">
            <v>101575</v>
          </cell>
          <cell r="C85" t="str">
            <v>Ferment 4.5kg</v>
          </cell>
          <cell r="D85">
            <v>4.5</v>
          </cell>
          <cell r="E85">
            <v>1</v>
          </cell>
          <cell r="F85">
            <v>0</v>
          </cell>
          <cell r="G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AF85">
            <v>0</v>
          </cell>
          <cell r="AG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6">
          <cell r="B86">
            <v>101576</v>
          </cell>
          <cell r="C86" t="str">
            <v>Diana 2000 4.5kg</v>
          </cell>
          <cell r="D86">
            <v>4.5</v>
          </cell>
          <cell r="E86">
            <v>1</v>
          </cell>
          <cell r="F86">
            <v>0</v>
          </cell>
          <cell r="G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AF86">
            <v>0</v>
          </cell>
          <cell r="AG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</row>
        <row r="87">
          <cell r="B87">
            <v>101577</v>
          </cell>
          <cell r="C87" t="str">
            <v>Marina 4.5kg</v>
          </cell>
          <cell r="D87">
            <v>4.5</v>
          </cell>
          <cell r="E87">
            <v>1</v>
          </cell>
          <cell r="F87">
            <v>7077.0539163090125</v>
          </cell>
          <cell r="G87">
            <v>7569.3243025751071</v>
          </cell>
          <cell r="H87">
            <v>2978</v>
          </cell>
          <cell r="I87">
            <v>0</v>
          </cell>
          <cell r="J87">
            <v>367</v>
          </cell>
          <cell r="K87">
            <v>0</v>
          </cell>
          <cell r="L87">
            <v>196</v>
          </cell>
          <cell r="M87">
            <v>0</v>
          </cell>
          <cell r="N87">
            <v>151</v>
          </cell>
          <cell r="O87">
            <v>0</v>
          </cell>
          <cell r="P87">
            <v>36</v>
          </cell>
          <cell r="Q87">
            <v>0</v>
          </cell>
          <cell r="R87">
            <v>3728</v>
          </cell>
          <cell r="S87">
            <v>0</v>
          </cell>
          <cell r="T87">
            <v>0</v>
          </cell>
          <cell r="U87">
            <v>0</v>
          </cell>
          <cell r="V87">
            <v>3728</v>
          </cell>
          <cell r="W87">
            <v>0</v>
          </cell>
          <cell r="X87">
            <v>26383257</v>
          </cell>
          <cell r="Y87">
            <v>28218441</v>
          </cell>
          <cell r="Z87">
            <v>2978</v>
          </cell>
          <cell r="AB87">
            <v>367</v>
          </cell>
          <cell r="AC87">
            <v>196</v>
          </cell>
          <cell r="AD87">
            <v>151</v>
          </cell>
          <cell r="AE87">
            <v>36</v>
          </cell>
          <cell r="AF87">
            <v>3728</v>
          </cell>
          <cell r="AG87">
            <v>3728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</row>
        <row r="88">
          <cell r="B88">
            <v>101578</v>
          </cell>
          <cell r="C88" t="str">
            <v>Marina 100 4.5kg</v>
          </cell>
          <cell r="D88">
            <v>4.5</v>
          </cell>
          <cell r="E88">
            <v>1</v>
          </cell>
          <cell r="F88">
            <v>0</v>
          </cell>
          <cell r="G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AF88">
            <v>0</v>
          </cell>
          <cell r="AG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</row>
        <row r="89">
          <cell r="B89">
            <v>101579</v>
          </cell>
          <cell r="C89" t="str">
            <v>Creamia 100 10kg</v>
          </cell>
          <cell r="D89">
            <v>10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1</v>
          </cell>
          <cell r="Y89">
            <v>2</v>
          </cell>
          <cell r="AF89">
            <v>0</v>
          </cell>
          <cell r="AG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</row>
        <row r="90">
          <cell r="B90">
            <v>101591</v>
          </cell>
          <cell r="C90" t="str">
            <v>Libero 10.56kg</v>
          </cell>
          <cell r="D90">
            <v>10.56</v>
          </cell>
          <cell r="E90">
            <v>1</v>
          </cell>
          <cell r="F90">
            <v>0</v>
          </cell>
          <cell r="G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AF90">
            <v>0</v>
          </cell>
          <cell r="AG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</row>
        <row r="91">
          <cell r="B91">
            <v>101602</v>
          </cell>
          <cell r="C91" t="str">
            <v>H) 10kg</v>
          </cell>
          <cell r="D91">
            <v>10</v>
          </cell>
          <cell r="E91">
            <v>1</v>
          </cell>
          <cell r="F91">
            <v>10011.37765205092</v>
          </cell>
          <cell r="G91">
            <v>10949.84441301273</v>
          </cell>
          <cell r="H91">
            <v>707</v>
          </cell>
          <cell r="I91">
            <v>0</v>
          </cell>
          <cell r="R91">
            <v>707</v>
          </cell>
          <cell r="S91">
            <v>0</v>
          </cell>
          <cell r="T91">
            <v>0</v>
          </cell>
          <cell r="U91">
            <v>0</v>
          </cell>
          <cell r="V91">
            <v>707</v>
          </cell>
          <cell r="W91">
            <v>0</v>
          </cell>
          <cell r="X91">
            <v>7078044</v>
          </cell>
          <cell r="Y91">
            <v>7741540</v>
          </cell>
          <cell r="Z91">
            <v>707</v>
          </cell>
          <cell r="AF91">
            <v>707</v>
          </cell>
          <cell r="AG91">
            <v>707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2">
          <cell r="B92">
            <v>101603</v>
          </cell>
          <cell r="C92" t="str">
            <v>Elise 9kg</v>
          </cell>
          <cell r="D92">
            <v>9</v>
          </cell>
          <cell r="E92">
            <v>1</v>
          </cell>
          <cell r="F92">
            <v>9804.4131054131049</v>
          </cell>
          <cell r="G92">
            <v>10891.390313390313</v>
          </cell>
          <cell r="H92">
            <v>295</v>
          </cell>
          <cell r="I92">
            <v>0</v>
          </cell>
          <cell r="L92">
            <v>56</v>
          </cell>
          <cell r="M92">
            <v>0</v>
          </cell>
          <cell r="R92">
            <v>351</v>
          </cell>
          <cell r="S92">
            <v>0</v>
          </cell>
          <cell r="T92">
            <v>0</v>
          </cell>
          <cell r="U92">
            <v>0</v>
          </cell>
          <cell r="V92">
            <v>351</v>
          </cell>
          <cell r="W92">
            <v>0</v>
          </cell>
          <cell r="X92">
            <v>3441349</v>
          </cell>
          <cell r="Y92">
            <v>3822878</v>
          </cell>
          <cell r="Z92">
            <v>295</v>
          </cell>
          <cell r="AC92">
            <v>56</v>
          </cell>
          <cell r="AF92">
            <v>351</v>
          </cell>
          <cell r="AG92">
            <v>351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3">
          <cell r="B93">
            <v>101604</v>
          </cell>
          <cell r="C93" t="str">
            <v>S) 100 9kg (Family)</v>
          </cell>
          <cell r="D93">
            <v>9</v>
          </cell>
          <cell r="E93">
            <v>1</v>
          </cell>
          <cell r="F93">
            <v>0</v>
          </cell>
          <cell r="G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AF93">
            <v>0</v>
          </cell>
          <cell r="AG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</row>
        <row r="94">
          <cell r="B94">
            <v>101605</v>
          </cell>
          <cell r="C94" t="str">
            <v>Royal 100 1.25kg</v>
          </cell>
          <cell r="D94">
            <v>1.25</v>
          </cell>
          <cell r="E94">
            <v>8</v>
          </cell>
          <cell r="F94">
            <v>11433.575068870523</v>
          </cell>
          <cell r="G94">
            <v>12440.217630853995</v>
          </cell>
          <cell r="H94">
            <v>1452</v>
          </cell>
          <cell r="I94">
            <v>0</v>
          </cell>
          <cell r="R94">
            <v>1452</v>
          </cell>
          <cell r="S94">
            <v>0</v>
          </cell>
          <cell r="T94">
            <v>0</v>
          </cell>
          <cell r="U94">
            <v>0</v>
          </cell>
          <cell r="V94">
            <v>1452</v>
          </cell>
          <cell r="W94">
            <v>0</v>
          </cell>
          <cell r="X94">
            <v>16601551</v>
          </cell>
          <cell r="Y94">
            <v>18063196</v>
          </cell>
          <cell r="Z94">
            <v>1452</v>
          </cell>
          <cell r="AF94">
            <v>1452</v>
          </cell>
          <cell r="AG94">
            <v>1452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5">
          <cell r="B95">
            <v>101606</v>
          </cell>
          <cell r="C95" t="str">
            <v>Crown 1000 4.5kg</v>
          </cell>
          <cell r="D95">
            <v>4.5</v>
          </cell>
          <cell r="E95">
            <v>1</v>
          </cell>
          <cell r="F95">
            <v>6242.0465949820791</v>
          </cell>
          <cell r="G95">
            <v>6721.0188172043008</v>
          </cell>
          <cell r="H95">
            <v>1116</v>
          </cell>
          <cell r="I95">
            <v>0</v>
          </cell>
          <cell r="R95">
            <v>1116</v>
          </cell>
          <cell r="S95">
            <v>0</v>
          </cell>
          <cell r="T95">
            <v>0</v>
          </cell>
          <cell r="U95">
            <v>0</v>
          </cell>
          <cell r="V95">
            <v>1116</v>
          </cell>
          <cell r="W95">
            <v>0</v>
          </cell>
          <cell r="X95">
            <v>6966124</v>
          </cell>
          <cell r="Y95">
            <v>7500657</v>
          </cell>
          <cell r="Z95">
            <v>1116</v>
          </cell>
          <cell r="AF95">
            <v>1116</v>
          </cell>
          <cell r="AG95">
            <v>1116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6">
          <cell r="B96">
            <v>101607</v>
          </cell>
          <cell r="C96" t="str">
            <v>Coffee Cream 10kg</v>
          </cell>
          <cell r="D96">
            <v>10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1</v>
          </cell>
          <cell r="Y96">
            <v>2</v>
          </cell>
          <cell r="AF96">
            <v>0</v>
          </cell>
          <cell r="AG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</row>
        <row r="97">
          <cell r="B97">
            <v>101608</v>
          </cell>
          <cell r="C97" t="str">
            <v>MDB 1.5kg</v>
          </cell>
          <cell r="D97">
            <v>1.5</v>
          </cell>
          <cell r="E97">
            <v>8</v>
          </cell>
          <cell r="F97">
            <v>17423.871657754011</v>
          </cell>
          <cell r="G97">
            <v>18616.074866310162</v>
          </cell>
          <cell r="H97">
            <v>187</v>
          </cell>
          <cell r="I97">
            <v>0</v>
          </cell>
          <cell r="R97">
            <v>187</v>
          </cell>
          <cell r="S97">
            <v>0</v>
          </cell>
          <cell r="T97">
            <v>0</v>
          </cell>
          <cell r="U97">
            <v>0</v>
          </cell>
          <cell r="V97">
            <v>187</v>
          </cell>
          <cell r="W97">
            <v>0</v>
          </cell>
          <cell r="X97">
            <v>3258264</v>
          </cell>
          <cell r="Y97">
            <v>3481206</v>
          </cell>
          <cell r="Z97">
            <v>187</v>
          </cell>
          <cell r="AF97">
            <v>187</v>
          </cell>
          <cell r="AG97">
            <v>187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</row>
        <row r="98">
          <cell r="B98">
            <v>101610</v>
          </cell>
          <cell r="C98" t="str">
            <v>Snow Soft 4.5kg</v>
          </cell>
          <cell r="D98">
            <v>4.5</v>
          </cell>
          <cell r="E98">
            <v>1</v>
          </cell>
          <cell r="F98">
            <v>5392.4415259537209</v>
          </cell>
          <cell r="G98">
            <v>5803.7804878048782</v>
          </cell>
          <cell r="H98">
            <v>1385</v>
          </cell>
          <cell r="I98">
            <v>0</v>
          </cell>
          <cell r="L98">
            <v>115</v>
          </cell>
          <cell r="M98">
            <v>0</v>
          </cell>
          <cell r="N98">
            <v>97</v>
          </cell>
          <cell r="O98">
            <v>0</v>
          </cell>
          <cell r="P98">
            <v>2</v>
          </cell>
          <cell r="Q98">
            <v>0</v>
          </cell>
          <cell r="R98">
            <v>1599</v>
          </cell>
          <cell r="S98">
            <v>0</v>
          </cell>
          <cell r="T98">
            <v>0</v>
          </cell>
          <cell r="U98">
            <v>0</v>
          </cell>
          <cell r="V98">
            <v>1599</v>
          </cell>
          <cell r="W98">
            <v>0</v>
          </cell>
          <cell r="X98">
            <v>8622514</v>
          </cell>
          <cell r="Y98">
            <v>9280245</v>
          </cell>
          <cell r="Z98">
            <v>1385</v>
          </cell>
          <cell r="AC98">
            <v>115</v>
          </cell>
          <cell r="AD98">
            <v>97</v>
          </cell>
          <cell r="AE98">
            <v>2</v>
          </cell>
          <cell r="AF98">
            <v>1599</v>
          </cell>
          <cell r="AG98">
            <v>1599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</row>
        <row r="99">
          <cell r="B99">
            <v>101611</v>
          </cell>
          <cell r="C99" t="str">
            <v>Alps-S 20kg</v>
          </cell>
          <cell r="D99">
            <v>20</v>
          </cell>
          <cell r="E99">
            <v>1</v>
          </cell>
          <cell r="F99">
            <v>19697.580851063831</v>
          </cell>
          <cell r="G99">
            <v>21818.219148936168</v>
          </cell>
          <cell r="H99">
            <v>840</v>
          </cell>
          <cell r="I99">
            <v>0</v>
          </cell>
          <cell r="L99">
            <v>100</v>
          </cell>
          <cell r="M99">
            <v>0</v>
          </cell>
          <cell r="R99">
            <v>940</v>
          </cell>
          <cell r="S99">
            <v>0</v>
          </cell>
          <cell r="T99">
            <v>0</v>
          </cell>
          <cell r="U99">
            <v>0</v>
          </cell>
          <cell r="V99">
            <v>940</v>
          </cell>
          <cell r="W99">
            <v>0</v>
          </cell>
          <cell r="X99">
            <v>18515726</v>
          </cell>
          <cell r="Y99">
            <v>20509126</v>
          </cell>
          <cell r="Z99">
            <v>840</v>
          </cell>
          <cell r="AC99">
            <v>100</v>
          </cell>
          <cell r="AF99">
            <v>940</v>
          </cell>
          <cell r="AG99">
            <v>940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</row>
        <row r="100">
          <cell r="B100">
            <v>101612</v>
          </cell>
          <cell r="C100" t="str">
            <v>Shanon 9kg</v>
          </cell>
          <cell r="D100">
            <v>9</v>
          </cell>
          <cell r="E100">
            <v>1</v>
          </cell>
          <cell r="F100">
            <v>9283.8200408997964</v>
          </cell>
          <cell r="G100">
            <v>10133.19427402863</v>
          </cell>
          <cell r="H100">
            <v>489</v>
          </cell>
          <cell r="I100">
            <v>0</v>
          </cell>
          <cell r="R100">
            <v>489</v>
          </cell>
          <cell r="S100">
            <v>0</v>
          </cell>
          <cell r="T100">
            <v>0</v>
          </cell>
          <cell r="U100">
            <v>0</v>
          </cell>
          <cell r="V100">
            <v>489</v>
          </cell>
          <cell r="W100">
            <v>0</v>
          </cell>
          <cell r="X100">
            <v>4539788</v>
          </cell>
          <cell r="Y100">
            <v>4955132</v>
          </cell>
          <cell r="Z100">
            <v>489</v>
          </cell>
          <cell r="AF100">
            <v>489</v>
          </cell>
          <cell r="AG100">
            <v>489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</row>
        <row r="101">
          <cell r="B101">
            <v>101613</v>
          </cell>
          <cell r="C101" t="str">
            <v>Mokdong Gold 100 4.5kg</v>
          </cell>
          <cell r="D101">
            <v>4.5</v>
          </cell>
          <cell r="E101">
            <v>1</v>
          </cell>
          <cell r="F101">
            <v>6192.9131587153106</v>
          </cell>
          <cell r="G101">
            <v>6658.064390396009</v>
          </cell>
          <cell r="H101">
            <v>6064</v>
          </cell>
          <cell r="I101">
            <v>0</v>
          </cell>
          <cell r="J101">
            <v>300</v>
          </cell>
          <cell r="K101">
            <v>0</v>
          </cell>
          <cell r="L101">
            <v>50</v>
          </cell>
          <cell r="M101">
            <v>0</v>
          </cell>
          <cell r="R101">
            <v>6414</v>
          </cell>
          <cell r="S101">
            <v>0</v>
          </cell>
          <cell r="T101">
            <v>0</v>
          </cell>
          <cell r="U101">
            <v>0</v>
          </cell>
          <cell r="V101">
            <v>6414</v>
          </cell>
          <cell r="W101">
            <v>0</v>
          </cell>
          <cell r="X101">
            <v>39721345</v>
          </cell>
          <cell r="Y101">
            <v>42704825</v>
          </cell>
          <cell r="Z101">
            <v>6064</v>
          </cell>
          <cell r="AB101">
            <v>300</v>
          </cell>
          <cell r="AC101">
            <v>50</v>
          </cell>
          <cell r="AF101">
            <v>6414</v>
          </cell>
          <cell r="AG101">
            <v>6414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  <row r="102">
          <cell r="B102">
            <v>101614</v>
          </cell>
          <cell r="C102" t="str">
            <v>Alps-S 3.3kg</v>
          </cell>
          <cell r="D102">
            <v>3.3</v>
          </cell>
          <cell r="E102">
            <v>1</v>
          </cell>
          <cell r="F102">
            <v>3429.9840109639104</v>
          </cell>
          <cell r="G102">
            <v>3753.9419826404751</v>
          </cell>
          <cell r="H102">
            <v>1939</v>
          </cell>
          <cell r="I102">
            <v>0</v>
          </cell>
          <cell r="L102">
            <v>250</v>
          </cell>
          <cell r="M102">
            <v>0</v>
          </cell>
          <cell r="R102">
            <v>2189</v>
          </cell>
          <cell r="S102">
            <v>0</v>
          </cell>
          <cell r="T102">
            <v>0</v>
          </cell>
          <cell r="U102">
            <v>0</v>
          </cell>
          <cell r="V102">
            <v>2189</v>
          </cell>
          <cell r="W102">
            <v>0</v>
          </cell>
          <cell r="X102">
            <v>7508235</v>
          </cell>
          <cell r="Y102">
            <v>8217379</v>
          </cell>
          <cell r="Z102">
            <v>1939</v>
          </cell>
          <cell r="AC102">
            <v>350</v>
          </cell>
          <cell r="AF102">
            <v>2289</v>
          </cell>
          <cell r="AG102">
            <v>2289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100</v>
          </cell>
          <cell r="AP102">
            <v>342998</v>
          </cell>
          <cell r="AQ102">
            <v>375394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100</v>
          </cell>
          <cell r="AY102">
            <v>342998</v>
          </cell>
          <cell r="AZ102">
            <v>375394</v>
          </cell>
        </row>
        <row r="103">
          <cell r="B103">
            <v>101615</v>
          </cell>
          <cell r="C103" t="str">
            <v>Alps-S 4.6kg</v>
          </cell>
          <cell r="D103">
            <v>4.5999999999999996</v>
          </cell>
          <cell r="E103">
            <v>1</v>
          </cell>
          <cell r="F103">
            <v>4688.666666666667</v>
          </cell>
          <cell r="G103">
            <v>5125.6279069767443</v>
          </cell>
          <cell r="H103">
            <v>1209</v>
          </cell>
          <cell r="I103">
            <v>0</v>
          </cell>
          <cell r="L103">
            <v>210</v>
          </cell>
          <cell r="M103">
            <v>0</v>
          </cell>
          <cell r="R103">
            <v>1419</v>
          </cell>
          <cell r="S103">
            <v>0</v>
          </cell>
          <cell r="T103">
            <v>0</v>
          </cell>
          <cell r="U103">
            <v>0</v>
          </cell>
          <cell r="V103">
            <v>1419</v>
          </cell>
          <cell r="W103">
            <v>0</v>
          </cell>
          <cell r="X103">
            <v>6653218</v>
          </cell>
          <cell r="Y103">
            <v>7273266</v>
          </cell>
          <cell r="Z103">
            <v>1209</v>
          </cell>
          <cell r="AC103">
            <v>260</v>
          </cell>
          <cell r="AF103">
            <v>1469</v>
          </cell>
          <cell r="AG103">
            <v>1469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50</v>
          </cell>
          <cell r="AP103">
            <v>234433</v>
          </cell>
          <cell r="AQ103">
            <v>256281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50</v>
          </cell>
          <cell r="AY103">
            <v>234433</v>
          </cell>
          <cell r="AZ103">
            <v>256281</v>
          </cell>
        </row>
        <row r="104">
          <cell r="B104">
            <v>101616</v>
          </cell>
          <cell r="C104" t="str">
            <v>S) 100 20kg</v>
          </cell>
          <cell r="D104">
            <v>20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1</v>
          </cell>
          <cell r="Y104">
            <v>2</v>
          </cell>
          <cell r="AF104">
            <v>0</v>
          </cell>
          <cell r="AG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</row>
        <row r="105">
          <cell r="B105">
            <v>101617</v>
          </cell>
          <cell r="C105" t="str">
            <v>New World 20kg</v>
          </cell>
          <cell r="D105">
            <v>20</v>
          </cell>
          <cell r="E105">
            <v>1</v>
          </cell>
          <cell r="F105">
            <v>20093.869897959183</v>
          </cell>
          <cell r="G105">
            <v>21925.295918367348</v>
          </cell>
          <cell r="H105">
            <v>392</v>
          </cell>
          <cell r="I105">
            <v>0</v>
          </cell>
          <cell r="R105">
            <v>392</v>
          </cell>
          <cell r="S105">
            <v>0</v>
          </cell>
          <cell r="T105">
            <v>0</v>
          </cell>
          <cell r="U105">
            <v>0</v>
          </cell>
          <cell r="V105">
            <v>392</v>
          </cell>
          <cell r="W105">
            <v>0</v>
          </cell>
          <cell r="X105">
            <v>7876797</v>
          </cell>
          <cell r="Y105">
            <v>8594716</v>
          </cell>
          <cell r="Z105">
            <v>392</v>
          </cell>
          <cell r="AF105">
            <v>392</v>
          </cell>
          <cell r="AG105">
            <v>392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</row>
        <row r="106">
          <cell r="B106">
            <v>101618</v>
          </cell>
          <cell r="C106" t="str">
            <v>Alps-S 7.7kg</v>
          </cell>
          <cell r="D106">
            <v>7.7</v>
          </cell>
          <cell r="E106">
            <v>1</v>
          </cell>
          <cell r="F106">
            <v>7724.0873671782765</v>
          </cell>
          <cell r="G106">
            <v>8544.7626918536007</v>
          </cell>
          <cell r="H106">
            <v>657</v>
          </cell>
          <cell r="I106">
            <v>0</v>
          </cell>
          <cell r="L106">
            <v>190</v>
          </cell>
          <cell r="M106">
            <v>0</v>
          </cell>
          <cell r="R106">
            <v>847</v>
          </cell>
          <cell r="S106">
            <v>0</v>
          </cell>
          <cell r="T106">
            <v>0</v>
          </cell>
          <cell r="U106">
            <v>0</v>
          </cell>
          <cell r="V106">
            <v>847</v>
          </cell>
          <cell r="W106">
            <v>0</v>
          </cell>
          <cell r="X106">
            <v>6542302</v>
          </cell>
          <cell r="Y106">
            <v>7237414</v>
          </cell>
          <cell r="Z106">
            <v>657</v>
          </cell>
          <cell r="AC106">
            <v>240</v>
          </cell>
          <cell r="AF106">
            <v>897</v>
          </cell>
          <cell r="AG106">
            <v>897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50</v>
          </cell>
          <cell r="AP106">
            <v>386204</v>
          </cell>
          <cell r="AQ106">
            <v>427238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50</v>
          </cell>
          <cell r="AY106">
            <v>386204</v>
          </cell>
          <cell r="AZ106">
            <v>427238</v>
          </cell>
        </row>
        <row r="107">
          <cell r="B107">
            <v>101620</v>
          </cell>
          <cell r="C107" t="str">
            <v>Fro Pie 2.5kg</v>
          </cell>
          <cell r="D107">
            <v>2.5</v>
          </cell>
          <cell r="E107">
            <v>6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20</v>
          </cell>
          <cell r="Y107">
            <v>21</v>
          </cell>
          <cell r="AF107">
            <v>0</v>
          </cell>
          <cell r="AG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</row>
        <row r="108">
          <cell r="B108">
            <v>101623</v>
          </cell>
          <cell r="C108" t="str">
            <v>IMF 4.5kg</v>
          </cell>
          <cell r="D108">
            <v>4.5</v>
          </cell>
          <cell r="E108">
            <v>1</v>
          </cell>
          <cell r="F108">
            <v>5948.7198399085191</v>
          </cell>
          <cell r="G108">
            <v>6418.9251000571758</v>
          </cell>
          <cell r="H108">
            <v>1039</v>
          </cell>
          <cell r="I108">
            <v>0</v>
          </cell>
          <cell r="J108">
            <v>423</v>
          </cell>
          <cell r="K108">
            <v>0</v>
          </cell>
          <cell r="L108">
            <v>187</v>
          </cell>
          <cell r="M108">
            <v>0</v>
          </cell>
          <cell r="P108">
            <v>100</v>
          </cell>
          <cell r="Q108">
            <v>0</v>
          </cell>
          <cell r="R108">
            <v>1749</v>
          </cell>
          <cell r="S108">
            <v>0</v>
          </cell>
          <cell r="T108">
            <v>0</v>
          </cell>
          <cell r="U108">
            <v>0</v>
          </cell>
          <cell r="V108">
            <v>1749</v>
          </cell>
          <cell r="W108">
            <v>0</v>
          </cell>
          <cell r="X108">
            <v>10404311</v>
          </cell>
          <cell r="Y108">
            <v>11226700</v>
          </cell>
          <cell r="Z108">
            <v>1039</v>
          </cell>
          <cell r="AB108">
            <v>423</v>
          </cell>
          <cell r="AC108">
            <v>187</v>
          </cell>
          <cell r="AE108">
            <v>100</v>
          </cell>
          <cell r="AF108">
            <v>1749</v>
          </cell>
          <cell r="AG108">
            <v>1749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</row>
        <row r="109">
          <cell r="B109">
            <v>101625</v>
          </cell>
          <cell r="C109" t="str">
            <v>Mokdong-K 4.5kg</v>
          </cell>
          <cell r="D109">
            <v>4.5</v>
          </cell>
          <cell r="E109">
            <v>1</v>
          </cell>
          <cell r="F109">
            <v>5809.1405672009869</v>
          </cell>
          <cell r="G109">
            <v>6258.3292231812575</v>
          </cell>
          <cell r="H109">
            <v>1622</v>
          </cell>
          <cell r="I109">
            <v>0</v>
          </cell>
          <cell r="R109">
            <v>1622</v>
          </cell>
          <cell r="S109">
            <v>0</v>
          </cell>
          <cell r="T109">
            <v>0</v>
          </cell>
          <cell r="U109">
            <v>0</v>
          </cell>
          <cell r="V109">
            <v>1622</v>
          </cell>
          <cell r="W109">
            <v>0</v>
          </cell>
          <cell r="X109">
            <v>9422426</v>
          </cell>
          <cell r="Y109">
            <v>10151010</v>
          </cell>
          <cell r="Z109">
            <v>1622</v>
          </cell>
          <cell r="AF109">
            <v>1622</v>
          </cell>
          <cell r="AG109">
            <v>1622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</row>
        <row r="110">
          <cell r="B110">
            <v>101627</v>
          </cell>
          <cell r="C110" t="str">
            <v>Big Deal 4.5kg</v>
          </cell>
          <cell r="D110">
            <v>4.5</v>
          </cell>
          <cell r="E110">
            <v>1</v>
          </cell>
          <cell r="F110">
            <v>6306.0306851618325</v>
          </cell>
          <cell r="G110">
            <v>6769.6569987389657</v>
          </cell>
          <cell r="H110">
            <v>1929</v>
          </cell>
          <cell r="I110">
            <v>0</v>
          </cell>
          <cell r="J110">
            <v>249</v>
          </cell>
          <cell r="K110">
            <v>0</v>
          </cell>
          <cell r="L110">
            <v>10</v>
          </cell>
          <cell r="M110">
            <v>0</v>
          </cell>
          <cell r="N110">
            <v>29</v>
          </cell>
          <cell r="O110">
            <v>0</v>
          </cell>
          <cell r="P110">
            <v>162</v>
          </cell>
          <cell r="Q110">
            <v>0</v>
          </cell>
          <cell r="R110">
            <v>2379</v>
          </cell>
          <cell r="S110">
            <v>0</v>
          </cell>
          <cell r="T110">
            <v>0</v>
          </cell>
          <cell r="U110">
            <v>0</v>
          </cell>
          <cell r="V110">
            <v>2379</v>
          </cell>
          <cell r="W110">
            <v>0</v>
          </cell>
          <cell r="X110">
            <v>15002047</v>
          </cell>
          <cell r="Y110">
            <v>16105014</v>
          </cell>
          <cell r="Z110">
            <v>1929</v>
          </cell>
          <cell r="AB110">
            <v>249</v>
          </cell>
          <cell r="AC110">
            <v>10</v>
          </cell>
          <cell r="AD110">
            <v>29</v>
          </cell>
          <cell r="AE110">
            <v>162</v>
          </cell>
          <cell r="AF110">
            <v>2379</v>
          </cell>
          <cell r="AG110">
            <v>2379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</row>
        <row r="111">
          <cell r="B111">
            <v>101628</v>
          </cell>
          <cell r="C111" t="str">
            <v>Asians 2.5kg</v>
          </cell>
          <cell r="D111">
            <v>2.5</v>
          </cell>
          <cell r="E111">
            <v>6</v>
          </cell>
          <cell r="F111">
            <v>19687.703862660943</v>
          </cell>
          <cell r="G111">
            <v>21197.141630901289</v>
          </cell>
          <cell r="H111">
            <v>228</v>
          </cell>
          <cell r="I111">
            <v>0</v>
          </cell>
          <cell r="L111">
            <v>5</v>
          </cell>
          <cell r="M111">
            <v>0</v>
          </cell>
          <cell r="R111">
            <v>233</v>
          </cell>
          <cell r="S111">
            <v>0</v>
          </cell>
          <cell r="T111">
            <v>0</v>
          </cell>
          <cell r="U111">
            <v>0</v>
          </cell>
          <cell r="V111">
            <v>233</v>
          </cell>
          <cell r="W111">
            <v>0</v>
          </cell>
          <cell r="X111">
            <v>4587235</v>
          </cell>
          <cell r="Y111">
            <v>4938934</v>
          </cell>
          <cell r="Z111">
            <v>228</v>
          </cell>
          <cell r="AC111">
            <v>5</v>
          </cell>
          <cell r="AF111">
            <v>233</v>
          </cell>
          <cell r="AG111">
            <v>233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</row>
        <row r="112">
          <cell r="B112">
            <v>101631</v>
          </cell>
          <cell r="C112" t="str">
            <v>New Elise 6.75kg</v>
          </cell>
          <cell r="D112">
            <v>6.75</v>
          </cell>
          <cell r="E112">
            <v>1</v>
          </cell>
          <cell r="F112">
            <v>0</v>
          </cell>
          <cell r="G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AF112">
            <v>0</v>
          </cell>
          <cell r="AG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</row>
        <row r="113">
          <cell r="B113">
            <v>101634</v>
          </cell>
          <cell r="C113" t="str">
            <v>Amma-Somssy 450g</v>
          </cell>
          <cell r="D113">
            <v>0.45</v>
          </cell>
          <cell r="E113">
            <v>6</v>
          </cell>
          <cell r="F113">
            <v>5853.3171070931849</v>
          </cell>
          <cell r="G113">
            <v>6092.4200278164117</v>
          </cell>
          <cell r="H113">
            <v>577</v>
          </cell>
          <cell r="I113">
            <v>0</v>
          </cell>
          <cell r="J113">
            <v>5</v>
          </cell>
          <cell r="K113">
            <v>0</v>
          </cell>
          <cell r="L113">
            <v>19</v>
          </cell>
          <cell r="M113">
            <v>0</v>
          </cell>
          <cell r="N113">
            <v>50</v>
          </cell>
          <cell r="O113">
            <v>0</v>
          </cell>
          <cell r="P113">
            <v>68</v>
          </cell>
          <cell r="Q113">
            <v>0</v>
          </cell>
          <cell r="R113">
            <v>719</v>
          </cell>
          <cell r="S113">
            <v>0</v>
          </cell>
          <cell r="T113">
            <v>0</v>
          </cell>
          <cell r="U113">
            <v>0</v>
          </cell>
          <cell r="V113">
            <v>719</v>
          </cell>
          <cell r="W113">
            <v>0</v>
          </cell>
          <cell r="X113">
            <v>4208535</v>
          </cell>
          <cell r="Y113">
            <v>4380450</v>
          </cell>
          <cell r="Z113">
            <v>577</v>
          </cell>
          <cell r="AB113">
            <v>5</v>
          </cell>
          <cell r="AC113">
            <v>19</v>
          </cell>
          <cell r="AD113">
            <v>50</v>
          </cell>
          <cell r="AE113">
            <v>68</v>
          </cell>
          <cell r="AF113">
            <v>719</v>
          </cell>
          <cell r="AG113">
            <v>719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</row>
        <row r="114">
          <cell r="B114">
            <v>101637</v>
          </cell>
          <cell r="C114" t="str">
            <v>Mokdong Gold 100 20kg</v>
          </cell>
          <cell r="D114">
            <v>20</v>
          </cell>
          <cell r="E114">
            <v>1</v>
          </cell>
          <cell r="F114">
            <v>27058.472527472528</v>
          </cell>
          <cell r="G114">
            <v>29241.186813186814</v>
          </cell>
          <cell r="H114">
            <v>243</v>
          </cell>
          <cell r="I114">
            <v>0</v>
          </cell>
          <cell r="L114">
            <v>30</v>
          </cell>
          <cell r="M114">
            <v>0</v>
          </cell>
          <cell r="R114">
            <v>273</v>
          </cell>
          <cell r="S114">
            <v>0</v>
          </cell>
          <cell r="T114">
            <v>0</v>
          </cell>
          <cell r="U114">
            <v>0</v>
          </cell>
          <cell r="V114">
            <v>273</v>
          </cell>
          <cell r="W114">
            <v>0</v>
          </cell>
          <cell r="X114">
            <v>7386963</v>
          </cell>
          <cell r="Y114">
            <v>7982844</v>
          </cell>
          <cell r="Z114">
            <v>243</v>
          </cell>
          <cell r="AC114">
            <v>60</v>
          </cell>
          <cell r="AF114">
            <v>303</v>
          </cell>
          <cell r="AG114">
            <v>303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30</v>
          </cell>
          <cell r="AP114">
            <v>811754</v>
          </cell>
          <cell r="AQ114">
            <v>877236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30</v>
          </cell>
          <cell r="AY114">
            <v>811754</v>
          </cell>
          <cell r="AZ114">
            <v>877236</v>
          </cell>
        </row>
        <row r="115">
          <cell r="B115">
            <v>101640</v>
          </cell>
          <cell r="C115" t="str">
            <v>Magellan 4.5kg</v>
          </cell>
          <cell r="D115">
            <v>4.5</v>
          </cell>
          <cell r="E115">
            <v>1</v>
          </cell>
          <cell r="F115">
            <v>4111.4430808294537</v>
          </cell>
          <cell r="G115">
            <v>4520.0126957257726</v>
          </cell>
          <cell r="H115">
            <v>1895</v>
          </cell>
          <cell r="I115">
            <v>0</v>
          </cell>
          <cell r="N115">
            <v>468</v>
          </cell>
          <cell r="O115">
            <v>0</v>
          </cell>
          <cell r="R115">
            <v>2363</v>
          </cell>
          <cell r="S115">
            <v>0</v>
          </cell>
          <cell r="T115">
            <v>0</v>
          </cell>
          <cell r="U115">
            <v>0</v>
          </cell>
          <cell r="V115">
            <v>2363</v>
          </cell>
          <cell r="W115">
            <v>0</v>
          </cell>
          <cell r="X115">
            <v>9715340</v>
          </cell>
          <cell r="Y115">
            <v>10680790</v>
          </cell>
          <cell r="Z115">
            <v>1895</v>
          </cell>
          <cell r="AD115">
            <v>468</v>
          </cell>
          <cell r="AF115">
            <v>2363</v>
          </cell>
          <cell r="AG115">
            <v>2363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</row>
        <row r="116">
          <cell r="B116">
            <v>101651</v>
          </cell>
          <cell r="C116" t="str">
            <v>Marina-C 4.5kg</v>
          </cell>
          <cell r="D116">
            <v>4.5</v>
          </cell>
          <cell r="E116">
            <v>1</v>
          </cell>
          <cell r="F116">
            <v>7145.5320456540821</v>
          </cell>
          <cell r="G116">
            <v>7635.70412642669</v>
          </cell>
          <cell r="H116">
            <v>1139</v>
          </cell>
          <cell r="I116">
            <v>0</v>
          </cell>
          <cell r="R116">
            <v>1139</v>
          </cell>
          <cell r="S116">
            <v>0</v>
          </cell>
          <cell r="T116">
            <v>0</v>
          </cell>
          <cell r="U116">
            <v>0</v>
          </cell>
          <cell r="V116">
            <v>1139</v>
          </cell>
          <cell r="W116">
            <v>0</v>
          </cell>
          <cell r="X116">
            <v>8138761</v>
          </cell>
          <cell r="Y116">
            <v>8697067</v>
          </cell>
          <cell r="Z116">
            <v>1139</v>
          </cell>
          <cell r="AF116">
            <v>1139</v>
          </cell>
          <cell r="AG116">
            <v>1139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</row>
        <row r="117">
          <cell r="B117">
            <v>101681</v>
          </cell>
          <cell r="C117" t="str">
            <v>Korombo 1.5kg</v>
          </cell>
          <cell r="D117">
            <v>1.5</v>
          </cell>
          <cell r="E117">
            <v>10</v>
          </cell>
          <cell r="F117">
            <v>17020.225806451614</v>
          </cell>
          <cell r="G117">
            <v>18534.017137096773</v>
          </cell>
          <cell r="H117">
            <v>992</v>
          </cell>
          <cell r="I117">
            <v>0</v>
          </cell>
          <cell r="R117">
            <v>992</v>
          </cell>
          <cell r="S117">
            <v>0</v>
          </cell>
          <cell r="T117">
            <v>0</v>
          </cell>
          <cell r="U117">
            <v>0</v>
          </cell>
          <cell r="V117">
            <v>992</v>
          </cell>
          <cell r="W117">
            <v>0</v>
          </cell>
          <cell r="X117">
            <v>16884064</v>
          </cell>
          <cell r="Y117">
            <v>18385745</v>
          </cell>
          <cell r="Z117">
            <v>992</v>
          </cell>
          <cell r="AF117">
            <v>992</v>
          </cell>
          <cell r="AG117">
            <v>992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</row>
        <row r="118">
          <cell r="B118">
            <v>101701</v>
          </cell>
          <cell r="C118" t="str">
            <v>Export S) 450g</v>
          </cell>
          <cell r="D118">
            <v>0.45</v>
          </cell>
          <cell r="E118">
            <v>20</v>
          </cell>
          <cell r="F118">
            <v>0</v>
          </cell>
          <cell r="G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AF118">
            <v>0</v>
          </cell>
          <cell r="AG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</row>
        <row r="119">
          <cell r="B119">
            <v>103002</v>
          </cell>
          <cell r="C119" t="str">
            <v>800 20kg</v>
          </cell>
          <cell r="D119">
            <v>20</v>
          </cell>
          <cell r="E119">
            <v>1</v>
          </cell>
          <cell r="F119">
            <v>0</v>
          </cell>
          <cell r="G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AF119">
            <v>0</v>
          </cell>
          <cell r="AG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</row>
        <row r="120">
          <cell r="B120">
            <v>103003</v>
          </cell>
          <cell r="C120" t="str">
            <v>Pri Mix 20kg</v>
          </cell>
          <cell r="D120">
            <v>20</v>
          </cell>
          <cell r="E120">
            <v>1</v>
          </cell>
          <cell r="F120">
            <v>0</v>
          </cell>
          <cell r="G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AF120">
            <v>0</v>
          </cell>
          <cell r="AG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</row>
        <row r="121">
          <cell r="B121">
            <v>103005</v>
          </cell>
          <cell r="C121" t="str">
            <v>New Star 13kg</v>
          </cell>
          <cell r="D121">
            <v>13</v>
          </cell>
          <cell r="E121">
            <v>1</v>
          </cell>
          <cell r="F121">
            <v>0</v>
          </cell>
          <cell r="G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AF121">
            <v>0</v>
          </cell>
          <cell r="AG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</row>
        <row r="122">
          <cell r="B122">
            <v>103007</v>
          </cell>
          <cell r="C122" t="str">
            <v>Cream 12.5kg</v>
          </cell>
          <cell r="D122">
            <v>12.5</v>
          </cell>
          <cell r="E122">
            <v>1</v>
          </cell>
          <cell r="F122">
            <v>15797.442307692309</v>
          </cell>
          <cell r="G122">
            <v>17098.670329670331</v>
          </cell>
          <cell r="H122">
            <v>364</v>
          </cell>
          <cell r="I122">
            <v>0</v>
          </cell>
          <cell r="R122">
            <v>364</v>
          </cell>
          <cell r="S122">
            <v>0</v>
          </cell>
          <cell r="T122">
            <v>0</v>
          </cell>
          <cell r="U122">
            <v>0</v>
          </cell>
          <cell r="V122">
            <v>364</v>
          </cell>
          <cell r="W122">
            <v>0</v>
          </cell>
          <cell r="X122">
            <v>5750269</v>
          </cell>
          <cell r="Y122">
            <v>6223916</v>
          </cell>
          <cell r="Z122">
            <v>364</v>
          </cell>
          <cell r="AF122">
            <v>364</v>
          </cell>
          <cell r="AG122">
            <v>364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</row>
        <row r="123">
          <cell r="B123">
            <v>103020</v>
          </cell>
          <cell r="C123" t="str">
            <v>10P (COMMON)</v>
          </cell>
          <cell r="D123">
            <v>4.5</v>
          </cell>
          <cell r="E123">
            <v>1</v>
          </cell>
          <cell r="F123">
            <v>4487.9318818040438</v>
          </cell>
          <cell r="G123">
            <v>4848.4951788491444</v>
          </cell>
          <cell r="H123">
            <v>2365</v>
          </cell>
          <cell r="I123">
            <v>0</v>
          </cell>
          <cell r="J123">
            <v>294</v>
          </cell>
          <cell r="K123">
            <v>0</v>
          </cell>
          <cell r="L123">
            <v>121</v>
          </cell>
          <cell r="M123">
            <v>0</v>
          </cell>
          <cell r="N123">
            <v>284</v>
          </cell>
          <cell r="O123">
            <v>0</v>
          </cell>
          <cell r="P123">
            <v>151</v>
          </cell>
          <cell r="Q123">
            <v>0</v>
          </cell>
          <cell r="R123">
            <v>3215</v>
          </cell>
          <cell r="S123">
            <v>0</v>
          </cell>
          <cell r="T123">
            <v>0</v>
          </cell>
          <cell r="U123">
            <v>0</v>
          </cell>
          <cell r="V123">
            <v>3215</v>
          </cell>
          <cell r="W123">
            <v>0</v>
          </cell>
          <cell r="X123">
            <v>14428701</v>
          </cell>
          <cell r="Y123">
            <v>15587912</v>
          </cell>
          <cell r="Z123">
            <v>2365</v>
          </cell>
          <cell r="AB123">
            <v>294</v>
          </cell>
          <cell r="AC123">
            <v>121</v>
          </cell>
          <cell r="AD123">
            <v>284</v>
          </cell>
          <cell r="AE123">
            <v>151</v>
          </cell>
          <cell r="AF123">
            <v>3215</v>
          </cell>
          <cell r="AG123">
            <v>3215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</row>
        <row r="124">
          <cell r="B124">
            <v>103050</v>
          </cell>
          <cell r="C124" t="str">
            <v>14KG (CAN)</v>
          </cell>
          <cell r="D124">
            <v>14</v>
          </cell>
          <cell r="E124">
            <v>1</v>
          </cell>
          <cell r="F124">
            <v>14926.813909774437</v>
          </cell>
          <cell r="G124">
            <v>16416.112781954886</v>
          </cell>
          <cell r="H124">
            <v>404</v>
          </cell>
          <cell r="I124">
            <v>0</v>
          </cell>
          <cell r="L124">
            <v>71</v>
          </cell>
          <cell r="M124">
            <v>0</v>
          </cell>
          <cell r="N124">
            <v>57</v>
          </cell>
          <cell r="O124">
            <v>0</v>
          </cell>
          <cell r="P124">
            <v>0</v>
          </cell>
          <cell r="Q124">
            <v>0</v>
          </cell>
          <cell r="R124">
            <v>532</v>
          </cell>
          <cell r="S124">
            <v>0</v>
          </cell>
          <cell r="T124">
            <v>0</v>
          </cell>
          <cell r="U124">
            <v>0</v>
          </cell>
          <cell r="V124">
            <v>532</v>
          </cell>
          <cell r="W124">
            <v>0</v>
          </cell>
          <cell r="X124">
            <v>7941065</v>
          </cell>
          <cell r="Y124">
            <v>8733372</v>
          </cell>
          <cell r="Z124">
            <v>404</v>
          </cell>
          <cell r="AC124">
            <v>71</v>
          </cell>
          <cell r="AD124">
            <v>57</v>
          </cell>
          <cell r="AF124">
            <v>532</v>
          </cell>
          <cell r="AG124">
            <v>532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</row>
        <row r="125">
          <cell r="B125">
            <v>103052</v>
          </cell>
          <cell r="C125" t="str">
            <v>14KG (BOX)</v>
          </cell>
          <cell r="D125">
            <v>14</v>
          </cell>
          <cell r="E125">
            <v>1</v>
          </cell>
          <cell r="F125">
            <v>13690.921810699589</v>
          </cell>
          <cell r="G125">
            <v>14854.193415637859</v>
          </cell>
          <cell r="H125">
            <v>2694</v>
          </cell>
          <cell r="I125">
            <v>0</v>
          </cell>
          <cell r="J125">
            <v>46</v>
          </cell>
          <cell r="K125">
            <v>0</v>
          </cell>
          <cell r="L125">
            <v>55</v>
          </cell>
          <cell r="M125">
            <v>0</v>
          </cell>
          <cell r="N125">
            <v>33</v>
          </cell>
          <cell r="O125">
            <v>0</v>
          </cell>
          <cell r="P125">
            <v>88</v>
          </cell>
          <cell r="Q125">
            <v>0</v>
          </cell>
          <cell r="R125">
            <v>2916</v>
          </cell>
          <cell r="S125">
            <v>0</v>
          </cell>
          <cell r="T125">
            <v>0</v>
          </cell>
          <cell r="U125">
            <v>0</v>
          </cell>
          <cell r="V125">
            <v>2916</v>
          </cell>
          <cell r="W125">
            <v>0</v>
          </cell>
          <cell r="X125">
            <v>39922728</v>
          </cell>
          <cell r="Y125">
            <v>43314828</v>
          </cell>
          <cell r="Z125">
            <v>2694</v>
          </cell>
          <cell r="AB125">
            <v>46</v>
          </cell>
          <cell r="AC125">
            <v>55</v>
          </cell>
          <cell r="AD125">
            <v>33</v>
          </cell>
          <cell r="AE125">
            <v>88</v>
          </cell>
          <cell r="AF125">
            <v>2916</v>
          </cell>
          <cell r="AG125">
            <v>2916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</row>
        <row r="126">
          <cell r="B126">
            <v>103054</v>
          </cell>
          <cell r="C126" t="str">
            <v>LARD 14KG</v>
          </cell>
          <cell r="D126">
            <v>14</v>
          </cell>
          <cell r="E126">
            <v>1</v>
          </cell>
          <cell r="F126">
            <v>13082.631914893616</v>
          </cell>
          <cell r="G126">
            <v>14310.579787234043</v>
          </cell>
          <cell r="H126">
            <v>601</v>
          </cell>
          <cell r="I126">
            <v>0</v>
          </cell>
          <cell r="J126">
            <v>16</v>
          </cell>
          <cell r="K126">
            <v>0</v>
          </cell>
          <cell r="N126">
            <v>20</v>
          </cell>
          <cell r="O126">
            <v>0</v>
          </cell>
          <cell r="P126">
            <v>303</v>
          </cell>
          <cell r="Q126">
            <v>0</v>
          </cell>
          <cell r="R126">
            <v>940</v>
          </cell>
          <cell r="S126">
            <v>0</v>
          </cell>
          <cell r="T126">
            <v>0</v>
          </cell>
          <cell r="U126">
            <v>0</v>
          </cell>
          <cell r="V126">
            <v>940</v>
          </cell>
          <cell r="W126">
            <v>0</v>
          </cell>
          <cell r="X126">
            <v>12297674</v>
          </cell>
          <cell r="Y126">
            <v>13451945</v>
          </cell>
          <cell r="Z126">
            <v>601</v>
          </cell>
          <cell r="AB126">
            <v>16</v>
          </cell>
          <cell r="AD126">
            <v>20</v>
          </cell>
          <cell r="AE126">
            <v>303</v>
          </cell>
          <cell r="AF126">
            <v>940</v>
          </cell>
          <cell r="AG126">
            <v>940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7">
          <cell r="B127">
            <v>103055</v>
          </cell>
          <cell r="C127" t="str">
            <v>Lard 3.5kg</v>
          </cell>
          <cell r="D127">
            <v>3.5</v>
          </cell>
          <cell r="E127">
            <v>1</v>
          </cell>
          <cell r="F127">
            <v>3187.4389438943895</v>
          </cell>
          <cell r="G127">
            <v>3477.5027502750277</v>
          </cell>
          <cell r="H127">
            <v>579</v>
          </cell>
          <cell r="I127">
            <v>0</v>
          </cell>
          <cell r="L127">
            <v>330</v>
          </cell>
          <cell r="M127">
            <v>0</v>
          </cell>
          <cell r="R127">
            <v>909</v>
          </cell>
          <cell r="S127">
            <v>0</v>
          </cell>
          <cell r="T127">
            <v>0</v>
          </cell>
          <cell r="U127">
            <v>0</v>
          </cell>
          <cell r="V127">
            <v>909</v>
          </cell>
          <cell r="W127">
            <v>0</v>
          </cell>
          <cell r="X127">
            <v>2897382</v>
          </cell>
          <cell r="Y127">
            <v>3161050</v>
          </cell>
          <cell r="Z127">
            <v>579</v>
          </cell>
          <cell r="AC127">
            <v>330</v>
          </cell>
          <cell r="AF127">
            <v>909</v>
          </cell>
          <cell r="AG127">
            <v>909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</row>
        <row r="128">
          <cell r="B128">
            <v>103057</v>
          </cell>
          <cell r="C128" t="str">
            <v>Lard 20kg</v>
          </cell>
          <cell r="D128">
            <v>20</v>
          </cell>
          <cell r="E128">
            <v>1</v>
          </cell>
          <cell r="F128">
            <v>17118.548728813559</v>
          </cell>
          <cell r="G128">
            <v>18999.819915254237</v>
          </cell>
          <cell r="H128">
            <v>422</v>
          </cell>
          <cell r="I128">
            <v>0</v>
          </cell>
          <cell r="J128">
            <v>50</v>
          </cell>
          <cell r="K128">
            <v>0</v>
          </cell>
          <cell r="R128">
            <v>472</v>
          </cell>
          <cell r="S128">
            <v>0</v>
          </cell>
          <cell r="T128">
            <v>0</v>
          </cell>
          <cell r="U128">
            <v>0</v>
          </cell>
          <cell r="V128">
            <v>472</v>
          </cell>
          <cell r="W128">
            <v>0</v>
          </cell>
          <cell r="X128">
            <v>8079955</v>
          </cell>
          <cell r="Y128">
            <v>8967915</v>
          </cell>
          <cell r="Z128">
            <v>422</v>
          </cell>
          <cell r="AB128">
            <v>50</v>
          </cell>
          <cell r="AF128">
            <v>472</v>
          </cell>
          <cell r="AG128">
            <v>472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</row>
        <row r="129">
          <cell r="B129">
            <v>103058</v>
          </cell>
          <cell r="C129" t="str">
            <v>Lard-S 10kg</v>
          </cell>
          <cell r="D129">
            <v>10</v>
          </cell>
          <cell r="E129">
            <v>1</v>
          </cell>
          <cell r="F129">
            <v>8729.3786191536747</v>
          </cell>
          <cell r="G129">
            <v>9505.2249443207129</v>
          </cell>
          <cell r="H129">
            <v>449</v>
          </cell>
          <cell r="I129">
            <v>0</v>
          </cell>
          <cell r="R129">
            <v>449</v>
          </cell>
          <cell r="S129">
            <v>0</v>
          </cell>
          <cell r="T129">
            <v>0</v>
          </cell>
          <cell r="U129">
            <v>0</v>
          </cell>
          <cell r="V129">
            <v>449</v>
          </cell>
          <cell r="W129">
            <v>0</v>
          </cell>
          <cell r="X129">
            <v>3919491</v>
          </cell>
          <cell r="Y129">
            <v>4267846</v>
          </cell>
          <cell r="Z129">
            <v>449</v>
          </cell>
          <cell r="AF129">
            <v>449</v>
          </cell>
          <cell r="AG129">
            <v>449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</row>
        <row r="130">
          <cell r="B130">
            <v>103084</v>
          </cell>
          <cell r="C130" t="str">
            <v>V 100 22KG</v>
          </cell>
          <cell r="D130">
            <v>22</v>
          </cell>
          <cell r="E130">
            <v>1</v>
          </cell>
          <cell r="F130">
            <v>27359.867857142857</v>
          </cell>
          <cell r="G130">
            <v>29873.567857142858</v>
          </cell>
          <cell r="H130">
            <v>280</v>
          </cell>
          <cell r="I130">
            <v>0</v>
          </cell>
          <cell r="P130">
            <v>0</v>
          </cell>
          <cell r="Q130">
            <v>0</v>
          </cell>
          <cell r="R130">
            <v>280</v>
          </cell>
          <cell r="S130">
            <v>0</v>
          </cell>
          <cell r="T130">
            <v>0</v>
          </cell>
          <cell r="U130">
            <v>0</v>
          </cell>
          <cell r="V130">
            <v>280</v>
          </cell>
          <cell r="W130">
            <v>0</v>
          </cell>
          <cell r="X130">
            <v>7660763</v>
          </cell>
          <cell r="Y130">
            <v>8364599</v>
          </cell>
          <cell r="Z130">
            <v>280</v>
          </cell>
          <cell r="AF130">
            <v>280</v>
          </cell>
          <cell r="AG130">
            <v>280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1">
          <cell r="B131">
            <v>103094</v>
          </cell>
          <cell r="C131" t="str">
            <v>V 300 27kg</v>
          </cell>
          <cell r="D131">
            <v>27</v>
          </cell>
          <cell r="E131">
            <v>1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-3</v>
          </cell>
          <cell r="Y131">
            <v>9</v>
          </cell>
          <cell r="AF131">
            <v>0</v>
          </cell>
          <cell r="AG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</row>
        <row r="132">
          <cell r="B132">
            <v>103099</v>
          </cell>
          <cell r="C132" t="str">
            <v>Vegetable 400 27kg</v>
          </cell>
          <cell r="D132">
            <v>27</v>
          </cell>
          <cell r="E132">
            <v>1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2</v>
          </cell>
          <cell r="Y132">
            <v>2</v>
          </cell>
          <cell r="AF132">
            <v>0</v>
          </cell>
          <cell r="AG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</row>
        <row r="133">
          <cell r="B133">
            <v>103100</v>
          </cell>
          <cell r="C133" t="str">
            <v>Vegetable 400 24kg</v>
          </cell>
          <cell r="D133">
            <v>24</v>
          </cell>
          <cell r="E133">
            <v>1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-1</v>
          </cell>
          <cell r="Y133">
            <v>1</v>
          </cell>
          <cell r="AF133">
            <v>0</v>
          </cell>
          <cell r="AG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</row>
        <row r="134">
          <cell r="B134">
            <v>103110</v>
          </cell>
          <cell r="C134" t="str">
            <v>60P (COMMON)</v>
          </cell>
          <cell r="D134">
            <v>27</v>
          </cell>
          <cell r="E134">
            <v>1</v>
          </cell>
          <cell r="F134">
            <v>0</v>
          </cell>
          <cell r="G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AF134">
            <v>0</v>
          </cell>
          <cell r="AG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</row>
        <row r="135">
          <cell r="B135">
            <v>103111</v>
          </cell>
          <cell r="C135" t="str">
            <v>60P (BAKERY)</v>
          </cell>
          <cell r="D135">
            <v>27</v>
          </cell>
          <cell r="E135">
            <v>1</v>
          </cell>
          <cell r="F135">
            <v>26132.75568181818</v>
          </cell>
          <cell r="G135">
            <v>28334.65056818182</v>
          </cell>
          <cell r="H135">
            <v>352</v>
          </cell>
          <cell r="I135">
            <v>0</v>
          </cell>
          <cell r="R135">
            <v>352</v>
          </cell>
          <cell r="S135">
            <v>0</v>
          </cell>
          <cell r="T135">
            <v>0</v>
          </cell>
          <cell r="U135">
            <v>0</v>
          </cell>
          <cell r="V135">
            <v>352</v>
          </cell>
          <cell r="W135">
            <v>0</v>
          </cell>
          <cell r="X135">
            <v>9198730</v>
          </cell>
          <cell r="Y135">
            <v>9973797</v>
          </cell>
          <cell r="Z135">
            <v>352</v>
          </cell>
          <cell r="AF135">
            <v>352</v>
          </cell>
          <cell r="AG135">
            <v>352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</row>
        <row r="136">
          <cell r="B136">
            <v>103112</v>
          </cell>
          <cell r="C136" t="str">
            <v>LARD 60P</v>
          </cell>
          <cell r="D136">
            <v>27</v>
          </cell>
          <cell r="E136">
            <v>1</v>
          </cell>
          <cell r="F136">
            <v>23030.083333333332</v>
          </cell>
          <cell r="G136">
            <v>25400.875</v>
          </cell>
          <cell r="H136">
            <v>24</v>
          </cell>
          <cell r="I136">
            <v>0</v>
          </cell>
          <cell r="R136">
            <v>24</v>
          </cell>
          <cell r="S136">
            <v>0</v>
          </cell>
          <cell r="T136">
            <v>0</v>
          </cell>
          <cell r="U136">
            <v>0</v>
          </cell>
          <cell r="V136">
            <v>24</v>
          </cell>
          <cell r="W136">
            <v>0</v>
          </cell>
          <cell r="X136">
            <v>552722</v>
          </cell>
          <cell r="Y136">
            <v>609621</v>
          </cell>
          <cell r="Z136">
            <v>24</v>
          </cell>
          <cell r="AF136">
            <v>24</v>
          </cell>
          <cell r="AG136">
            <v>24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</row>
        <row r="137">
          <cell r="B137">
            <v>103116</v>
          </cell>
          <cell r="C137" t="str">
            <v>NEW STAR 60P (DONGYANG)</v>
          </cell>
          <cell r="D137">
            <v>27</v>
          </cell>
          <cell r="E137">
            <v>1</v>
          </cell>
          <cell r="F137">
            <v>29888.016260162603</v>
          </cell>
          <cell r="G137">
            <v>32080.506775067752</v>
          </cell>
          <cell r="H137">
            <v>369</v>
          </cell>
          <cell r="I137">
            <v>0</v>
          </cell>
          <cell r="R137">
            <v>369</v>
          </cell>
          <cell r="S137">
            <v>0</v>
          </cell>
          <cell r="T137">
            <v>0</v>
          </cell>
          <cell r="U137">
            <v>0</v>
          </cell>
          <cell r="V137">
            <v>369</v>
          </cell>
          <cell r="W137">
            <v>0</v>
          </cell>
          <cell r="X137">
            <v>11028678</v>
          </cell>
          <cell r="Y137">
            <v>11837707</v>
          </cell>
          <cell r="Z137">
            <v>369</v>
          </cell>
          <cell r="AF137">
            <v>369</v>
          </cell>
          <cell r="AG137">
            <v>369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</row>
        <row r="138">
          <cell r="B138">
            <v>103117</v>
          </cell>
          <cell r="C138" t="str">
            <v>NEW STAR 20KG</v>
          </cell>
          <cell r="D138">
            <v>20</v>
          </cell>
          <cell r="E138">
            <v>1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AF138">
            <v>0</v>
          </cell>
          <cell r="AG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9">
          <cell r="B139">
            <v>103121</v>
          </cell>
          <cell r="C139" t="str">
            <v>ALPS 400 27KG</v>
          </cell>
          <cell r="D139">
            <v>27</v>
          </cell>
          <cell r="E139">
            <v>1</v>
          </cell>
          <cell r="F139">
            <v>0</v>
          </cell>
          <cell r="G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AF139">
            <v>0</v>
          </cell>
          <cell r="AG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</row>
        <row r="140">
          <cell r="B140">
            <v>103124</v>
          </cell>
          <cell r="C140" t="str">
            <v>LILAC 100 27KG</v>
          </cell>
          <cell r="D140">
            <v>27</v>
          </cell>
          <cell r="E140">
            <v>1</v>
          </cell>
          <cell r="F140">
            <v>32460.633228840125</v>
          </cell>
          <cell r="G140">
            <v>35335.755485893416</v>
          </cell>
          <cell r="H140">
            <v>319</v>
          </cell>
          <cell r="I140">
            <v>0</v>
          </cell>
          <cell r="R140">
            <v>319</v>
          </cell>
          <cell r="S140">
            <v>0</v>
          </cell>
          <cell r="T140">
            <v>0</v>
          </cell>
          <cell r="U140">
            <v>0</v>
          </cell>
          <cell r="V140">
            <v>319</v>
          </cell>
          <cell r="W140">
            <v>0</v>
          </cell>
          <cell r="X140">
            <v>10354942</v>
          </cell>
          <cell r="Y140">
            <v>11272106</v>
          </cell>
          <cell r="Z140">
            <v>319</v>
          </cell>
          <cell r="AF140">
            <v>319</v>
          </cell>
          <cell r="AG140">
            <v>319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</row>
        <row r="141">
          <cell r="B141">
            <v>103133</v>
          </cell>
          <cell r="C141" t="str">
            <v>ALPS 300 29KG</v>
          </cell>
          <cell r="D141">
            <v>29</v>
          </cell>
          <cell r="E141">
            <v>1</v>
          </cell>
          <cell r="F141">
            <v>0</v>
          </cell>
          <cell r="G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AF141">
            <v>0</v>
          </cell>
          <cell r="AG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</row>
        <row r="142">
          <cell r="B142">
            <v>103136</v>
          </cell>
          <cell r="C142" t="str">
            <v>Alps 100 10kg</v>
          </cell>
          <cell r="D142">
            <v>10</v>
          </cell>
          <cell r="E142">
            <v>1</v>
          </cell>
          <cell r="F142">
            <v>0</v>
          </cell>
          <cell r="G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AF142">
            <v>0</v>
          </cell>
          <cell r="AG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</row>
        <row r="143">
          <cell r="B143">
            <v>103147</v>
          </cell>
          <cell r="C143" t="str">
            <v>Alps-1 20kg</v>
          </cell>
          <cell r="D143">
            <v>20</v>
          </cell>
          <cell r="E143">
            <v>1</v>
          </cell>
          <cell r="F143">
            <v>0</v>
          </cell>
          <cell r="G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AF143">
            <v>0</v>
          </cell>
          <cell r="AG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</row>
        <row r="144">
          <cell r="B144">
            <v>103150</v>
          </cell>
          <cell r="C144" t="str">
            <v>Vegetable 20kg</v>
          </cell>
          <cell r="D144">
            <v>20</v>
          </cell>
          <cell r="E144">
            <v>1</v>
          </cell>
          <cell r="F144">
            <v>20005.947580645163</v>
          </cell>
          <cell r="G144">
            <v>22293.991935483871</v>
          </cell>
          <cell r="H144">
            <v>148</v>
          </cell>
          <cell r="I144">
            <v>0</v>
          </cell>
          <cell r="J144">
            <v>100</v>
          </cell>
          <cell r="K144">
            <v>0</v>
          </cell>
          <cell r="R144">
            <v>248</v>
          </cell>
          <cell r="S144">
            <v>0</v>
          </cell>
          <cell r="T144">
            <v>0</v>
          </cell>
          <cell r="U144">
            <v>0</v>
          </cell>
          <cell r="V144">
            <v>248</v>
          </cell>
          <cell r="W144">
            <v>0</v>
          </cell>
          <cell r="X144">
            <v>4961475</v>
          </cell>
          <cell r="Y144">
            <v>5528910</v>
          </cell>
          <cell r="Z144">
            <v>148</v>
          </cell>
          <cell r="AB144">
            <v>100</v>
          </cell>
          <cell r="AF144">
            <v>248</v>
          </cell>
          <cell r="AG144">
            <v>248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</row>
        <row r="145">
          <cell r="B145">
            <v>103151</v>
          </cell>
          <cell r="C145" t="str">
            <v>Shortening for Pie 29kg</v>
          </cell>
          <cell r="D145">
            <v>29</v>
          </cell>
          <cell r="E145">
            <v>1</v>
          </cell>
          <cell r="F145">
            <v>28015.893092105263</v>
          </cell>
          <cell r="G145">
            <v>30671.222039473683</v>
          </cell>
          <cell r="H145">
            <v>608</v>
          </cell>
          <cell r="I145">
            <v>0</v>
          </cell>
          <cell r="R145">
            <v>608</v>
          </cell>
          <cell r="S145">
            <v>0</v>
          </cell>
          <cell r="T145">
            <v>0</v>
          </cell>
          <cell r="U145">
            <v>0</v>
          </cell>
          <cell r="V145">
            <v>608</v>
          </cell>
          <cell r="W145">
            <v>0</v>
          </cell>
          <cell r="X145">
            <v>17033663</v>
          </cell>
          <cell r="Y145">
            <v>18648103</v>
          </cell>
          <cell r="Z145">
            <v>608</v>
          </cell>
          <cell r="AF145">
            <v>608</v>
          </cell>
          <cell r="AG145">
            <v>608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</row>
        <row r="146">
          <cell r="B146">
            <v>103246</v>
          </cell>
          <cell r="C146" t="str">
            <v>ALPS 400 20KG</v>
          </cell>
          <cell r="D146">
            <v>20</v>
          </cell>
          <cell r="E146">
            <v>1</v>
          </cell>
          <cell r="F146">
            <v>19861.059360730593</v>
          </cell>
          <cell r="G146">
            <v>21544.568493150684</v>
          </cell>
          <cell r="H146">
            <v>438</v>
          </cell>
          <cell r="I146">
            <v>0</v>
          </cell>
          <cell r="R146">
            <v>438</v>
          </cell>
          <cell r="S146">
            <v>0</v>
          </cell>
          <cell r="T146">
            <v>0</v>
          </cell>
          <cell r="U146">
            <v>0</v>
          </cell>
          <cell r="V146">
            <v>438</v>
          </cell>
          <cell r="W146">
            <v>0</v>
          </cell>
          <cell r="X146">
            <v>8699144</v>
          </cell>
          <cell r="Y146">
            <v>9436521</v>
          </cell>
          <cell r="Z146">
            <v>438</v>
          </cell>
          <cell r="AF146">
            <v>438</v>
          </cell>
          <cell r="AG146">
            <v>438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7">
          <cell r="B147">
            <v>103247</v>
          </cell>
          <cell r="C147" t="str">
            <v>S) Liquid 16kg</v>
          </cell>
          <cell r="D147">
            <v>16</v>
          </cell>
          <cell r="E147">
            <v>1</v>
          </cell>
          <cell r="F147">
            <v>36453.181159420288</v>
          </cell>
          <cell r="G147">
            <v>38246.289855072464</v>
          </cell>
          <cell r="H147">
            <v>110</v>
          </cell>
          <cell r="I147">
            <v>0</v>
          </cell>
          <cell r="L147">
            <v>12</v>
          </cell>
          <cell r="M147">
            <v>0</v>
          </cell>
          <cell r="N147">
            <v>14</v>
          </cell>
          <cell r="O147">
            <v>0</v>
          </cell>
          <cell r="P147">
            <v>2</v>
          </cell>
          <cell r="Q147">
            <v>0</v>
          </cell>
          <cell r="R147">
            <v>138</v>
          </cell>
          <cell r="S147">
            <v>0</v>
          </cell>
          <cell r="T147">
            <v>0</v>
          </cell>
          <cell r="U147">
            <v>0</v>
          </cell>
          <cell r="V147">
            <v>138</v>
          </cell>
          <cell r="W147">
            <v>0</v>
          </cell>
          <cell r="X147">
            <v>5030539</v>
          </cell>
          <cell r="Y147">
            <v>5277988</v>
          </cell>
          <cell r="Z147">
            <v>110</v>
          </cell>
          <cell r="AC147">
            <v>12</v>
          </cell>
          <cell r="AD147">
            <v>14</v>
          </cell>
          <cell r="AE147">
            <v>2</v>
          </cell>
          <cell r="AF147">
            <v>138</v>
          </cell>
          <cell r="AG147">
            <v>138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</row>
        <row r="148">
          <cell r="B148">
            <v>103252</v>
          </cell>
          <cell r="C148" t="str">
            <v>Tallow 180kg</v>
          </cell>
          <cell r="D148">
            <v>180</v>
          </cell>
          <cell r="E148">
            <v>1</v>
          </cell>
          <cell r="F148">
            <v>156527.42424242425</v>
          </cell>
          <cell r="G148">
            <v>169492.84848484848</v>
          </cell>
          <cell r="H148">
            <v>33</v>
          </cell>
          <cell r="I148">
            <v>0</v>
          </cell>
          <cell r="R148">
            <v>33</v>
          </cell>
          <cell r="S148">
            <v>0</v>
          </cell>
          <cell r="T148">
            <v>0</v>
          </cell>
          <cell r="U148">
            <v>0</v>
          </cell>
          <cell r="V148">
            <v>33</v>
          </cell>
          <cell r="W148">
            <v>0</v>
          </cell>
          <cell r="X148">
            <v>5165405</v>
          </cell>
          <cell r="Y148">
            <v>5593264</v>
          </cell>
          <cell r="Z148">
            <v>33</v>
          </cell>
          <cell r="AF148">
            <v>33</v>
          </cell>
          <cell r="AG148">
            <v>33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</row>
        <row r="149">
          <cell r="B149">
            <v>103253</v>
          </cell>
          <cell r="C149" t="str">
            <v>TALLOW TK</v>
          </cell>
          <cell r="D149">
            <v>1</v>
          </cell>
          <cell r="E149">
            <v>1</v>
          </cell>
          <cell r="F149">
            <v>0</v>
          </cell>
          <cell r="G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AF149">
            <v>0</v>
          </cell>
          <cell r="AG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</row>
        <row r="150">
          <cell r="B150">
            <v>103263</v>
          </cell>
          <cell r="C150" t="str">
            <v>MILK TK</v>
          </cell>
          <cell r="D150">
            <v>1</v>
          </cell>
          <cell r="E150">
            <v>1</v>
          </cell>
          <cell r="F150">
            <v>0</v>
          </cell>
          <cell r="G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AF150">
            <v>0</v>
          </cell>
          <cell r="AG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</row>
        <row r="151">
          <cell r="B151">
            <v>103275</v>
          </cell>
          <cell r="C151" t="str">
            <v>New Star 13.5kg (HaiTai)</v>
          </cell>
          <cell r="D151">
            <v>13.5</v>
          </cell>
          <cell r="E151">
            <v>1</v>
          </cell>
          <cell r="F151">
            <v>0</v>
          </cell>
          <cell r="G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AF151">
            <v>0</v>
          </cell>
          <cell r="AG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</row>
        <row r="152">
          <cell r="B152">
            <v>103276</v>
          </cell>
          <cell r="C152" t="str">
            <v>Sun 14.5kg</v>
          </cell>
          <cell r="D152">
            <v>14.5</v>
          </cell>
          <cell r="E152">
            <v>1</v>
          </cell>
          <cell r="F152">
            <v>0</v>
          </cell>
          <cell r="G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AF152">
            <v>0</v>
          </cell>
          <cell r="AG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</row>
        <row r="153">
          <cell r="B153">
            <v>103277</v>
          </cell>
          <cell r="C153" t="str">
            <v>S) Liquid-F 16kg</v>
          </cell>
          <cell r="D153">
            <v>16</v>
          </cell>
          <cell r="E153">
            <v>1</v>
          </cell>
          <cell r="F153">
            <v>0</v>
          </cell>
          <cell r="G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AF153">
            <v>0</v>
          </cell>
          <cell r="AG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</row>
        <row r="154">
          <cell r="B154">
            <v>103279</v>
          </cell>
          <cell r="C154" t="str">
            <v>S) Liquid-D 16kg</v>
          </cell>
          <cell r="D154">
            <v>16</v>
          </cell>
          <cell r="E154">
            <v>1</v>
          </cell>
          <cell r="F154">
            <v>32603.737931034484</v>
          </cell>
          <cell r="G154">
            <v>34059.027586206896</v>
          </cell>
          <cell r="H154">
            <v>145</v>
          </cell>
          <cell r="I154">
            <v>0</v>
          </cell>
          <cell r="R154">
            <v>145</v>
          </cell>
          <cell r="S154">
            <v>0</v>
          </cell>
          <cell r="T154">
            <v>0</v>
          </cell>
          <cell r="U154">
            <v>0</v>
          </cell>
          <cell r="V154">
            <v>145</v>
          </cell>
          <cell r="W154">
            <v>0</v>
          </cell>
          <cell r="X154">
            <v>4727542</v>
          </cell>
          <cell r="Y154">
            <v>4938559</v>
          </cell>
          <cell r="Z154">
            <v>145</v>
          </cell>
          <cell r="AF154">
            <v>145</v>
          </cell>
          <cell r="AG154">
            <v>145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</row>
        <row r="155">
          <cell r="B155">
            <v>103281</v>
          </cell>
          <cell r="C155" t="str">
            <v>Milka 20kg</v>
          </cell>
          <cell r="D155">
            <v>20</v>
          </cell>
          <cell r="E155">
            <v>1</v>
          </cell>
          <cell r="F155">
            <v>21833.812865497075</v>
          </cell>
          <cell r="G155">
            <v>23688.169590643276</v>
          </cell>
          <cell r="H155">
            <v>171</v>
          </cell>
          <cell r="I155">
            <v>0</v>
          </cell>
          <cell r="R155">
            <v>171</v>
          </cell>
          <cell r="S155">
            <v>0</v>
          </cell>
          <cell r="T155">
            <v>0</v>
          </cell>
          <cell r="U155">
            <v>0</v>
          </cell>
          <cell r="V155">
            <v>171</v>
          </cell>
          <cell r="W155">
            <v>0</v>
          </cell>
          <cell r="X155">
            <v>3733582</v>
          </cell>
          <cell r="Y155">
            <v>4050677</v>
          </cell>
          <cell r="Z155">
            <v>171</v>
          </cell>
          <cell r="AF155">
            <v>171</v>
          </cell>
          <cell r="AG155">
            <v>171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</row>
        <row r="156">
          <cell r="B156">
            <v>103282</v>
          </cell>
          <cell r="C156" t="str">
            <v>Alps 400 25kg</v>
          </cell>
          <cell r="D156">
            <v>25</v>
          </cell>
          <cell r="E156">
            <v>1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1</v>
          </cell>
          <cell r="Y156">
            <v>1</v>
          </cell>
          <cell r="AF156">
            <v>0</v>
          </cell>
          <cell r="AG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</row>
        <row r="157">
          <cell r="B157">
            <v>103284</v>
          </cell>
          <cell r="C157" t="str">
            <v>B.K V 100 22kg</v>
          </cell>
          <cell r="D157">
            <v>22</v>
          </cell>
          <cell r="E157">
            <v>1</v>
          </cell>
          <cell r="F157">
            <v>27009.808678500987</v>
          </cell>
          <cell r="G157">
            <v>29405.499013806708</v>
          </cell>
          <cell r="H157">
            <v>507</v>
          </cell>
          <cell r="I157">
            <v>0</v>
          </cell>
          <cell r="R157">
            <v>507</v>
          </cell>
          <cell r="S157">
            <v>0</v>
          </cell>
          <cell r="T157">
            <v>0</v>
          </cell>
          <cell r="U157">
            <v>0</v>
          </cell>
          <cell r="V157">
            <v>507</v>
          </cell>
          <cell r="W157">
            <v>0</v>
          </cell>
          <cell r="X157">
            <v>13693973</v>
          </cell>
          <cell r="Y157">
            <v>14908588</v>
          </cell>
          <cell r="Z157">
            <v>507</v>
          </cell>
          <cell r="AF157">
            <v>507</v>
          </cell>
          <cell r="AG157">
            <v>507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</row>
        <row r="158">
          <cell r="B158">
            <v>103285</v>
          </cell>
          <cell r="C158" t="str">
            <v>Pan D'or 16kg</v>
          </cell>
          <cell r="D158">
            <v>16</v>
          </cell>
          <cell r="E158">
            <v>1</v>
          </cell>
          <cell r="F158">
            <v>0</v>
          </cell>
          <cell r="G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AF158">
            <v>0</v>
          </cell>
          <cell r="AG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</row>
        <row r="159">
          <cell r="B159">
            <v>103286</v>
          </cell>
          <cell r="C159" t="str">
            <v>Vegetable 500 20kg</v>
          </cell>
          <cell r="D159">
            <v>20</v>
          </cell>
          <cell r="E159">
            <v>1</v>
          </cell>
          <cell r="F159">
            <v>24856.24647887324</v>
          </cell>
          <cell r="G159">
            <v>27148.521126760563</v>
          </cell>
          <cell r="H159">
            <v>284</v>
          </cell>
          <cell r="I159">
            <v>0</v>
          </cell>
          <cell r="R159">
            <v>284</v>
          </cell>
          <cell r="S159">
            <v>0</v>
          </cell>
          <cell r="T159">
            <v>0</v>
          </cell>
          <cell r="U159">
            <v>0</v>
          </cell>
          <cell r="V159">
            <v>284</v>
          </cell>
          <cell r="W159">
            <v>0</v>
          </cell>
          <cell r="X159">
            <v>7059174</v>
          </cell>
          <cell r="Y159">
            <v>7710180</v>
          </cell>
          <cell r="Z159">
            <v>284</v>
          </cell>
          <cell r="AF159">
            <v>284</v>
          </cell>
          <cell r="AG159">
            <v>284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</row>
        <row r="160">
          <cell r="B160">
            <v>103287</v>
          </cell>
          <cell r="C160" t="str">
            <v>Vegetable Frying 16kg</v>
          </cell>
          <cell r="D160">
            <v>16</v>
          </cell>
          <cell r="E160">
            <v>1</v>
          </cell>
          <cell r="F160">
            <v>0</v>
          </cell>
          <cell r="G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AF160">
            <v>0</v>
          </cell>
          <cell r="AG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</row>
        <row r="161">
          <cell r="B161">
            <v>103288</v>
          </cell>
          <cell r="C161" t="str">
            <v>Popeye's 14kg</v>
          </cell>
          <cell r="D161">
            <v>14</v>
          </cell>
          <cell r="E161">
            <v>1</v>
          </cell>
          <cell r="F161">
            <v>18164.606356968216</v>
          </cell>
          <cell r="G161">
            <v>19659.149144254279</v>
          </cell>
          <cell r="H161">
            <v>1636</v>
          </cell>
          <cell r="I161">
            <v>0</v>
          </cell>
          <cell r="R161">
            <v>1636</v>
          </cell>
          <cell r="S161">
            <v>0</v>
          </cell>
          <cell r="T161">
            <v>0</v>
          </cell>
          <cell r="U161">
            <v>0</v>
          </cell>
          <cell r="V161">
            <v>1636</v>
          </cell>
          <cell r="W161">
            <v>0</v>
          </cell>
          <cell r="X161">
            <v>29717296</v>
          </cell>
          <cell r="Y161">
            <v>32162368</v>
          </cell>
          <cell r="Z161">
            <v>1636</v>
          </cell>
          <cell r="AF161">
            <v>1636</v>
          </cell>
          <cell r="AG161">
            <v>1636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</row>
        <row r="162">
          <cell r="B162">
            <v>103289</v>
          </cell>
          <cell r="C162" t="str">
            <v>Sun 14.55kg</v>
          </cell>
          <cell r="D162">
            <v>14.55</v>
          </cell>
          <cell r="E162">
            <v>1</v>
          </cell>
          <cell r="F162">
            <v>15535.364978902953</v>
          </cell>
          <cell r="G162">
            <v>17020.593881856541</v>
          </cell>
          <cell r="H162">
            <v>948</v>
          </cell>
          <cell r="I162">
            <v>0</v>
          </cell>
          <cell r="R162">
            <v>948</v>
          </cell>
          <cell r="S162">
            <v>0</v>
          </cell>
          <cell r="T162">
            <v>0</v>
          </cell>
          <cell r="U162">
            <v>0</v>
          </cell>
          <cell r="V162">
            <v>948</v>
          </cell>
          <cell r="W162">
            <v>0</v>
          </cell>
          <cell r="X162">
            <v>14727526</v>
          </cell>
          <cell r="Y162">
            <v>16135523</v>
          </cell>
          <cell r="Z162">
            <v>948</v>
          </cell>
          <cell r="AF162">
            <v>948</v>
          </cell>
          <cell r="AG162">
            <v>948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</row>
        <row r="163">
          <cell r="B163">
            <v>103290</v>
          </cell>
          <cell r="C163" t="str">
            <v>Frying 100 14kg</v>
          </cell>
          <cell r="D163">
            <v>14</v>
          </cell>
          <cell r="E163">
            <v>1</v>
          </cell>
          <cell r="F163">
            <v>0</v>
          </cell>
          <cell r="G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AF163">
            <v>0</v>
          </cell>
          <cell r="AG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</row>
        <row r="164">
          <cell r="B164">
            <v>103291</v>
          </cell>
          <cell r="C164" t="str">
            <v>Frying 200 14kg</v>
          </cell>
          <cell r="D164">
            <v>14</v>
          </cell>
          <cell r="E164">
            <v>1</v>
          </cell>
          <cell r="F164">
            <v>12556.085597129677</v>
          </cell>
          <cell r="G164">
            <v>13658.074833418759</v>
          </cell>
          <cell r="H164">
            <v>1815</v>
          </cell>
          <cell r="I164">
            <v>0</v>
          </cell>
          <cell r="J164">
            <v>171</v>
          </cell>
          <cell r="K164">
            <v>0</v>
          </cell>
          <cell r="L164">
            <v>-290</v>
          </cell>
          <cell r="M164">
            <v>0</v>
          </cell>
          <cell r="N164">
            <v>80</v>
          </cell>
          <cell r="O164">
            <v>0</v>
          </cell>
          <cell r="P164">
            <v>175</v>
          </cell>
          <cell r="Q164">
            <v>0</v>
          </cell>
          <cell r="R164">
            <v>1951</v>
          </cell>
          <cell r="S164">
            <v>0</v>
          </cell>
          <cell r="T164">
            <v>0</v>
          </cell>
          <cell r="U164">
            <v>0</v>
          </cell>
          <cell r="V164">
            <v>1951</v>
          </cell>
          <cell r="W164">
            <v>0</v>
          </cell>
          <cell r="X164">
            <v>24496923</v>
          </cell>
          <cell r="Y164">
            <v>26646904</v>
          </cell>
          <cell r="Z164">
            <v>1815</v>
          </cell>
          <cell r="AB164">
            <v>171</v>
          </cell>
          <cell r="AC164">
            <v>60</v>
          </cell>
          <cell r="AD164">
            <v>80</v>
          </cell>
          <cell r="AE164">
            <v>175</v>
          </cell>
          <cell r="AF164">
            <v>2301</v>
          </cell>
          <cell r="AG164">
            <v>2301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350</v>
          </cell>
          <cell r="AP164">
            <v>4394630</v>
          </cell>
          <cell r="AQ164">
            <v>4780326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350</v>
          </cell>
          <cell r="AY164">
            <v>4394630</v>
          </cell>
          <cell r="AZ164">
            <v>4780326</v>
          </cell>
        </row>
        <row r="165">
          <cell r="B165">
            <v>103292</v>
          </cell>
          <cell r="C165" t="str">
            <v>Frying 200 14kg</v>
          </cell>
          <cell r="D165">
            <v>14</v>
          </cell>
          <cell r="E165">
            <v>1</v>
          </cell>
          <cell r="F165">
            <v>11862.933333333332</v>
          </cell>
          <cell r="G165">
            <v>13038.434814814815</v>
          </cell>
          <cell r="H165">
            <v>731</v>
          </cell>
          <cell r="I165">
            <v>0</v>
          </cell>
          <cell r="L165">
            <v>350</v>
          </cell>
          <cell r="M165">
            <v>0</v>
          </cell>
          <cell r="N165">
            <v>4</v>
          </cell>
          <cell r="O165">
            <v>0</v>
          </cell>
          <cell r="P165">
            <v>265</v>
          </cell>
          <cell r="Q165">
            <v>0</v>
          </cell>
          <cell r="R165">
            <v>1350</v>
          </cell>
          <cell r="S165">
            <v>0</v>
          </cell>
          <cell r="T165">
            <v>0</v>
          </cell>
          <cell r="U165">
            <v>0</v>
          </cell>
          <cell r="V165">
            <v>1350</v>
          </cell>
          <cell r="W165">
            <v>0</v>
          </cell>
          <cell r="X165">
            <v>16014960</v>
          </cell>
          <cell r="Y165">
            <v>17601887</v>
          </cell>
          <cell r="Z165">
            <v>731</v>
          </cell>
          <cell r="AD165">
            <v>4</v>
          </cell>
          <cell r="AE165">
            <v>265</v>
          </cell>
          <cell r="AF165">
            <v>1000</v>
          </cell>
          <cell r="AG165">
            <v>1000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-350</v>
          </cell>
          <cell r="AP165">
            <v>-4152026</v>
          </cell>
          <cell r="AQ165">
            <v>-4563451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-350</v>
          </cell>
          <cell r="AY165">
            <v>-4152026</v>
          </cell>
          <cell r="AZ165">
            <v>-4563451</v>
          </cell>
        </row>
        <row r="166">
          <cell r="B166">
            <v>103300</v>
          </cell>
          <cell r="C166" t="str">
            <v>Alps 100 12kg</v>
          </cell>
          <cell r="D166">
            <v>12</v>
          </cell>
          <cell r="E166">
            <v>1</v>
          </cell>
          <cell r="F166">
            <v>11968.666666666666</v>
          </cell>
          <cell r="G166">
            <v>13059.456140350878</v>
          </cell>
          <cell r="H166">
            <v>285</v>
          </cell>
          <cell r="I166">
            <v>0</v>
          </cell>
          <cell r="R166">
            <v>285</v>
          </cell>
          <cell r="S166">
            <v>0</v>
          </cell>
          <cell r="T166">
            <v>0</v>
          </cell>
          <cell r="U166">
            <v>0</v>
          </cell>
          <cell r="V166">
            <v>285</v>
          </cell>
          <cell r="W166">
            <v>0</v>
          </cell>
          <cell r="X166">
            <v>3411070</v>
          </cell>
          <cell r="Y166">
            <v>3721945</v>
          </cell>
          <cell r="Z166">
            <v>245</v>
          </cell>
          <cell r="AF166">
            <v>245</v>
          </cell>
          <cell r="AG166">
            <v>245</v>
          </cell>
          <cell r="AI166">
            <v>-40</v>
          </cell>
          <cell r="AJ166">
            <v>-478746</v>
          </cell>
          <cell r="AK166">
            <v>-522377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-40</v>
          </cell>
          <cell r="AY166">
            <v>-478746</v>
          </cell>
          <cell r="AZ166">
            <v>-522377</v>
          </cell>
        </row>
        <row r="167">
          <cell r="B167">
            <v>103302</v>
          </cell>
          <cell r="C167" t="str">
            <v>Alps 300 14.5kg</v>
          </cell>
          <cell r="D167">
            <v>14.5</v>
          </cell>
          <cell r="E167">
            <v>1</v>
          </cell>
          <cell r="F167">
            <v>14662.497991967872</v>
          </cell>
          <cell r="G167">
            <v>16130.598393574297</v>
          </cell>
          <cell r="H167">
            <v>249</v>
          </cell>
          <cell r="I167">
            <v>0</v>
          </cell>
          <cell r="R167">
            <v>249</v>
          </cell>
          <cell r="S167">
            <v>0</v>
          </cell>
          <cell r="T167">
            <v>0</v>
          </cell>
          <cell r="U167">
            <v>0</v>
          </cell>
          <cell r="V167">
            <v>249</v>
          </cell>
          <cell r="W167">
            <v>0</v>
          </cell>
          <cell r="X167">
            <v>3650962</v>
          </cell>
          <cell r="Y167">
            <v>4016519</v>
          </cell>
          <cell r="Z167">
            <v>249</v>
          </cell>
          <cell r="AF167">
            <v>249</v>
          </cell>
          <cell r="AG167">
            <v>249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</row>
        <row r="168">
          <cell r="B168">
            <v>103304</v>
          </cell>
          <cell r="C168" t="str">
            <v>Alps 400 15kg</v>
          </cell>
          <cell r="D168">
            <v>15</v>
          </cell>
          <cell r="E168">
            <v>1</v>
          </cell>
          <cell r="F168">
            <v>0</v>
          </cell>
          <cell r="G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AF168">
            <v>0</v>
          </cell>
          <cell r="AG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</row>
        <row r="169">
          <cell r="B169">
            <v>103306</v>
          </cell>
          <cell r="C169" t="str">
            <v>Alps-S 20kg</v>
          </cell>
          <cell r="D169">
            <v>20</v>
          </cell>
          <cell r="E169">
            <v>1</v>
          </cell>
          <cell r="F169">
            <v>0</v>
          </cell>
          <cell r="G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AF169">
            <v>0</v>
          </cell>
          <cell r="AG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</row>
        <row r="170">
          <cell r="B170">
            <v>103307</v>
          </cell>
          <cell r="C170" t="str">
            <v>Alps-S 10kg</v>
          </cell>
          <cell r="D170">
            <v>10</v>
          </cell>
          <cell r="E170">
            <v>1</v>
          </cell>
          <cell r="F170">
            <v>9706.4262847514747</v>
          </cell>
          <cell r="G170">
            <v>10535.696714406065</v>
          </cell>
          <cell r="H170">
            <v>1076</v>
          </cell>
          <cell r="I170">
            <v>0</v>
          </cell>
          <cell r="L170">
            <v>101</v>
          </cell>
          <cell r="M170">
            <v>0</v>
          </cell>
          <cell r="N170">
            <v>10</v>
          </cell>
          <cell r="O170">
            <v>0</v>
          </cell>
          <cell r="R170">
            <v>1187</v>
          </cell>
          <cell r="S170">
            <v>0</v>
          </cell>
          <cell r="T170">
            <v>0</v>
          </cell>
          <cell r="U170">
            <v>0</v>
          </cell>
          <cell r="V170">
            <v>1187</v>
          </cell>
          <cell r="W170">
            <v>0</v>
          </cell>
          <cell r="X170">
            <v>11521528</v>
          </cell>
          <cell r="Y170">
            <v>12505872</v>
          </cell>
          <cell r="Z170">
            <v>1076</v>
          </cell>
          <cell r="AC170">
            <v>101</v>
          </cell>
          <cell r="AD170">
            <v>10</v>
          </cell>
          <cell r="AF170">
            <v>1187</v>
          </cell>
          <cell r="AG170">
            <v>1187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</row>
        <row r="171">
          <cell r="B171">
            <v>103308</v>
          </cell>
          <cell r="C171" t="str">
            <v>Alps-S 4.4kg</v>
          </cell>
          <cell r="D171">
            <v>4.4000000000000004</v>
          </cell>
          <cell r="E171">
            <v>1</v>
          </cell>
          <cell r="F171">
            <v>4339.3799237611183</v>
          </cell>
          <cell r="G171">
            <v>4706.0698856416775</v>
          </cell>
          <cell r="H171">
            <v>1574</v>
          </cell>
          <cell r="I171">
            <v>0</v>
          </cell>
          <cell r="R171">
            <v>1574</v>
          </cell>
          <cell r="S171">
            <v>0</v>
          </cell>
          <cell r="T171">
            <v>0</v>
          </cell>
          <cell r="U171">
            <v>0</v>
          </cell>
          <cell r="V171">
            <v>1574</v>
          </cell>
          <cell r="W171">
            <v>0</v>
          </cell>
          <cell r="X171">
            <v>6830184</v>
          </cell>
          <cell r="Y171">
            <v>7407354</v>
          </cell>
          <cell r="Z171">
            <v>1574</v>
          </cell>
          <cell r="AF171">
            <v>1574</v>
          </cell>
          <cell r="AG171">
            <v>1574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</row>
        <row r="172">
          <cell r="B172">
            <v>103310</v>
          </cell>
          <cell r="C172" t="str">
            <v>Vegetable 700 20kg</v>
          </cell>
          <cell r="D172">
            <v>20</v>
          </cell>
          <cell r="E172">
            <v>1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2</v>
          </cell>
          <cell r="Y172">
            <v>2</v>
          </cell>
          <cell r="AF172">
            <v>0</v>
          </cell>
          <cell r="AG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</row>
        <row r="173">
          <cell r="B173">
            <v>103313</v>
          </cell>
          <cell r="C173" t="str">
            <v>Vegetable 600 20kg</v>
          </cell>
          <cell r="D173">
            <v>20</v>
          </cell>
          <cell r="E173">
            <v>1</v>
          </cell>
          <cell r="F173">
            <v>24293.134920634922</v>
          </cell>
          <cell r="G173">
            <v>26500.158730158731</v>
          </cell>
          <cell r="H173">
            <v>252</v>
          </cell>
          <cell r="I173">
            <v>0</v>
          </cell>
          <cell r="R173">
            <v>252</v>
          </cell>
          <cell r="S173">
            <v>0</v>
          </cell>
          <cell r="T173">
            <v>0</v>
          </cell>
          <cell r="U173">
            <v>0</v>
          </cell>
          <cell r="V173">
            <v>252</v>
          </cell>
          <cell r="W173">
            <v>0</v>
          </cell>
          <cell r="X173">
            <v>6121870</v>
          </cell>
          <cell r="Y173">
            <v>6678040</v>
          </cell>
          <cell r="Z173">
            <v>252</v>
          </cell>
          <cell r="AF173">
            <v>252</v>
          </cell>
          <cell r="AG173">
            <v>252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</row>
        <row r="174">
          <cell r="B174">
            <v>103315</v>
          </cell>
          <cell r="C174" t="str">
            <v>Vegetable 900 20kg</v>
          </cell>
          <cell r="D174">
            <v>20</v>
          </cell>
          <cell r="E174">
            <v>1</v>
          </cell>
          <cell r="F174">
            <v>22649.833333333332</v>
          </cell>
          <cell r="G174">
            <v>24388.072463768116</v>
          </cell>
          <cell r="H174">
            <v>138</v>
          </cell>
          <cell r="I174">
            <v>0</v>
          </cell>
          <cell r="R174">
            <v>138</v>
          </cell>
          <cell r="S174">
            <v>0</v>
          </cell>
          <cell r="T174">
            <v>0</v>
          </cell>
          <cell r="U174">
            <v>0</v>
          </cell>
          <cell r="V174">
            <v>138</v>
          </cell>
          <cell r="W174">
            <v>0</v>
          </cell>
          <cell r="X174">
            <v>3125677</v>
          </cell>
          <cell r="Y174">
            <v>3365554</v>
          </cell>
          <cell r="Z174">
            <v>138</v>
          </cell>
          <cell r="AF174">
            <v>138</v>
          </cell>
          <cell r="AG174">
            <v>138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</row>
        <row r="175">
          <cell r="B175">
            <v>103320</v>
          </cell>
          <cell r="C175" t="str">
            <v>Vega 27kg</v>
          </cell>
          <cell r="D175">
            <v>27</v>
          </cell>
          <cell r="E175">
            <v>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1513</v>
          </cell>
          <cell r="Y175">
            <v>1352</v>
          </cell>
          <cell r="AF175">
            <v>0</v>
          </cell>
          <cell r="AG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</row>
        <row r="176">
          <cell r="B176">
            <v>103340</v>
          </cell>
          <cell r="C176" t="str">
            <v>New Star 25kg</v>
          </cell>
          <cell r="D176">
            <v>25</v>
          </cell>
          <cell r="E176">
            <v>1</v>
          </cell>
          <cell r="F176">
            <v>24221.281501340483</v>
          </cell>
          <cell r="G176">
            <v>26312.930294906168</v>
          </cell>
          <cell r="H176">
            <v>373</v>
          </cell>
          <cell r="I176">
            <v>0</v>
          </cell>
          <cell r="R176">
            <v>373</v>
          </cell>
          <cell r="S176">
            <v>0</v>
          </cell>
          <cell r="T176">
            <v>0</v>
          </cell>
          <cell r="U176">
            <v>0</v>
          </cell>
          <cell r="V176">
            <v>373</v>
          </cell>
          <cell r="W176">
            <v>0</v>
          </cell>
          <cell r="X176">
            <v>9034538</v>
          </cell>
          <cell r="Y176">
            <v>9814723</v>
          </cell>
          <cell r="Z176">
            <v>373</v>
          </cell>
          <cell r="AF176">
            <v>373</v>
          </cell>
          <cell r="AG176">
            <v>373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</row>
        <row r="177">
          <cell r="B177">
            <v>103350</v>
          </cell>
          <cell r="C177" t="str">
            <v>K 14kg</v>
          </cell>
          <cell r="D177">
            <v>14</v>
          </cell>
          <cell r="E177">
            <v>1</v>
          </cell>
          <cell r="F177">
            <v>11631.584597432906</v>
          </cell>
          <cell r="G177">
            <v>12705.252042007001</v>
          </cell>
          <cell r="H177">
            <v>857</v>
          </cell>
          <cell r="I177">
            <v>0</v>
          </cell>
          <cell r="R177">
            <v>857</v>
          </cell>
          <cell r="S177">
            <v>0</v>
          </cell>
          <cell r="T177">
            <v>0</v>
          </cell>
          <cell r="U177">
            <v>0</v>
          </cell>
          <cell r="V177">
            <v>857</v>
          </cell>
          <cell r="W177">
            <v>0</v>
          </cell>
          <cell r="X177">
            <v>9968268</v>
          </cell>
          <cell r="Y177">
            <v>10888401</v>
          </cell>
          <cell r="Z177">
            <v>857</v>
          </cell>
          <cell r="AF177">
            <v>857</v>
          </cell>
          <cell r="AG177">
            <v>857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</row>
        <row r="178">
          <cell r="B178">
            <v>103351</v>
          </cell>
          <cell r="C178" t="str">
            <v>Chester 15kg</v>
          </cell>
          <cell r="D178">
            <v>15</v>
          </cell>
          <cell r="E178">
            <v>1</v>
          </cell>
          <cell r="F178">
            <v>21553.918750000001</v>
          </cell>
          <cell r="G178">
            <v>23097.352083333335</v>
          </cell>
          <cell r="H178">
            <v>480</v>
          </cell>
          <cell r="I178">
            <v>0</v>
          </cell>
          <cell r="R178">
            <v>480</v>
          </cell>
          <cell r="S178">
            <v>0</v>
          </cell>
          <cell r="T178">
            <v>0</v>
          </cell>
          <cell r="U178">
            <v>0</v>
          </cell>
          <cell r="V178">
            <v>480</v>
          </cell>
          <cell r="W178">
            <v>0</v>
          </cell>
          <cell r="X178">
            <v>10345881</v>
          </cell>
          <cell r="Y178">
            <v>11086729</v>
          </cell>
          <cell r="Z178">
            <v>480</v>
          </cell>
          <cell r="AF178">
            <v>480</v>
          </cell>
          <cell r="AG178">
            <v>480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</row>
        <row r="179">
          <cell r="B179">
            <v>103353</v>
          </cell>
          <cell r="C179" t="str">
            <v>KFC 14kg</v>
          </cell>
          <cell r="D179">
            <v>14</v>
          </cell>
          <cell r="E179">
            <v>1</v>
          </cell>
          <cell r="F179">
            <v>18036.282217090069</v>
          </cell>
          <cell r="G179">
            <v>19507.795381062355</v>
          </cell>
          <cell r="H179">
            <v>2165</v>
          </cell>
          <cell r="I179">
            <v>0</v>
          </cell>
          <cell r="R179">
            <v>2165</v>
          </cell>
          <cell r="S179">
            <v>0</v>
          </cell>
          <cell r="T179">
            <v>0</v>
          </cell>
          <cell r="U179">
            <v>0</v>
          </cell>
          <cell r="V179">
            <v>2165</v>
          </cell>
          <cell r="W179">
            <v>0</v>
          </cell>
          <cell r="X179">
            <v>39048551</v>
          </cell>
          <cell r="Y179">
            <v>42234377</v>
          </cell>
          <cell r="Z179">
            <v>2165</v>
          </cell>
          <cell r="AF179">
            <v>2165</v>
          </cell>
          <cell r="AG179">
            <v>2165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</row>
        <row r="180">
          <cell r="B180">
            <v>105060</v>
          </cell>
          <cell r="C180" t="str">
            <v>S) CORN 18L</v>
          </cell>
          <cell r="D180">
            <v>18</v>
          </cell>
          <cell r="E180">
            <v>1</v>
          </cell>
          <cell r="F180">
            <v>24333.552182163188</v>
          </cell>
          <cell r="G180">
            <v>25747.287950664137</v>
          </cell>
          <cell r="H180">
            <v>1668</v>
          </cell>
          <cell r="I180">
            <v>0</v>
          </cell>
          <cell r="J180">
            <v>217</v>
          </cell>
          <cell r="K180">
            <v>0</v>
          </cell>
          <cell r="L180">
            <v>49</v>
          </cell>
          <cell r="M180">
            <v>0</v>
          </cell>
          <cell r="N180">
            <v>98</v>
          </cell>
          <cell r="O180">
            <v>0</v>
          </cell>
          <cell r="P180">
            <v>76</v>
          </cell>
          <cell r="Q180">
            <v>0</v>
          </cell>
          <cell r="R180">
            <v>2108</v>
          </cell>
          <cell r="S180">
            <v>0</v>
          </cell>
          <cell r="T180">
            <v>0</v>
          </cell>
          <cell r="U180">
            <v>0</v>
          </cell>
          <cell r="V180">
            <v>2108</v>
          </cell>
          <cell r="W180">
            <v>0</v>
          </cell>
          <cell r="X180">
            <v>51295128</v>
          </cell>
          <cell r="Y180">
            <v>54275283</v>
          </cell>
          <cell r="Z180">
            <v>1668</v>
          </cell>
          <cell r="AB180">
            <v>217</v>
          </cell>
          <cell r="AC180">
            <v>49</v>
          </cell>
          <cell r="AD180">
            <v>98</v>
          </cell>
          <cell r="AE180">
            <v>76</v>
          </cell>
          <cell r="AF180">
            <v>2108</v>
          </cell>
          <cell r="AG180">
            <v>2108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</row>
        <row r="181">
          <cell r="B181">
            <v>105063</v>
          </cell>
          <cell r="C181" t="str">
            <v>H) COTTONSEED GOLD 18L</v>
          </cell>
          <cell r="D181">
            <v>18</v>
          </cell>
          <cell r="E181">
            <v>1</v>
          </cell>
          <cell r="F181">
            <v>20292.69720670391</v>
          </cell>
          <cell r="G181">
            <v>21886.463687150837</v>
          </cell>
          <cell r="H181">
            <v>820</v>
          </cell>
          <cell r="I181">
            <v>0</v>
          </cell>
          <cell r="J181">
            <v>2</v>
          </cell>
          <cell r="K181">
            <v>0</v>
          </cell>
          <cell r="L181">
            <v>25</v>
          </cell>
          <cell r="M181">
            <v>0</v>
          </cell>
          <cell r="N181">
            <v>20</v>
          </cell>
          <cell r="O181">
            <v>0</v>
          </cell>
          <cell r="P181">
            <v>28</v>
          </cell>
          <cell r="Q181">
            <v>0</v>
          </cell>
          <cell r="R181">
            <v>895</v>
          </cell>
          <cell r="S181">
            <v>0</v>
          </cell>
          <cell r="T181">
            <v>0</v>
          </cell>
          <cell r="U181">
            <v>0</v>
          </cell>
          <cell r="V181">
            <v>895</v>
          </cell>
          <cell r="W181">
            <v>0</v>
          </cell>
          <cell r="X181">
            <v>18161964</v>
          </cell>
          <cell r="Y181">
            <v>19588385</v>
          </cell>
          <cell r="Z181">
            <v>820</v>
          </cell>
          <cell r="AB181">
            <v>2</v>
          </cell>
          <cell r="AC181">
            <v>25</v>
          </cell>
          <cell r="AD181">
            <v>20</v>
          </cell>
          <cell r="AE181">
            <v>28</v>
          </cell>
          <cell r="AF181">
            <v>895</v>
          </cell>
          <cell r="AG181">
            <v>895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</row>
        <row r="182">
          <cell r="B182">
            <v>105076</v>
          </cell>
          <cell r="C182" t="str">
            <v>S) COTTONSEED 18L</v>
          </cell>
          <cell r="D182">
            <v>18</v>
          </cell>
          <cell r="E182">
            <v>1</v>
          </cell>
          <cell r="F182">
            <v>20946.503944773176</v>
          </cell>
          <cell r="G182">
            <v>23712.852564102563</v>
          </cell>
          <cell r="H182">
            <v>1440</v>
          </cell>
          <cell r="I182">
            <v>0</v>
          </cell>
          <cell r="J182">
            <v>46</v>
          </cell>
          <cell r="K182">
            <v>0</v>
          </cell>
          <cell r="L182">
            <v>89</v>
          </cell>
          <cell r="M182">
            <v>0</v>
          </cell>
          <cell r="N182">
            <v>321</v>
          </cell>
          <cell r="O182">
            <v>0</v>
          </cell>
          <cell r="P182">
            <v>132</v>
          </cell>
          <cell r="Q182">
            <v>0</v>
          </cell>
          <cell r="R182">
            <v>2028</v>
          </cell>
          <cell r="S182">
            <v>0</v>
          </cell>
          <cell r="T182">
            <v>0</v>
          </cell>
          <cell r="U182">
            <v>0</v>
          </cell>
          <cell r="V182">
            <v>2028</v>
          </cell>
          <cell r="W182">
            <v>0</v>
          </cell>
          <cell r="X182">
            <v>42479510</v>
          </cell>
          <cell r="Y182">
            <v>48089665</v>
          </cell>
          <cell r="Z182">
            <v>1440</v>
          </cell>
          <cell r="AB182">
            <v>46</v>
          </cell>
          <cell r="AC182">
            <v>89</v>
          </cell>
          <cell r="AD182">
            <v>321</v>
          </cell>
          <cell r="AE182">
            <v>132</v>
          </cell>
          <cell r="AF182">
            <v>2028</v>
          </cell>
          <cell r="AG182">
            <v>2028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</row>
        <row r="183">
          <cell r="B183">
            <v>105077</v>
          </cell>
          <cell r="C183" t="str">
            <v>100 18L</v>
          </cell>
          <cell r="D183">
            <v>18</v>
          </cell>
          <cell r="E183">
            <v>1</v>
          </cell>
          <cell r="F183">
            <v>20425.819092827005</v>
          </cell>
          <cell r="G183">
            <v>21411.445147679326</v>
          </cell>
          <cell r="H183">
            <v>755</v>
          </cell>
          <cell r="I183">
            <v>0</v>
          </cell>
          <cell r="J183">
            <v>169</v>
          </cell>
          <cell r="K183">
            <v>0</v>
          </cell>
          <cell r="L183">
            <v>274</v>
          </cell>
          <cell r="M183">
            <v>0</v>
          </cell>
          <cell r="N183">
            <v>525</v>
          </cell>
          <cell r="O183">
            <v>0</v>
          </cell>
          <cell r="P183">
            <v>173</v>
          </cell>
          <cell r="Q183">
            <v>0</v>
          </cell>
          <cell r="R183">
            <v>1896</v>
          </cell>
          <cell r="S183">
            <v>0</v>
          </cell>
          <cell r="T183">
            <v>0</v>
          </cell>
          <cell r="U183">
            <v>0</v>
          </cell>
          <cell r="V183">
            <v>1896</v>
          </cell>
          <cell r="W183">
            <v>0</v>
          </cell>
          <cell r="X183">
            <v>38727353</v>
          </cell>
          <cell r="Y183">
            <v>40596100</v>
          </cell>
          <cell r="Z183">
            <v>755</v>
          </cell>
          <cell r="AB183">
            <v>169</v>
          </cell>
          <cell r="AC183">
            <v>274</v>
          </cell>
          <cell r="AD183">
            <v>525</v>
          </cell>
          <cell r="AE183">
            <v>173</v>
          </cell>
          <cell r="AF183">
            <v>1896</v>
          </cell>
          <cell r="AG183">
            <v>1896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</row>
        <row r="184">
          <cell r="B184">
            <v>105078</v>
          </cell>
          <cell r="C184" t="str">
            <v>18L</v>
          </cell>
          <cell r="D184">
            <v>18</v>
          </cell>
          <cell r="E184">
            <v>1</v>
          </cell>
          <cell r="F184">
            <v>20439.118055555555</v>
          </cell>
          <cell r="G184">
            <v>21232.020833333332</v>
          </cell>
          <cell r="H184">
            <v>144</v>
          </cell>
          <cell r="I184">
            <v>0</v>
          </cell>
          <cell r="R184">
            <v>144</v>
          </cell>
          <cell r="S184">
            <v>0</v>
          </cell>
          <cell r="T184">
            <v>0</v>
          </cell>
          <cell r="U184">
            <v>0</v>
          </cell>
          <cell r="V184">
            <v>144</v>
          </cell>
          <cell r="W184">
            <v>0</v>
          </cell>
          <cell r="X184">
            <v>2943233</v>
          </cell>
          <cell r="Y184">
            <v>3057411</v>
          </cell>
          <cell r="Z184">
            <v>144</v>
          </cell>
          <cell r="AF184">
            <v>144</v>
          </cell>
          <cell r="AG184">
            <v>144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</row>
        <row r="185">
          <cell r="B185">
            <v>105079</v>
          </cell>
          <cell r="C185" t="str">
            <v>RAPESEED 100 18L</v>
          </cell>
          <cell r="D185">
            <v>18</v>
          </cell>
          <cell r="E185">
            <v>1</v>
          </cell>
          <cell r="F185">
            <v>22250.410185185185</v>
          </cell>
          <cell r="G185">
            <v>24167.039814814816</v>
          </cell>
          <cell r="H185">
            <v>817</v>
          </cell>
          <cell r="I185">
            <v>0</v>
          </cell>
          <cell r="J185">
            <v>26</v>
          </cell>
          <cell r="K185">
            <v>0</v>
          </cell>
          <cell r="L185">
            <v>53</v>
          </cell>
          <cell r="M185">
            <v>0</v>
          </cell>
          <cell r="N185">
            <v>134</v>
          </cell>
          <cell r="O185">
            <v>0</v>
          </cell>
          <cell r="P185">
            <v>50</v>
          </cell>
          <cell r="Q185">
            <v>0</v>
          </cell>
          <cell r="R185">
            <v>1080</v>
          </cell>
          <cell r="S185">
            <v>0</v>
          </cell>
          <cell r="T185">
            <v>0</v>
          </cell>
          <cell r="U185">
            <v>0</v>
          </cell>
          <cell r="V185">
            <v>1080</v>
          </cell>
          <cell r="W185">
            <v>0</v>
          </cell>
          <cell r="X185">
            <v>24030443</v>
          </cell>
          <cell r="Y185">
            <v>26100403</v>
          </cell>
          <cell r="Z185">
            <v>817</v>
          </cell>
          <cell r="AB185">
            <v>26</v>
          </cell>
          <cell r="AC185">
            <v>73</v>
          </cell>
          <cell r="AD185">
            <v>134</v>
          </cell>
          <cell r="AE185">
            <v>50</v>
          </cell>
          <cell r="AF185">
            <v>1100</v>
          </cell>
          <cell r="AG185">
            <v>1100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20</v>
          </cell>
          <cell r="AP185">
            <v>445008</v>
          </cell>
          <cell r="AQ185">
            <v>483341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20</v>
          </cell>
          <cell r="AY185">
            <v>445008</v>
          </cell>
          <cell r="AZ185">
            <v>483341</v>
          </cell>
        </row>
        <row r="186">
          <cell r="B186">
            <v>105093</v>
          </cell>
          <cell r="C186" t="str">
            <v>200 18L</v>
          </cell>
          <cell r="D186">
            <v>18</v>
          </cell>
          <cell r="E186">
            <v>1</v>
          </cell>
          <cell r="F186">
            <v>20635.149732620321</v>
          </cell>
          <cell r="G186">
            <v>22332.280748663103</v>
          </cell>
          <cell r="H186">
            <v>374</v>
          </cell>
          <cell r="I186">
            <v>0</v>
          </cell>
          <cell r="R186">
            <v>374</v>
          </cell>
          <cell r="S186">
            <v>0</v>
          </cell>
          <cell r="T186">
            <v>0</v>
          </cell>
          <cell r="U186">
            <v>0</v>
          </cell>
          <cell r="V186">
            <v>374</v>
          </cell>
          <cell r="W186">
            <v>0</v>
          </cell>
          <cell r="X186">
            <v>7717546</v>
          </cell>
          <cell r="Y186">
            <v>8352273</v>
          </cell>
          <cell r="Z186">
            <v>374</v>
          </cell>
          <cell r="AF186">
            <v>374</v>
          </cell>
          <cell r="AG186">
            <v>374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</row>
        <row r="187">
          <cell r="B187">
            <v>105102</v>
          </cell>
          <cell r="C187" t="str">
            <v>ARO 100 3.75L</v>
          </cell>
          <cell r="D187">
            <v>3.75</v>
          </cell>
          <cell r="E187">
            <v>6</v>
          </cell>
          <cell r="F187">
            <v>32415.802884615383</v>
          </cell>
          <cell r="G187">
            <v>34047.201923076922</v>
          </cell>
          <cell r="H187">
            <v>208</v>
          </cell>
          <cell r="I187">
            <v>0</v>
          </cell>
          <cell r="P187">
            <v>0</v>
          </cell>
          <cell r="Q187">
            <v>0</v>
          </cell>
          <cell r="R187">
            <v>208</v>
          </cell>
          <cell r="S187">
            <v>0</v>
          </cell>
          <cell r="T187">
            <v>0</v>
          </cell>
          <cell r="U187">
            <v>0</v>
          </cell>
          <cell r="V187">
            <v>208</v>
          </cell>
          <cell r="W187">
            <v>0</v>
          </cell>
          <cell r="X187">
            <v>6742487</v>
          </cell>
          <cell r="Y187">
            <v>7081818</v>
          </cell>
          <cell r="Z187">
            <v>207</v>
          </cell>
          <cell r="AF187">
            <v>207</v>
          </cell>
          <cell r="AG187">
            <v>207</v>
          </cell>
          <cell r="AI187">
            <v>-1</v>
          </cell>
          <cell r="AJ187">
            <v>-32415</v>
          </cell>
          <cell r="AK187">
            <v>-34046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-1</v>
          </cell>
          <cell r="AY187">
            <v>-32415</v>
          </cell>
          <cell r="AZ187">
            <v>-34046</v>
          </cell>
        </row>
        <row r="188">
          <cell r="B188">
            <v>105103</v>
          </cell>
          <cell r="C188" t="str">
            <v>E) 100 18L</v>
          </cell>
          <cell r="D188">
            <v>18</v>
          </cell>
          <cell r="E188">
            <v>1</v>
          </cell>
          <cell r="F188">
            <v>20060.344647519581</v>
          </cell>
          <cell r="G188">
            <v>21234.895561357702</v>
          </cell>
          <cell r="H188">
            <v>383</v>
          </cell>
          <cell r="I188">
            <v>0</v>
          </cell>
          <cell r="R188">
            <v>383</v>
          </cell>
          <cell r="S188">
            <v>0</v>
          </cell>
          <cell r="T188">
            <v>0</v>
          </cell>
          <cell r="U188">
            <v>0</v>
          </cell>
          <cell r="V188">
            <v>383</v>
          </cell>
          <cell r="W188">
            <v>0</v>
          </cell>
          <cell r="X188">
            <v>7683112</v>
          </cell>
          <cell r="Y188">
            <v>8132965</v>
          </cell>
          <cell r="Z188">
            <v>383</v>
          </cell>
          <cell r="AF188">
            <v>383</v>
          </cell>
          <cell r="AG188">
            <v>383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</row>
        <row r="189">
          <cell r="B189">
            <v>105104</v>
          </cell>
          <cell r="C189" t="str">
            <v>ARO Corn Germ 3.75L</v>
          </cell>
          <cell r="D189">
            <v>3.75</v>
          </cell>
          <cell r="E189">
            <v>6</v>
          </cell>
          <cell r="F189">
            <v>36130.830645161288</v>
          </cell>
          <cell r="G189">
            <v>38636.625</v>
          </cell>
          <cell r="H189">
            <v>496</v>
          </cell>
          <cell r="I189">
            <v>0</v>
          </cell>
          <cell r="R189">
            <v>496</v>
          </cell>
          <cell r="S189">
            <v>0</v>
          </cell>
          <cell r="T189">
            <v>0</v>
          </cell>
          <cell r="U189">
            <v>0</v>
          </cell>
          <cell r="V189">
            <v>496</v>
          </cell>
          <cell r="W189">
            <v>0</v>
          </cell>
          <cell r="X189">
            <v>17920892</v>
          </cell>
          <cell r="Y189">
            <v>19163766</v>
          </cell>
          <cell r="Z189">
            <v>496</v>
          </cell>
          <cell r="AF189">
            <v>496</v>
          </cell>
          <cell r="AG189">
            <v>496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</row>
        <row r="190">
          <cell r="B190">
            <v>105105</v>
          </cell>
          <cell r="C190" t="str">
            <v>Export S) Cottonseed 18L</v>
          </cell>
          <cell r="D190">
            <v>18</v>
          </cell>
          <cell r="E190">
            <v>1</v>
          </cell>
          <cell r="F190">
            <v>0</v>
          </cell>
          <cell r="G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AF190">
            <v>0</v>
          </cell>
          <cell r="AG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</row>
        <row r="191">
          <cell r="B191">
            <v>105106</v>
          </cell>
          <cell r="C191" t="str">
            <v>ARO Cottonseed 3.75L</v>
          </cell>
          <cell r="D191">
            <v>3.75</v>
          </cell>
          <cell r="E191">
            <v>6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3</v>
          </cell>
          <cell r="Y191">
            <v>5</v>
          </cell>
          <cell r="AF191">
            <v>0</v>
          </cell>
          <cell r="AG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</row>
        <row r="192">
          <cell r="B192">
            <v>105108</v>
          </cell>
          <cell r="C192" t="str">
            <v>ARO Rapeseed 3.75L</v>
          </cell>
          <cell r="D192">
            <v>3.75</v>
          </cell>
          <cell r="E192">
            <v>6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2</v>
          </cell>
          <cell r="Y192">
            <v>2</v>
          </cell>
          <cell r="AF192">
            <v>0</v>
          </cell>
          <cell r="AG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</row>
        <row r="193">
          <cell r="B193">
            <v>107005</v>
          </cell>
          <cell r="C193" t="str">
            <v>PALM 17KG</v>
          </cell>
          <cell r="D193">
            <v>17</v>
          </cell>
          <cell r="E193">
            <v>1</v>
          </cell>
          <cell r="F193">
            <v>18299.176229508197</v>
          </cell>
          <cell r="G193">
            <v>19641.75</v>
          </cell>
          <cell r="H193">
            <v>227</v>
          </cell>
          <cell r="I193">
            <v>0</v>
          </cell>
          <cell r="N193">
            <v>17</v>
          </cell>
          <cell r="O193">
            <v>0</v>
          </cell>
          <cell r="R193">
            <v>244</v>
          </cell>
          <cell r="S193">
            <v>0</v>
          </cell>
          <cell r="T193">
            <v>0</v>
          </cell>
          <cell r="U193">
            <v>0</v>
          </cell>
          <cell r="V193">
            <v>244</v>
          </cell>
          <cell r="W193">
            <v>0</v>
          </cell>
          <cell r="X193">
            <v>4464999</v>
          </cell>
          <cell r="Y193">
            <v>4792587</v>
          </cell>
          <cell r="Z193">
            <v>227</v>
          </cell>
          <cell r="AD193">
            <v>17</v>
          </cell>
          <cell r="AF193">
            <v>244</v>
          </cell>
          <cell r="AG193">
            <v>244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</row>
        <row r="194">
          <cell r="B194">
            <v>107010</v>
          </cell>
          <cell r="C194" t="str">
            <v>PALM TK</v>
          </cell>
          <cell r="D194">
            <v>1</v>
          </cell>
          <cell r="E194">
            <v>1</v>
          </cell>
          <cell r="F194">
            <v>0</v>
          </cell>
          <cell r="G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AF194">
            <v>0</v>
          </cell>
          <cell r="AG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</row>
        <row r="195">
          <cell r="B195">
            <v>107012</v>
          </cell>
          <cell r="C195" t="str">
            <v>PALM 180KG</v>
          </cell>
          <cell r="D195">
            <v>180</v>
          </cell>
          <cell r="E195">
            <v>1</v>
          </cell>
          <cell r="F195">
            <v>190503.20338983051</v>
          </cell>
          <cell r="G195">
            <v>203132.06779661018</v>
          </cell>
          <cell r="H195">
            <v>47</v>
          </cell>
          <cell r="I195">
            <v>0</v>
          </cell>
          <cell r="N195">
            <v>5</v>
          </cell>
          <cell r="O195">
            <v>0</v>
          </cell>
          <cell r="P195">
            <v>7</v>
          </cell>
          <cell r="Q195">
            <v>0</v>
          </cell>
          <cell r="R195">
            <v>59</v>
          </cell>
          <cell r="S195">
            <v>0</v>
          </cell>
          <cell r="T195">
            <v>0</v>
          </cell>
          <cell r="U195">
            <v>0</v>
          </cell>
          <cell r="V195">
            <v>59</v>
          </cell>
          <cell r="W195">
            <v>0</v>
          </cell>
          <cell r="X195">
            <v>11239689</v>
          </cell>
          <cell r="Y195">
            <v>11984792</v>
          </cell>
          <cell r="Z195">
            <v>47</v>
          </cell>
          <cell r="AD195">
            <v>5</v>
          </cell>
          <cell r="AE195">
            <v>7</v>
          </cell>
          <cell r="AF195">
            <v>59</v>
          </cell>
          <cell r="AG195">
            <v>59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</row>
        <row r="196">
          <cell r="B196">
            <v>107015</v>
          </cell>
          <cell r="C196" t="str">
            <v>PALM OLEIN TK</v>
          </cell>
          <cell r="D196">
            <v>1</v>
          </cell>
          <cell r="E196">
            <v>1</v>
          </cell>
          <cell r="F196">
            <v>0</v>
          </cell>
          <cell r="G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AF196">
            <v>0</v>
          </cell>
          <cell r="AG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7">
          <cell r="B197">
            <v>107016</v>
          </cell>
          <cell r="C197" t="str">
            <v>PALM OLEIN 17KG</v>
          </cell>
          <cell r="D197">
            <v>17</v>
          </cell>
          <cell r="E197">
            <v>1</v>
          </cell>
          <cell r="F197">
            <v>19897.284</v>
          </cell>
          <cell r="G197">
            <v>21218.513999999999</v>
          </cell>
          <cell r="H197">
            <v>500</v>
          </cell>
          <cell r="I197">
            <v>0</v>
          </cell>
          <cell r="R197">
            <v>500</v>
          </cell>
          <cell r="S197">
            <v>0</v>
          </cell>
          <cell r="T197">
            <v>0</v>
          </cell>
          <cell r="U197">
            <v>0</v>
          </cell>
          <cell r="V197">
            <v>500</v>
          </cell>
          <cell r="W197">
            <v>0</v>
          </cell>
          <cell r="X197">
            <v>9948642</v>
          </cell>
          <cell r="Y197">
            <v>10609257</v>
          </cell>
          <cell r="Z197">
            <v>500</v>
          </cell>
          <cell r="AF197">
            <v>500</v>
          </cell>
          <cell r="AG197">
            <v>500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</row>
        <row r="198">
          <cell r="B198">
            <v>107017</v>
          </cell>
          <cell r="C198" t="str">
            <v>PALM OLEIN 180KG</v>
          </cell>
          <cell r="D198">
            <v>180</v>
          </cell>
          <cell r="E198">
            <v>1</v>
          </cell>
          <cell r="F198">
            <v>0</v>
          </cell>
          <cell r="G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AF198">
            <v>0</v>
          </cell>
          <cell r="AG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9">
          <cell r="B199">
            <v>107019</v>
          </cell>
          <cell r="C199" t="str">
            <v>CORN TK</v>
          </cell>
          <cell r="D199">
            <v>1</v>
          </cell>
          <cell r="E199">
            <v>1</v>
          </cell>
          <cell r="F199">
            <v>0</v>
          </cell>
          <cell r="G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AF199">
            <v>0</v>
          </cell>
          <cell r="AG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</row>
        <row r="200">
          <cell r="B200">
            <v>107021</v>
          </cell>
          <cell r="C200" t="str">
            <v>CORN 180KG</v>
          </cell>
          <cell r="D200">
            <v>180</v>
          </cell>
          <cell r="E200">
            <v>1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1</v>
          </cell>
          <cell r="Y200">
            <v>0</v>
          </cell>
          <cell r="AF200">
            <v>0</v>
          </cell>
          <cell r="AG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</row>
        <row r="201">
          <cell r="B201">
            <v>107022</v>
          </cell>
          <cell r="C201" t="str">
            <v>Palm Stearin TK</v>
          </cell>
          <cell r="D201">
            <v>1</v>
          </cell>
          <cell r="E201">
            <v>1</v>
          </cell>
          <cell r="F201">
            <v>0</v>
          </cell>
          <cell r="G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AF201">
            <v>0</v>
          </cell>
          <cell r="AG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</row>
        <row r="202">
          <cell r="B202">
            <v>107025</v>
          </cell>
          <cell r="C202" t="str">
            <v>COCONUT TK</v>
          </cell>
          <cell r="D202">
            <v>1</v>
          </cell>
          <cell r="E202">
            <v>1</v>
          </cell>
          <cell r="F202">
            <v>0</v>
          </cell>
          <cell r="G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AF202">
            <v>0</v>
          </cell>
          <cell r="AG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</row>
        <row r="203">
          <cell r="B203">
            <v>107027</v>
          </cell>
          <cell r="C203" t="str">
            <v>COCONUT 180KG</v>
          </cell>
          <cell r="D203">
            <v>180</v>
          </cell>
          <cell r="E203">
            <v>1</v>
          </cell>
          <cell r="F203">
            <v>209535.66666666666</v>
          </cell>
          <cell r="G203">
            <v>227234.83333333334</v>
          </cell>
          <cell r="H203">
            <v>1</v>
          </cell>
          <cell r="I203">
            <v>0</v>
          </cell>
          <cell r="J203">
            <v>5</v>
          </cell>
          <cell r="K203">
            <v>0</v>
          </cell>
          <cell r="R203">
            <v>6</v>
          </cell>
          <cell r="S203">
            <v>0</v>
          </cell>
          <cell r="T203">
            <v>0</v>
          </cell>
          <cell r="U203">
            <v>0</v>
          </cell>
          <cell r="V203">
            <v>6</v>
          </cell>
          <cell r="W203">
            <v>0</v>
          </cell>
          <cell r="X203">
            <v>1257214</v>
          </cell>
          <cell r="Y203">
            <v>1363409</v>
          </cell>
          <cell r="Z203">
            <v>1</v>
          </cell>
          <cell r="AB203">
            <v>5</v>
          </cell>
          <cell r="AF203">
            <v>6</v>
          </cell>
          <cell r="AG203">
            <v>6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</row>
        <row r="204">
          <cell r="B204">
            <v>107028</v>
          </cell>
          <cell r="C204" t="str">
            <v>COCONUT-H TK</v>
          </cell>
          <cell r="D204">
            <v>1</v>
          </cell>
          <cell r="E204">
            <v>1</v>
          </cell>
          <cell r="F204">
            <v>0</v>
          </cell>
          <cell r="G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AF204">
            <v>0</v>
          </cell>
          <cell r="AG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</row>
        <row r="205">
          <cell r="B205">
            <v>107029</v>
          </cell>
          <cell r="C205" t="str">
            <v>COCONUT-H 180KG</v>
          </cell>
          <cell r="D205">
            <v>180</v>
          </cell>
          <cell r="E205">
            <v>1</v>
          </cell>
          <cell r="F205">
            <v>217868</v>
          </cell>
          <cell r="G205">
            <v>238306.4</v>
          </cell>
          <cell r="H205">
            <v>5</v>
          </cell>
          <cell r="I205">
            <v>0</v>
          </cell>
          <cell r="R205">
            <v>5</v>
          </cell>
          <cell r="S205">
            <v>0</v>
          </cell>
          <cell r="T205">
            <v>0</v>
          </cell>
          <cell r="U205">
            <v>0</v>
          </cell>
          <cell r="V205">
            <v>5</v>
          </cell>
          <cell r="W205">
            <v>0</v>
          </cell>
          <cell r="X205">
            <v>1089340</v>
          </cell>
          <cell r="Y205">
            <v>1191532</v>
          </cell>
          <cell r="Z205">
            <v>5</v>
          </cell>
          <cell r="AF205">
            <v>5</v>
          </cell>
          <cell r="AG205">
            <v>5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</row>
        <row r="206">
          <cell r="B206">
            <v>107030</v>
          </cell>
          <cell r="C206" t="str">
            <v>COCONUT 14KG</v>
          </cell>
          <cell r="D206">
            <v>14</v>
          </cell>
          <cell r="E206">
            <v>1</v>
          </cell>
          <cell r="F206">
            <v>16518.722275795564</v>
          </cell>
          <cell r="G206">
            <v>17859.997107039537</v>
          </cell>
          <cell r="H206">
            <v>1037</v>
          </cell>
          <cell r="I206">
            <v>0</v>
          </cell>
          <cell r="R206">
            <v>1037</v>
          </cell>
          <cell r="S206">
            <v>0</v>
          </cell>
          <cell r="T206">
            <v>0</v>
          </cell>
          <cell r="U206">
            <v>0</v>
          </cell>
          <cell r="V206">
            <v>1037</v>
          </cell>
          <cell r="W206">
            <v>0</v>
          </cell>
          <cell r="X206">
            <v>17129915</v>
          </cell>
          <cell r="Y206">
            <v>18520817</v>
          </cell>
          <cell r="Z206">
            <v>1037</v>
          </cell>
          <cell r="AF206">
            <v>1037</v>
          </cell>
          <cell r="AG206">
            <v>1037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</row>
        <row r="207">
          <cell r="B207">
            <v>107032</v>
          </cell>
          <cell r="C207" t="str">
            <v>COCONUT-H 14KG</v>
          </cell>
          <cell r="D207">
            <v>14</v>
          </cell>
          <cell r="E207">
            <v>1</v>
          </cell>
          <cell r="F207">
            <v>17513.221830985916</v>
          </cell>
          <cell r="G207">
            <v>19152.8125</v>
          </cell>
          <cell r="H207">
            <v>1041</v>
          </cell>
          <cell r="I207">
            <v>0</v>
          </cell>
          <cell r="J207">
            <v>75</v>
          </cell>
          <cell r="K207">
            <v>0</v>
          </cell>
          <cell r="N207">
            <v>20</v>
          </cell>
          <cell r="O207">
            <v>0</v>
          </cell>
          <cell r="R207">
            <v>1136</v>
          </cell>
          <cell r="S207">
            <v>0</v>
          </cell>
          <cell r="T207">
            <v>0</v>
          </cell>
          <cell r="U207">
            <v>0</v>
          </cell>
          <cell r="V207">
            <v>1136</v>
          </cell>
          <cell r="W207">
            <v>0</v>
          </cell>
          <cell r="X207">
            <v>19895020</v>
          </cell>
          <cell r="Y207">
            <v>21757595</v>
          </cell>
          <cell r="Z207">
            <v>1041</v>
          </cell>
          <cell r="AB207">
            <v>75</v>
          </cell>
          <cell r="AD207">
            <v>20</v>
          </cell>
          <cell r="AF207">
            <v>1136</v>
          </cell>
          <cell r="AG207">
            <v>1136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</row>
        <row r="208">
          <cell r="B208">
            <v>107033</v>
          </cell>
          <cell r="C208" t="str">
            <v>Palm TK (B)</v>
          </cell>
          <cell r="D208">
            <v>1</v>
          </cell>
          <cell r="E208">
            <v>1</v>
          </cell>
          <cell r="F208">
            <v>0</v>
          </cell>
          <cell r="G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AF208">
            <v>0</v>
          </cell>
          <cell r="AG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</row>
        <row r="209">
          <cell r="B209">
            <v>107035</v>
          </cell>
          <cell r="C209" t="str">
            <v>COTTONSEED 180KG</v>
          </cell>
          <cell r="D209">
            <v>180</v>
          </cell>
          <cell r="E209">
            <v>1</v>
          </cell>
          <cell r="F209">
            <v>227938.08450704225</v>
          </cell>
          <cell r="G209">
            <v>258322.53521126762</v>
          </cell>
          <cell r="H209">
            <v>37</v>
          </cell>
          <cell r="I209">
            <v>0</v>
          </cell>
          <cell r="J209">
            <v>25</v>
          </cell>
          <cell r="K209">
            <v>0</v>
          </cell>
          <cell r="N209">
            <v>9</v>
          </cell>
          <cell r="O209">
            <v>0</v>
          </cell>
          <cell r="R209">
            <v>71</v>
          </cell>
          <cell r="S209">
            <v>0</v>
          </cell>
          <cell r="T209">
            <v>0</v>
          </cell>
          <cell r="U209">
            <v>0</v>
          </cell>
          <cell r="V209">
            <v>71</v>
          </cell>
          <cell r="W209">
            <v>0</v>
          </cell>
          <cell r="X209">
            <v>16183604</v>
          </cell>
          <cell r="Y209">
            <v>18340900</v>
          </cell>
          <cell r="Z209">
            <v>37</v>
          </cell>
          <cell r="AB209">
            <v>25</v>
          </cell>
          <cell r="AD209">
            <v>9</v>
          </cell>
          <cell r="AF209">
            <v>71</v>
          </cell>
          <cell r="AG209">
            <v>71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</row>
        <row r="210">
          <cell r="B210">
            <v>107039</v>
          </cell>
          <cell r="C210" t="str">
            <v>TALLOW 14KG</v>
          </cell>
          <cell r="D210">
            <v>14</v>
          </cell>
          <cell r="E210">
            <v>1</v>
          </cell>
          <cell r="F210">
            <v>12761.050420168067</v>
          </cell>
          <cell r="G210">
            <v>13908.6918767507</v>
          </cell>
          <cell r="H210">
            <v>356</v>
          </cell>
          <cell r="I210">
            <v>0</v>
          </cell>
          <cell r="J210">
            <v>1</v>
          </cell>
          <cell r="K210">
            <v>0</v>
          </cell>
          <cell r="R210">
            <v>357</v>
          </cell>
          <cell r="S210">
            <v>0</v>
          </cell>
          <cell r="T210">
            <v>0</v>
          </cell>
          <cell r="U210">
            <v>0</v>
          </cell>
          <cell r="V210">
            <v>357</v>
          </cell>
          <cell r="W210">
            <v>0</v>
          </cell>
          <cell r="X210">
            <v>4555695</v>
          </cell>
          <cell r="Y210">
            <v>4965403</v>
          </cell>
          <cell r="Z210">
            <v>356</v>
          </cell>
          <cell r="AB210">
            <v>1</v>
          </cell>
          <cell r="AF210">
            <v>357</v>
          </cell>
          <cell r="AG210">
            <v>357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</row>
        <row r="211">
          <cell r="B211">
            <v>107049</v>
          </cell>
          <cell r="C211" t="str">
            <v>S) Palm TK</v>
          </cell>
          <cell r="D211">
            <v>1</v>
          </cell>
          <cell r="E211">
            <v>1</v>
          </cell>
          <cell r="F211">
            <v>0</v>
          </cell>
          <cell r="G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AF211">
            <v>0</v>
          </cell>
          <cell r="AG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</row>
        <row r="212">
          <cell r="B212">
            <v>107052</v>
          </cell>
          <cell r="C212" t="str">
            <v>H-F 100 TK</v>
          </cell>
          <cell r="D212">
            <v>1</v>
          </cell>
          <cell r="E212">
            <v>1</v>
          </cell>
          <cell r="F212">
            <v>0</v>
          </cell>
          <cell r="G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AF212">
            <v>0</v>
          </cell>
          <cell r="AG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</row>
        <row r="213">
          <cell r="B213">
            <v>107053</v>
          </cell>
          <cell r="C213" t="str">
            <v>H-F 300 TK</v>
          </cell>
          <cell r="D213">
            <v>1</v>
          </cell>
          <cell r="E213">
            <v>1</v>
          </cell>
          <cell r="F213">
            <v>0</v>
          </cell>
          <cell r="G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AF213">
            <v>0</v>
          </cell>
          <cell r="AG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</row>
        <row r="214">
          <cell r="B214">
            <v>107058</v>
          </cell>
          <cell r="C214" t="str">
            <v>Palm Olein 17kg</v>
          </cell>
          <cell r="D214">
            <v>17</v>
          </cell>
          <cell r="E214">
            <v>1</v>
          </cell>
          <cell r="F214">
            <v>0</v>
          </cell>
          <cell r="G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AF214">
            <v>0</v>
          </cell>
          <cell r="AG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</row>
        <row r="215">
          <cell r="B215">
            <v>107069</v>
          </cell>
          <cell r="C215" t="str">
            <v>COTTONSEED GOLD TK (SAJO)</v>
          </cell>
          <cell r="D215">
            <v>1</v>
          </cell>
          <cell r="E215">
            <v>1</v>
          </cell>
          <cell r="F215">
            <v>0</v>
          </cell>
          <cell r="G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AF215">
            <v>0</v>
          </cell>
          <cell r="AG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</row>
        <row r="216">
          <cell r="B216">
            <v>107070</v>
          </cell>
          <cell r="C216" t="str">
            <v>COTTONSEED-W 180KG</v>
          </cell>
          <cell r="D216">
            <v>180</v>
          </cell>
          <cell r="E216">
            <v>1</v>
          </cell>
          <cell r="F216">
            <v>0</v>
          </cell>
          <cell r="G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AF216">
            <v>0</v>
          </cell>
          <cell r="AG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</row>
        <row r="217">
          <cell r="B217">
            <v>107074</v>
          </cell>
          <cell r="C217" t="str">
            <v>VEGETABLE FAT TK</v>
          </cell>
          <cell r="D217">
            <v>1</v>
          </cell>
          <cell r="E217">
            <v>1</v>
          </cell>
          <cell r="F217">
            <v>0</v>
          </cell>
          <cell r="G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AF217">
            <v>0</v>
          </cell>
          <cell r="AG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</row>
        <row r="218">
          <cell r="B218">
            <v>107081</v>
          </cell>
          <cell r="C218" t="str">
            <v>Soybean 180kg</v>
          </cell>
          <cell r="D218">
            <v>180</v>
          </cell>
          <cell r="E218">
            <v>1</v>
          </cell>
          <cell r="F218">
            <v>212453.2794117647</v>
          </cell>
          <cell r="G218">
            <v>225889.32352941178</v>
          </cell>
          <cell r="H218">
            <v>50</v>
          </cell>
          <cell r="I218">
            <v>0</v>
          </cell>
          <cell r="J218">
            <v>8</v>
          </cell>
          <cell r="K218">
            <v>0</v>
          </cell>
          <cell r="N218">
            <v>10</v>
          </cell>
          <cell r="O218">
            <v>0</v>
          </cell>
          <cell r="R218">
            <v>68</v>
          </cell>
          <cell r="S218">
            <v>0</v>
          </cell>
          <cell r="T218">
            <v>0</v>
          </cell>
          <cell r="U218">
            <v>0</v>
          </cell>
          <cell r="V218">
            <v>68</v>
          </cell>
          <cell r="W218">
            <v>0</v>
          </cell>
          <cell r="X218">
            <v>14446823</v>
          </cell>
          <cell r="Y218">
            <v>15360474</v>
          </cell>
          <cell r="Z218">
            <v>50</v>
          </cell>
          <cell r="AB218">
            <v>8</v>
          </cell>
          <cell r="AD218">
            <v>10</v>
          </cell>
          <cell r="AF218">
            <v>68</v>
          </cell>
          <cell r="AG218">
            <v>68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</row>
        <row r="219">
          <cell r="B219">
            <v>107085</v>
          </cell>
          <cell r="C219" t="str">
            <v>Soybean 100 TK</v>
          </cell>
          <cell r="D219">
            <v>1</v>
          </cell>
          <cell r="E219">
            <v>1</v>
          </cell>
          <cell r="F219">
            <v>0</v>
          </cell>
          <cell r="G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AF219">
            <v>0</v>
          </cell>
          <cell r="AG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20">
          <cell r="B220">
            <v>107087</v>
          </cell>
          <cell r="C220" t="str">
            <v>Rapeseed 100 180kg</v>
          </cell>
          <cell r="D220">
            <v>180</v>
          </cell>
          <cell r="E220">
            <v>1</v>
          </cell>
          <cell r="F220">
            <v>0</v>
          </cell>
          <cell r="G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AF220">
            <v>0</v>
          </cell>
          <cell r="AG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</row>
        <row r="221">
          <cell r="B221">
            <v>107094</v>
          </cell>
          <cell r="C221" t="str">
            <v>Vegetable Mixed TK</v>
          </cell>
          <cell r="D221">
            <v>1</v>
          </cell>
          <cell r="E221">
            <v>1</v>
          </cell>
          <cell r="F221">
            <v>0</v>
          </cell>
          <cell r="G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AF221">
            <v>0</v>
          </cell>
          <cell r="AG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</row>
        <row r="222">
          <cell r="B222">
            <v>107097</v>
          </cell>
          <cell r="C222" t="str">
            <v>Cottonseed-H TK</v>
          </cell>
          <cell r="D222">
            <v>1</v>
          </cell>
          <cell r="E222">
            <v>1</v>
          </cell>
          <cell r="F222">
            <v>0</v>
          </cell>
          <cell r="G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AF222">
            <v>0</v>
          </cell>
          <cell r="AG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</row>
        <row r="223">
          <cell r="B223">
            <v>107098</v>
          </cell>
          <cell r="C223" t="str">
            <v>S) Cottonseed TK</v>
          </cell>
          <cell r="D223">
            <v>1</v>
          </cell>
          <cell r="E223">
            <v>1</v>
          </cell>
          <cell r="F223">
            <v>0</v>
          </cell>
          <cell r="G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AF223">
            <v>0</v>
          </cell>
          <cell r="AG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</row>
        <row r="224">
          <cell r="B224">
            <v>107100</v>
          </cell>
          <cell r="C224" t="str">
            <v>Vegetable Frying 100 TK</v>
          </cell>
          <cell r="D224">
            <v>1</v>
          </cell>
          <cell r="E224">
            <v>1</v>
          </cell>
          <cell r="F224">
            <v>0</v>
          </cell>
          <cell r="G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AF224">
            <v>0</v>
          </cell>
          <cell r="AG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</row>
        <row r="225">
          <cell r="B225">
            <v>107102</v>
          </cell>
          <cell r="C225" t="str">
            <v>Superol 100 TK</v>
          </cell>
          <cell r="D225">
            <v>1</v>
          </cell>
          <cell r="E225">
            <v>1</v>
          </cell>
          <cell r="F225">
            <v>0</v>
          </cell>
          <cell r="G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AF225">
            <v>0</v>
          </cell>
          <cell r="AG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6">
          <cell r="B226">
            <v>107103</v>
          </cell>
          <cell r="C226" t="str">
            <v>Fat for Cream TK</v>
          </cell>
          <cell r="D226">
            <v>1</v>
          </cell>
          <cell r="E226">
            <v>1</v>
          </cell>
          <cell r="F226">
            <v>0</v>
          </cell>
          <cell r="G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AF226">
            <v>0</v>
          </cell>
          <cell r="AG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7">
          <cell r="B227">
            <v>107104</v>
          </cell>
          <cell r="C227" t="str">
            <v>Superol 200 TK</v>
          </cell>
          <cell r="D227">
            <v>1</v>
          </cell>
          <cell r="E227">
            <v>1</v>
          </cell>
          <cell r="F227">
            <v>0</v>
          </cell>
          <cell r="G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AF227">
            <v>0</v>
          </cell>
          <cell r="AG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</row>
        <row r="228">
          <cell r="B228">
            <v>107105</v>
          </cell>
          <cell r="C228" t="str">
            <v>Blending Vegetable 100 TK</v>
          </cell>
          <cell r="D228">
            <v>1</v>
          </cell>
          <cell r="E228">
            <v>1</v>
          </cell>
          <cell r="F228">
            <v>0</v>
          </cell>
          <cell r="G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AF228">
            <v>0</v>
          </cell>
          <cell r="AG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</row>
        <row r="229">
          <cell r="B229">
            <v>107106</v>
          </cell>
          <cell r="C229" t="str">
            <v>Blending Vegetable 200 TK</v>
          </cell>
          <cell r="D229">
            <v>1</v>
          </cell>
          <cell r="E229">
            <v>1</v>
          </cell>
          <cell r="F229">
            <v>0</v>
          </cell>
          <cell r="G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AF229">
            <v>0</v>
          </cell>
          <cell r="AG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</row>
        <row r="230">
          <cell r="B230">
            <v>107112</v>
          </cell>
          <cell r="C230" t="str">
            <v>H-F 500 TK</v>
          </cell>
          <cell r="D230">
            <v>1</v>
          </cell>
          <cell r="E230">
            <v>1</v>
          </cell>
          <cell r="F230">
            <v>0</v>
          </cell>
          <cell r="G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AF230">
            <v>0</v>
          </cell>
          <cell r="AG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</row>
        <row r="231">
          <cell r="B231">
            <v>107113</v>
          </cell>
          <cell r="C231" t="str">
            <v>Soco 100 17kg</v>
          </cell>
          <cell r="D231">
            <v>17</v>
          </cell>
          <cell r="E231">
            <v>1</v>
          </cell>
          <cell r="F231">
            <v>0</v>
          </cell>
          <cell r="G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AF231">
            <v>0</v>
          </cell>
          <cell r="AG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</row>
        <row r="232">
          <cell r="B232">
            <v>107115</v>
          </cell>
          <cell r="C232" t="str">
            <v>Palm Kernel-H 27kg</v>
          </cell>
          <cell r="D232">
            <v>27</v>
          </cell>
          <cell r="E232">
            <v>1</v>
          </cell>
          <cell r="F232">
            <v>32189.23076923077</v>
          </cell>
          <cell r="G232">
            <v>34929.347985347988</v>
          </cell>
          <cell r="H232">
            <v>273</v>
          </cell>
          <cell r="I232">
            <v>0</v>
          </cell>
          <cell r="R232">
            <v>273</v>
          </cell>
          <cell r="S232">
            <v>0</v>
          </cell>
          <cell r="T232">
            <v>0</v>
          </cell>
          <cell r="U232">
            <v>0</v>
          </cell>
          <cell r="V232">
            <v>273</v>
          </cell>
          <cell r="W232">
            <v>0</v>
          </cell>
          <cell r="X232">
            <v>8787660</v>
          </cell>
          <cell r="Y232">
            <v>9535712</v>
          </cell>
          <cell r="Z232">
            <v>273</v>
          </cell>
          <cell r="AF232">
            <v>273</v>
          </cell>
          <cell r="AG232">
            <v>273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</row>
        <row r="233">
          <cell r="B233">
            <v>107120</v>
          </cell>
          <cell r="C233" t="str">
            <v>Cottonseed-H 27kg</v>
          </cell>
          <cell r="D233">
            <v>27</v>
          </cell>
          <cell r="E233">
            <v>1</v>
          </cell>
          <cell r="F233">
            <v>34122.939622641512</v>
          </cell>
          <cell r="G233">
            <v>38257.237735849056</v>
          </cell>
          <cell r="H233">
            <v>265</v>
          </cell>
          <cell r="I233">
            <v>0</v>
          </cell>
          <cell r="R233">
            <v>265</v>
          </cell>
          <cell r="S233">
            <v>0</v>
          </cell>
          <cell r="T233">
            <v>0</v>
          </cell>
          <cell r="U233">
            <v>0</v>
          </cell>
          <cell r="V233">
            <v>265</v>
          </cell>
          <cell r="W233">
            <v>0</v>
          </cell>
          <cell r="X233">
            <v>9042579</v>
          </cell>
          <cell r="Y233">
            <v>10138168</v>
          </cell>
          <cell r="Z233">
            <v>265</v>
          </cell>
          <cell r="AF233">
            <v>265</v>
          </cell>
          <cell r="AG233">
            <v>265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</row>
        <row r="234">
          <cell r="B234">
            <v>107121</v>
          </cell>
          <cell r="C234" t="str">
            <v>Palm Stearin-H TK</v>
          </cell>
          <cell r="D234">
            <v>1</v>
          </cell>
          <cell r="E234">
            <v>1</v>
          </cell>
          <cell r="F234">
            <v>0</v>
          </cell>
          <cell r="G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AF234">
            <v>0</v>
          </cell>
          <cell r="AG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</row>
        <row r="235">
          <cell r="B235">
            <v>107123</v>
          </cell>
          <cell r="C235" t="str">
            <v>Palm-R TK</v>
          </cell>
          <cell r="D235">
            <v>1</v>
          </cell>
          <cell r="E235">
            <v>1</v>
          </cell>
          <cell r="F235">
            <v>0</v>
          </cell>
          <cell r="G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AF235">
            <v>0</v>
          </cell>
          <cell r="AG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</row>
        <row r="236">
          <cell r="B236">
            <v>107135</v>
          </cell>
          <cell r="C236" t="str">
            <v>E) Coconut-H 14kg</v>
          </cell>
          <cell r="D236">
            <v>14</v>
          </cell>
          <cell r="E236">
            <v>1</v>
          </cell>
          <cell r="F236">
            <v>0</v>
          </cell>
          <cell r="G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AF236">
            <v>0</v>
          </cell>
          <cell r="AG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</row>
        <row r="237">
          <cell r="B237">
            <v>107139</v>
          </cell>
          <cell r="C237" t="str">
            <v>Tallow 20kg</v>
          </cell>
          <cell r="D237">
            <v>20</v>
          </cell>
          <cell r="E237">
            <v>1</v>
          </cell>
          <cell r="F237">
            <v>0</v>
          </cell>
          <cell r="G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AF237">
            <v>0</v>
          </cell>
          <cell r="AG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</row>
        <row r="238">
          <cell r="B238">
            <v>109020</v>
          </cell>
          <cell r="C238" t="str">
            <v>DECORATION-D 5KG</v>
          </cell>
          <cell r="D238">
            <v>5</v>
          </cell>
          <cell r="E238">
            <v>1</v>
          </cell>
          <cell r="F238">
            <v>10502.726008344924</v>
          </cell>
          <cell r="G238">
            <v>13745.19471488178</v>
          </cell>
          <cell r="H238">
            <v>506</v>
          </cell>
          <cell r="I238">
            <v>0</v>
          </cell>
          <cell r="J238">
            <v>71</v>
          </cell>
          <cell r="K238">
            <v>0</v>
          </cell>
          <cell r="L238">
            <v>21</v>
          </cell>
          <cell r="M238">
            <v>0</v>
          </cell>
          <cell r="N238">
            <v>75</v>
          </cell>
          <cell r="O238">
            <v>0</v>
          </cell>
          <cell r="P238">
            <v>46</v>
          </cell>
          <cell r="Q238">
            <v>0</v>
          </cell>
          <cell r="R238">
            <v>719</v>
          </cell>
          <cell r="S238">
            <v>0</v>
          </cell>
          <cell r="T238">
            <v>0</v>
          </cell>
          <cell r="U238">
            <v>0</v>
          </cell>
          <cell r="V238">
            <v>719</v>
          </cell>
          <cell r="W238">
            <v>0</v>
          </cell>
          <cell r="X238">
            <v>7551460</v>
          </cell>
          <cell r="Y238">
            <v>9882795</v>
          </cell>
          <cell r="Z238">
            <v>506</v>
          </cell>
          <cell r="AB238">
            <v>71</v>
          </cell>
          <cell r="AC238">
            <v>21</v>
          </cell>
          <cell r="AD238">
            <v>75</v>
          </cell>
          <cell r="AE238">
            <v>46</v>
          </cell>
          <cell r="AF238">
            <v>719</v>
          </cell>
          <cell r="AG238">
            <v>719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</row>
        <row r="239">
          <cell r="B239">
            <v>109022</v>
          </cell>
          <cell r="C239" t="str">
            <v>S) WHITE 5KG</v>
          </cell>
          <cell r="D239">
            <v>5</v>
          </cell>
          <cell r="E239">
            <v>1</v>
          </cell>
          <cell r="F239">
            <v>11234.273504273504</v>
          </cell>
          <cell r="G239">
            <v>14018.025641025641</v>
          </cell>
          <cell r="H239">
            <v>178</v>
          </cell>
          <cell r="I239">
            <v>0</v>
          </cell>
          <cell r="J239">
            <v>26</v>
          </cell>
          <cell r="K239">
            <v>0</v>
          </cell>
          <cell r="L239">
            <v>17</v>
          </cell>
          <cell r="M239">
            <v>0</v>
          </cell>
          <cell r="N239">
            <v>68</v>
          </cell>
          <cell r="O239">
            <v>0</v>
          </cell>
          <cell r="P239">
            <v>62</v>
          </cell>
          <cell r="Q239">
            <v>0</v>
          </cell>
          <cell r="R239">
            <v>351</v>
          </cell>
          <cell r="S239">
            <v>0</v>
          </cell>
          <cell r="T239">
            <v>0</v>
          </cell>
          <cell r="U239">
            <v>0</v>
          </cell>
          <cell r="V239">
            <v>351</v>
          </cell>
          <cell r="W239">
            <v>0</v>
          </cell>
          <cell r="X239">
            <v>3943230</v>
          </cell>
          <cell r="Y239">
            <v>4920327</v>
          </cell>
          <cell r="Z239">
            <v>178</v>
          </cell>
          <cell r="AB239">
            <v>26</v>
          </cell>
          <cell r="AC239">
            <v>17</v>
          </cell>
          <cell r="AD239">
            <v>68</v>
          </cell>
          <cell r="AE239">
            <v>62</v>
          </cell>
          <cell r="AF239">
            <v>351</v>
          </cell>
          <cell r="AG239">
            <v>351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</row>
        <row r="240">
          <cell r="B240">
            <v>109024</v>
          </cell>
          <cell r="C240" t="str">
            <v>CRYSTAL 5KG</v>
          </cell>
          <cell r="D240">
            <v>5</v>
          </cell>
          <cell r="E240">
            <v>1</v>
          </cell>
          <cell r="F240">
            <v>9995.3545454545456</v>
          </cell>
          <cell r="G240">
            <v>13123.945454545454</v>
          </cell>
          <cell r="H240">
            <v>75</v>
          </cell>
          <cell r="I240">
            <v>0</v>
          </cell>
          <cell r="L240">
            <v>23</v>
          </cell>
          <cell r="M240">
            <v>0</v>
          </cell>
          <cell r="P240">
            <v>12</v>
          </cell>
          <cell r="Q240">
            <v>0</v>
          </cell>
          <cell r="R240">
            <v>110</v>
          </cell>
          <cell r="S240">
            <v>0</v>
          </cell>
          <cell r="T240">
            <v>0</v>
          </cell>
          <cell r="U240">
            <v>0</v>
          </cell>
          <cell r="V240">
            <v>110</v>
          </cell>
          <cell r="W240">
            <v>0</v>
          </cell>
          <cell r="X240">
            <v>1099489</v>
          </cell>
          <cell r="Y240">
            <v>1443634</v>
          </cell>
          <cell r="Z240">
            <v>75</v>
          </cell>
          <cell r="AC240">
            <v>23</v>
          </cell>
          <cell r="AE240">
            <v>12</v>
          </cell>
          <cell r="AF240">
            <v>110</v>
          </cell>
          <cell r="AG240">
            <v>110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</row>
        <row r="241">
          <cell r="B241">
            <v>109026</v>
          </cell>
          <cell r="C241" t="str">
            <v>JADE 5KG</v>
          </cell>
          <cell r="D241">
            <v>5</v>
          </cell>
          <cell r="E241">
            <v>1</v>
          </cell>
          <cell r="F241">
            <v>9853.07</v>
          </cell>
          <cell r="G241">
            <v>13201.045</v>
          </cell>
          <cell r="H241">
            <v>180</v>
          </cell>
          <cell r="I241">
            <v>0</v>
          </cell>
          <cell r="P241">
            <v>20</v>
          </cell>
          <cell r="Q241">
            <v>0</v>
          </cell>
          <cell r="R241">
            <v>200</v>
          </cell>
          <cell r="S241">
            <v>0</v>
          </cell>
          <cell r="T241">
            <v>0</v>
          </cell>
          <cell r="U241">
            <v>0</v>
          </cell>
          <cell r="V241">
            <v>200</v>
          </cell>
          <cell r="W241">
            <v>0</v>
          </cell>
          <cell r="X241">
            <v>1970614</v>
          </cell>
          <cell r="Y241">
            <v>2640209</v>
          </cell>
          <cell r="Z241">
            <v>180</v>
          </cell>
          <cell r="AE241">
            <v>20</v>
          </cell>
          <cell r="AF241">
            <v>200</v>
          </cell>
          <cell r="AG241">
            <v>200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</row>
        <row r="242">
          <cell r="B242">
            <v>109028</v>
          </cell>
          <cell r="C242" t="str">
            <v>SAPPHIRE 5KG</v>
          </cell>
          <cell r="D242">
            <v>5</v>
          </cell>
          <cell r="E242">
            <v>1</v>
          </cell>
          <cell r="F242">
            <v>13431.741379310344</v>
          </cell>
          <cell r="G242">
            <v>16011.741379310344</v>
          </cell>
          <cell r="H242">
            <v>48</v>
          </cell>
          <cell r="I242">
            <v>0</v>
          </cell>
          <cell r="J242">
            <v>10</v>
          </cell>
          <cell r="K242">
            <v>0</v>
          </cell>
          <cell r="R242">
            <v>58</v>
          </cell>
          <cell r="S242">
            <v>0</v>
          </cell>
          <cell r="T242">
            <v>0</v>
          </cell>
          <cell r="U242">
            <v>0</v>
          </cell>
          <cell r="V242">
            <v>58</v>
          </cell>
          <cell r="W242">
            <v>0</v>
          </cell>
          <cell r="X242">
            <v>779041</v>
          </cell>
          <cell r="Y242">
            <v>928681</v>
          </cell>
          <cell r="Z242">
            <v>48</v>
          </cell>
          <cell r="AB242">
            <v>10</v>
          </cell>
          <cell r="AF242">
            <v>58</v>
          </cell>
          <cell r="AG242">
            <v>58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</row>
        <row r="243">
          <cell r="B243">
            <v>109070</v>
          </cell>
          <cell r="C243" t="str">
            <v>S) MILK 15KG</v>
          </cell>
          <cell r="D243">
            <v>15</v>
          </cell>
          <cell r="E243">
            <v>1</v>
          </cell>
          <cell r="F243">
            <v>44499.197183098593</v>
          </cell>
          <cell r="G243">
            <v>53839.056338028167</v>
          </cell>
          <cell r="H243">
            <v>71</v>
          </cell>
          <cell r="I243">
            <v>0</v>
          </cell>
          <cell r="R243">
            <v>71</v>
          </cell>
          <cell r="S243">
            <v>0</v>
          </cell>
          <cell r="T243">
            <v>0</v>
          </cell>
          <cell r="U243">
            <v>0</v>
          </cell>
          <cell r="V243">
            <v>71</v>
          </cell>
          <cell r="W243">
            <v>0</v>
          </cell>
          <cell r="X243">
            <v>3159443</v>
          </cell>
          <cell r="Y243">
            <v>3822573</v>
          </cell>
          <cell r="Z243">
            <v>71</v>
          </cell>
          <cell r="AF243">
            <v>71</v>
          </cell>
          <cell r="AG243">
            <v>71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</row>
        <row r="244">
          <cell r="B244">
            <v>109082</v>
          </cell>
          <cell r="C244" t="str">
            <v>ENROBING 15KG</v>
          </cell>
          <cell r="D244">
            <v>15</v>
          </cell>
          <cell r="E244">
            <v>1</v>
          </cell>
          <cell r="F244">
            <v>29857.444444444445</v>
          </cell>
          <cell r="G244">
            <v>37110.240740740737</v>
          </cell>
          <cell r="H244">
            <v>54</v>
          </cell>
          <cell r="I244">
            <v>0</v>
          </cell>
          <cell r="R244">
            <v>54</v>
          </cell>
          <cell r="S244">
            <v>0</v>
          </cell>
          <cell r="T244">
            <v>0</v>
          </cell>
          <cell r="U244">
            <v>0</v>
          </cell>
          <cell r="V244">
            <v>54</v>
          </cell>
          <cell r="W244">
            <v>0</v>
          </cell>
          <cell r="X244">
            <v>1612302</v>
          </cell>
          <cell r="Y244">
            <v>2003953</v>
          </cell>
          <cell r="Z244">
            <v>54</v>
          </cell>
          <cell r="AF244">
            <v>54</v>
          </cell>
          <cell r="AG244">
            <v>54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</row>
        <row r="245">
          <cell r="B245">
            <v>109163</v>
          </cell>
          <cell r="C245" t="str">
            <v>Tae Tae TK</v>
          </cell>
          <cell r="D245">
            <v>1</v>
          </cell>
          <cell r="E245">
            <v>1</v>
          </cell>
          <cell r="F245">
            <v>0</v>
          </cell>
          <cell r="G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AF245">
            <v>0</v>
          </cell>
          <cell r="AG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</row>
        <row r="246">
          <cell r="B246">
            <v>109713</v>
          </cell>
          <cell r="C246" t="str">
            <v>C.B 11kg</v>
          </cell>
          <cell r="D246">
            <v>11</v>
          </cell>
          <cell r="E246">
            <v>1</v>
          </cell>
          <cell r="F246">
            <v>0</v>
          </cell>
          <cell r="G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AF246">
            <v>0</v>
          </cell>
          <cell r="AG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</row>
        <row r="247">
          <cell r="B247">
            <v>111030</v>
          </cell>
          <cell r="C247" t="str">
            <v>S) P/B 3KG (S)</v>
          </cell>
          <cell r="D247">
            <v>3</v>
          </cell>
          <cell r="E247">
            <v>1</v>
          </cell>
          <cell r="F247">
            <v>12924.367346938776</v>
          </cell>
          <cell r="G247">
            <v>15052.765306122448</v>
          </cell>
          <cell r="H247">
            <v>294</v>
          </cell>
          <cell r="I247">
            <v>0</v>
          </cell>
          <cell r="R247">
            <v>294</v>
          </cell>
          <cell r="S247">
            <v>0</v>
          </cell>
          <cell r="T247">
            <v>0</v>
          </cell>
          <cell r="U247">
            <v>0</v>
          </cell>
          <cell r="V247">
            <v>294</v>
          </cell>
          <cell r="W247">
            <v>0</v>
          </cell>
          <cell r="X247">
            <v>3799764</v>
          </cell>
          <cell r="Y247">
            <v>4425513</v>
          </cell>
          <cell r="Z247">
            <v>294</v>
          </cell>
          <cell r="AF247">
            <v>294</v>
          </cell>
          <cell r="AG247">
            <v>294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</row>
        <row r="248">
          <cell r="B248">
            <v>115060</v>
          </cell>
          <cell r="C248" t="str">
            <v>S) M/Y 1KG</v>
          </cell>
          <cell r="D248">
            <v>1</v>
          </cell>
          <cell r="E248">
            <v>10</v>
          </cell>
          <cell r="F248">
            <v>15123.441672780631</v>
          </cell>
          <cell r="G248">
            <v>17657.602347762288</v>
          </cell>
          <cell r="H248">
            <v>2231</v>
          </cell>
          <cell r="I248">
            <v>0</v>
          </cell>
          <cell r="J248">
            <v>77</v>
          </cell>
          <cell r="K248">
            <v>9</v>
          </cell>
          <cell r="L248">
            <v>55</v>
          </cell>
          <cell r="M248">
            <v>0</v>
          </cell>
          <cell r="N248">
            <v>338</v>
          </cell>
          <cell r="O248">
            <v>0</v>
          </cell>
          <cell r="P248">
            <v>25</v>
          </cell>
          <cell r="Q248">
            <v>0</v>
          </cell>
          <cell r="R248">
            <v>2726</v>
          </cell>
          <cell r="S248">
            <v>9</v>
          </cell>
          <cell r="T248">
            <v>0</v>
          </cell>
          <cell r="U248">
            <v>0</v>
          </cell>
          <cell r="V248">
            <v>2726</v>
          </cell>
          <cell r="W248">
            <v>9</v>
          </cell>
          <cell r="X248">
            <v>41226502</v>
          </cell>
          <cell r="Y248">
            <v>48134624</v>
          </cell>
          <cell r="Z248">
            <v>2231</v>
          </cell>
          <cell r="AB248">
            <v>77</v>
          </cell>
          <cell r="AC248">
            <v>55</v>
          </cell>
          <cell r="AD248">
            <v>338</v>
          </cell>
          <cell r="AE248">
            <v>25</v>
          </cell>
          <cell r="AF248">
            <v>2726</v>
          </cell>
          <cell r="AG248">
            <v>2726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</row>
        <row r="249">
          <cell r="B249">
            <v>115066</v>
          </cell>
          <cell r="C249" t="str">
            <v>H) M/Y 10kg (S)</v>
          </cell>
          <cell r="D249">
            <v>10</v>
          </cell>
          <cell r="E249">
            <v>1</v>
          </cell>
          <cell r="F249">
            <v>0</v>
          </cell>
          <cell r="G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AF249">
            <v>0</v>
          </cell>
          <cell r="AG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</row>
        <row r="250">
          <cell r="B250">
            <v>115067</v>
          </cell>
          <cell r="C250" t="str">
            <v>H) M/Y 3.2kg (S-Y)</v>
          </cell>
          <cell r="D250">
            <v>3.2</v>
          </cell>
          <cell r="E250">
            <v>4</v>
          </cell>
          <cell r="F250">
            <v>0</v>
          </cell>
          <cell r="G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AF250">
            <v>0</v>
          </cell>
          <cell r="AG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</row>
        <row r="251">
          <cell r="B251">
            <v>115068</v>
          </cell>
          <cell r="C251" t="str">
            <v>H) M/Y 3.2kg (S-B)</v>
          </cell>
          <cell r="D251">
            <v>3.2</v>
          </cell>
          <cell r="E251">
            <v>4</v>
          </cell>
          <cell r="F251">
            <v>18219.779088050316</v>
          </cell>
          <cell r="G251">
            <v>21849.011792452831</v>
          </cell>
          <cell r="H251">
            <v>1054</v>
          </cell>
          <cell r="I251">
            <v>0</v>
          </cell>
          <cell r="J251">
            <v>79</v>
          </cell>
          <cell r="K251">
            <v>1</v>
          </cell>
          <cell r="L251">
            <v>26</v>
          </cell>
          <cell r="M251">
            <v>1</v>
          </cell>
          <cell r="N251">
            <v>89</v>
          </cell>
          <cell r="O251">
            <v>1</v>
          </cell>
          <cell r="P251">
            <v>23</v>
          </cell>
          <cell r="Q251">
            <v>3</v>
          </cell>
          <cell r="R251">
            <v>1272</v>
          </cell>
          <cell r="S251">
            <v>2</v>
          </cell>
          <cell r="T251">
            <v>0</v>
          </cell>
          <cell r="U251">
            <v>0</v>
          </cell>
          <cell r="V251">
            <v>1272</v>
          </cell>
          <cell r="W251">
            <v>2</v>
          </cell>
          <cell r="X251">
            <v>23175559</v>
          </cell>
          <cell r="Y251">
            <v>27791943</v>
          </cell>
          <cell r="Z251">
            <v>1054</v>
          </cell>
          <cell r="AB251">
            <v>79</v>
          </cell>
          <cell r="AC251">
            <v>26</v>
          </cell>
          <cell r="AD251">
            <v>89</v>
          </cell>
          <cell r="AE251">
            <v>23</v>
          </cell>
          <cell r="AF251">
            <v>1271</v>
          </cell>
          <cell r="AG251">
            <v>1271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</row>
        <row r="252">
          <cell r="B252">
            <v>115069</v>
          </cell>
          <cell r="C252" t="str">
            <v>H) M/Y 10kg</v>
          </cell>
          <cell r="D252">
            <v>10</v>
          </cell>
          <cell r="E252">
            <v>1</v>
          </cell>
          <cell r="F252">
            <v>13922.684290030211</v>
          </cell>
          <cell r="G252">
            <v>16500.235649546827</v>
          </cell>
          <cell r="H252">
            <v>562</v>
          </cell>
          <cell r="I252">
            <v>0</v>
          </cell>
          <cell r="P252">
            <v>100</v>
          </cell>
          <cell r="Q252">
            <v>0</v>
          </cell>
          <cell r="R252">
            <v>662</v>
          </cell>
          <cell r="S252">
            <v>0</v>
          </cell>
          <cell r="T252">
            <v>0</v>
          </cell>
          <cell r="U252">
            <v>0</v>
          </cell>
          <cell r="V252">
            <v>662</v>
          </cell>
          <cell r="W252">
            <v>0</v>
          </cell>
          <cell r="X252">
            <v>9216817</v>
          </cell>
          <cell r="Y252">
            <v>10923156</v>
          </cell>
          <cell r="Z252">
            <v>562</v>
          </cell>
          <cell r="AE252">
            <v>100</v>
          </cell>
          <cell r="AF252">
            <v>662</v>
          </cell>
          <cell r="AG252">
            <v>662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</row>
        <row r="253">
          <cell r="B253">
            <v>115090</v>
          </cell>
          <cell r="C253" t="str">
            <v>Export H) M/Y 2kg</v>
          </cell>
          <cell r="D253">
            <v>2</v>
          </cell>
          <cell r="E253">
            <v>6</v>
          </cell>
          <cell r="F253">
            <v>0</v>
          </cell>
          <cell r="G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AF253">
            <v>0</v>
          </cell>
          <cell r="AG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</row>
        <row r="254">
          <cell r="B254">
            <v>115101</v>
          </cell>
          <cell r="C254" t="str">
            <v>H) Dressing 3.2kg</v>
          </cell>
          <cell r="D254">
            <v>3.2</v>
          </cell>
          <cell r="E254">
            <v>4</v>
          </cell>
          <cell r="F254">
            <v>0</v>
          </cell>
          <cell r="G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AF254">
            <v>0</v>
          </cell>
          <cell r="AG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</row>
        <row r="255">
          <cell r="B255">
            <v>115103</v>
          </cell>
          <cell r="C255" t="str">
            <v>H) Dressing 10kg</v>
          </cell>
          <cell r="D255">
            <v>10</v>
          </cell>
          <cell r="E255">
            <v>1</v>
          </cell>
          <cell r="F255">
            <v>9335.1230101302463</v>
          </cell>
          <cell r="G255">
            <v>11820.046309696092</v>
          </cell>
          <cell r="H255">
            <v>691</v>
          </cell>
          <cell r="I255">
            <v>0</v>
          </cell>
          <cell r="R255">
            <v>691</v>
          </cell>
          <cell r="S255">
            <v>0</v>
          </cell>
          <cell r="T255">
            <v>0</v>
          </cell>
          <cell r="U255">
            <v>0</v>
          </cell>
          <cell r="V255">
            <v>691</v>
          </cell>
          <cell r="W255">
            <v>0</v>
          </cell>
          <cell r="X255">
            <v>6450570</v>
          </cell>
          <cell r="Y255">
            <v>8167652</v>
          </cell>
          <cell r="Z255">
            <v>691</v>
          </cell>
          <cell r="AF255">
            <v>691</v>
          </cell>
          <cell r="AG255">
            <v>691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</row>
        <row r="256">
          <cell r="B256">
            <v>115105</v>
          </cell>
          <cell r="C256" t="str">
            <v>Dress. for Coleslaw 10kg</v>
          </cell>
          <cell r="D256">
            <v>10</v>
          </cell>
          <cell r="E256">
            <v>1</v>
          </cell>
          <cell r="F256">
            <v>9738.9700598802392</v>
          </cell>
          <cell r="G256">
            <v>12493.053892215568</v>
          </cell>
          <cell r="H256">
            <v>334</v>
          </cell>
          <cell r="I256">
            <v>0</v>
          </cell>
          <cell r="R256">
            <v>334</v>
          </cell>
          <cell r="S256">
            <v>0</v>
          </cell>
          <cell r="T256">
            <v>0</v>
          </cell>
          <cell r="U256">
            <v>0</v>
          </cell>
          <cell r="V256">
            <v>334</v>
          </cell>
          <cell r="W256">
            <v>0</v>
          </cell>
          <cell r="X256">
            <v>3252816</v>
          </cell>
          <cell r="Y256">
            <v>4172680</v>
          </cell>
          <cell r="Z256">
            <v>334</v>
          </cell>
          <cell r="AF256">
            <v>334</v>
          </cell>
          <cell r="AG256">
            <v>334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</row>
        <row r="257">
          <cell r="B257">
            <v>115552</v>
          </cell>
          <cell r="C257" t="str">
            <v>Export H) M/Y 3.2kg (Y)</v>
          </cell>
          <cell r="D257">
            <v>3.2</v>
          </cell>
          <cell r="E257">
            <v>4</v>
          </cell>
          <cell r="F257">
            <v>0</v>
          </cell>
          <cell r="G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AF257">
            <v>0</v>
          </cell>
          <cell r="AG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</row>
        <row r="258">
          <cell r="B258">
            <v>115553</v>
          </cell>
          <cell r="C258" t="str">
            <v>Export H) M/Y 3.2kg (B)</v>
          </cell>
          <cell r="D258">
            <v>3.2</v>
          </cell>
          <cell r="E258">
            <v>4</v>
          </cell>
          <cell r="F258">
            <v>17698</v>
          </cell>
          <cell r="G258">
            <v>20783</v>
          </cell>
          <cell r="H258">
            <v>1</v>
          </cell>
          <cell r="I258">
            <v>0</v>
          </cell>
          <cell r="R258">
            <v>1</v>
          </cell>
          <cell r="S258">
            <v>0</v>
          </cell>
          <cell r="T258">
            <v>0</v>
          </cell>
          <cell r="U258">
            <v>0</v>
          </cell>
          <cell r="V258">
            <v>1</v>
          </cell>
          <cell r="W258">
            <v>0</v>
          </cell>
          <cell r="X258">
            <v>17698</v>
          </cell>
          <cell r="Y258">
            <v>20783</v>
          </cell>
          <cell r="Z258">
            <v>1</v>
          </cell>
          <cell r="AF258">
            <v>1</v>
          </cell>
          <cell r="AG258">
            <v>1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</row>
        <row r="259">
          <cell r="B259">
            <v>115554</v>
          </cell>
          <cell r="C259" t="str">
            <v>Export S) M/Y 1kg</v>
          </cell>
          <cell r="D259">
            <v>1</v>
          </cell>
          <cell r="E259">
            <v>10</v>
          </cell>
          <cell r="F259">
            <v>0</v>
          </cell>
          <cell r="G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AF259">
            <v>0</v>
          </cell>
          <cell r="AG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</row>
        <row r="260">
          <cell r="B260">
            <v>115555</v>
          </cell>
          <cell r="C260" t="str">
            <v>Export H) M/Y 1kg</v>
          </cell>
          <cell r="D260">
            <v>1</v>
          </cell>
          <cell r="E260">
            <v>10</v>
          </cell>
          <cell r="F260">
            <v>15056.48</v>
          </cell>
          <cell r="G260">
            <v>17465.939999999999</v>
          </cell>
          <cell r="H260">
            <v>50</v>
          </cell>
          <cell r="I260">
            <v>0</v>
          </cell>
          <cell r="R260">
            <v>50</v>
          </cell>
          <cell r="S260">
            <v>0</v>
          </cell>
          <cell r="T260">
            <v>0</v>
          </cell>
          <cell r="U260">
            <v>0</v>
          </cell>
          <cell r="V260">
            <v>50</v>
          </cell>
          <cell r="W260">
            <v>0</v>
          </cell>
          <cell r="X260">
            <v>752824</v>
          </cell>
          <cell r="Y260">
            <v>873297</v>
          </cell>
          <cell r="Z260">
            <v>50</v>
          </cell>
          <cell r="AF260">
            <v>50</v>
          </cell>
          <cell r="AG260">
            <v>50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</row>
        <row r="261">
          <cell r="B261">
            <v>117083</v>
          </cell>
          <cell r="C261" t="str">
            <v>ROYAL T/K 3.3KG</v>
          </cell>
          <cell r="D261">
            <v>3.3</v>
          </cell>
          <cell r="E261">
            <v>6</v>
          </cell>
          <cell r="F261">
            <v>15092.926686217008</v>
          </cell>
          <cell r="G261">
            <v>22888.176930596284</v>
          </cell>
          <cell r="H261">
            <v>721</v>
          </cell>
          <cell r="I261">
            <v>0</v>
          </cell>
          <cell r="J261">
            <v>65</v>
          </cell>
          <cell r="K261">
            <v>2</v>
          </cell>
          <cell r="L261">
            <v>111</v>
          </cell>
          <cell r="M261">
            <v>1</v>
          </cell>
          <cell r="N261">
            <v>103</v>
          </cell>
          <cell r="O261">
            <v>0</v>
          </cell>
          <cell r="P261">
            <v>22</v>
          </cell>
          <cell r="Q261">
            <v>5</v>
          </cell>
          <cell r="R261">
            <v>1023</v>
          </cell>
          <cell r="S261">
            <v>2</v>
          </cell>
          <cell r="T261">
            <v>0</v>
          </cell>
          <cell r="U261">
            <v>0</v>
          </cell>
          <cell r="V261">
            <v>1023</v>
          </cell>
          <cell r="W261">
            <v>2</v>
          </cell>
          <cell r="X261">
            <v>15440064</v>
          </cell>
          <cell r="Y261">
            <v>23414605</v>
          </cell>
          <cell r="Z261">
            <v>721</v>
          </cell>
          <cell r="AB261">
            <v>65</v>
          </cell>
          <cell r="AC261">
            <v>111</v>
          </cell>
          <cell r="AD261">
            <v>103</v>
          </cell>
          <cell r="AE261">
            <v>22</v>
          </cell>
          <cell r="AF261">
            <v>1022</v>
          </cell>
          <cell r="AG261">
            <v>1022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</row>
        <row r="262">
          <cell r="B262">
            <v>117095</v>
          </cell>
          <cell r="C262" t="str">
            <v>H) Kochujang T/K 3.3kg</v>
          </cell>
          <cell r="D262">
            <v>3.3</v>
          </cell>
          <cell r="E262">
            <v>6</v>
          </cell>
          <cell r="F262">
            <v>17882.548387096773</v>
          </cell>
          <cell r="G262">
            <v>23649.548387096773</v>
          </cell>
          <cell r="J262">
            <v>31</v>
          </cell>
          <cell r="K262">
            <v>0</v>
          </cell>
          <cell r="R262">
            <v>31</v>
          </cell>
          <cell r="S262">
            <v>0</v>
          </cell>
          <cell r="T262">
            <v>0</v>
          </cell>
          <cell r="U262">
            <v>0</v>
          </cell>
          <cell r="V262">
            <v>31</v>
          </cell>
          <cell r="W262">
            <v>0</v>
          </cell>
          <cell r="X262">
            <v>554359</v>
          </cell>
          <cell r="Y262">
            <v>733136</v>
          </cell>
          <cell r="AB262">
            <v>31</v>
          </cell>
          <cell r="AF262">
            <v>31</v>
          </cell>
          <cell r="AG262">
            <v>31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</row>
        <row r="263">
          <cell r="B263">
            <v>117100</v>
          </cell>
          <cell r="C263" t="str">
            <v>Popeye's S.S.Ketchup 9g</v>
          </cell>
          <cell r="D263">
            <v>8.9999999999999993E-3</v>
          </cell>
          <cell r="E263">
            <v>1500</v>
          </cell>
          <cell r="F263">
            <v>19200.798076923078</v>
          </cell>
          <cell r="G263">
            <v>24724.66826923077</v>
          </cell>
          <cell r="H263">
            <v>208</v>
          </cell>
          <cell r="I263">
            <v>0</v>
          </cell>
          <cell r="R263">
            <v>208</v>
          </cell>
          <cell r="S263">
            <v>0</v>
          </cell>
          <cell r="T263">
            <v>0</v>
          </cell>
          <cell r="U263">
            <v>0</v>
          </cell>
          <cell r="V263">
            <v>208</v>
          </cell>
          <cell r="W263">
            <v>0</v>
          </cell>
          <cell r="X263">
            <v>3993766</v>
          </cell>
          <cell r="Y263">
            <v>5142731</v>
          </cell>
          <cell r="Z263">
            <v>208</v>
          </cell>
          <cell r="AF263">
            <v>208</v>
          </cell>
          <cell r="AG263">
            <v>208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</row>
        <row r="264">
          <cell r="B264">
            <v>117101</v>
          </cell>
          <cell r="C264" t="str">
            <v>H) T/K 9g</v>
          </cell>
          <cell r="D264">
            <v>8.9999999999999993E-3</v>
          </cell>
          <cell r="E264">
            <v>500</v>
          </cell>
          <cell r="F264">
            <v>6909.4793621013132</v>
          </cell>
          <cell r="G264">
            <v>8688.0318949343346</v>
          </cell>
          <cell r="H264">
            <v>948</v>
          </cell>
          <cell r="I264">
            <v>0</v>
          </cell>
          <cell r="J264">
            <v>6</v>
          </cell>
          <cell r="K264">
            <v>0</v>
          </cell>
          <cell r="L264">
            <v>65</v>
          </cell>
          <cell r="M264">
            <v>0</v>
          </cell>
          <cell r="N264">
            <v>47</v>
          </cell>
          <cell r="O264">
            <v>0</v>
          </cell>
          <cell r="R264">
            <v>1066</v>
          </cell>
          <cell r="S264">
            <v>0</v>
          </cell>
          <cell r="T264">
            <v>0</v>
          </cell>
          <cell r="U264">
            <v>0</v>
          </cell>
          <cell r="V264">
            <v>1066</v>
          </cell>
          <cell r="W264">
            <v>0</v>
          </cell>
          <cell r="X264">
            <v>7365505</v>
          </cell>
          <cell r="Y264">
            <v>9261442</v>
          </cell>
          <cell r="Z264">
            <v>948</v>
          </cell>
          <cell r="AB264">
            <v>6</v>
          </cell>
          <cell r="AC264">
            <v>65</v>
          </cell>
          <cell r="AD264">
            <v>47</v>
          </cell>
          <cell r="AF264">
            <v>1066</v>
          </cell>
          <cell r="AG264">
            <v>1066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</row>
        <row r="265">
          <cell r="B265">
            <v>117105</v>
          </cell>
          <cell r="C265" t="str">
            <v>Pizza League 9g</v>
          </cell>
          <cell r="D265">
            <v>8.9999999999999993E-3</v>
          </cell>
          <cell r="E265">
            <v>500</v>
          </cell>
          <cell r="F265">
            <v>7163.0935960591132</v>
          </cell>
          <cell r="G265">
            <v>9004.3645320197047</v>
          </cell>
          <cell r="H265">
            <v>203</v>
          </cell>
          <cell r="I265">
            <v>0</v>
          </cell>
          <cell r="R265">
            <v>203</v>
          </cell>
          <cell r="S265">
            <v>0</v>
          </cell>
          <cell r="T265">
            <v>0</v>
          </cell>
          <cell r="U265">
            <v>0</v>
          </cell>
          <cell r="V265">
            <v>203</v>
          </cell>
          <cell r="W265">
            <v>0</v>
          </cell>
          <cell r="X265">
            <v>1454108</v>
          </cell>
          <cell r="Y265">
            <v>1827886</v>
          </cell>
          <cell r="Z265">
            <v>203</v>
          </cell>
          <cell r="AF265">
            <v>203</v>
          </cell>
          <cell r="AG265">
            <v>203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</row>
        <row r="266">
          <cell r="B266">
            <v>117108</v>
          </cell>
          <cell r="C266" t="str">
            <v>Pizza Mall 9g</v>
          </cell>
          <cell r="D266">
            <v>8.9999999999999993E-3</v>
          </cell>
          <cell r="E266">
            <v>500</v>
          </cell>
          <cell r="F266">
            <v>8531.7330316742082</v>
          </cell>
          <cell r="G266">
            <v>10373.004524886877</v>
          </cell>
          <cell r="H266">
            <v>221</v>
          </cell>
          <cell r="I266">
            <v>0</v>
          </cell>
          <cell r="R266">
            <v>221</v>
          </cell>
          <cell r="S266">
            <v>0</v>
          </cell>
          <cell r="T266">
            <v>0</v>
          </cell>
          <cell r="U266">
            <v>0</v>
          </cell>
          <cell r="V266">
            <v>221</v>
          </cell>
          <cell r="W266">
            <v>0</v>
          </cell>
          <cell r="X266">
            <v>1885513</v>
          </cell>
          <cell r="Y266">
            <v>2292434</v>
          </cell>
          <cell r="Z266">
            <v>221</v>
          </cell>
          <cell r="AF266">
            <v>221</v>
          </cell>
          <cell r="AG266">
            <v>221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</row>
        <row r="267">
          <cell r="B267">
            <v>117554</v>
          </cell>
          <cell r="C267" t="str">
            <v>EXPORT H) T/K 300G</v>
          </cell>
          <cell r="D267">
            <v>0.3</v>
          </cell>
          <cell r="E267">
            <v>30</v>
          </cell>
          <cell r="F267">
            <v>0</v>
          </cell>
          <cell r="G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AF267">
            <v>0</v>
          </cell>
          <cell r="AG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</row>
        <row r="268">
          <cell r="B268">
            <v>117558</v>
          </cell>
          <cell r="C268" t="str">
            <v>E) J.R.S T/K 3kg</v>
          </cell>
          <cell r="D268">
            <v>3</v>
          </cell>
          <cell r="E268">
            <v>4</v>
          </cell>
          <cell r="F268">
            <v>0</v>
          </cell>
          <cell r="G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AF268">
            <v>0</v>
          </cell>
          <cell r="AG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</row>
        <row r="269">
          <cell r="B269">
            <v>117559</v>
          </cell>
          <cell r="C269" t="str">
            <v>E) Oie Sangyo T/K 3kg</v>
          </cell>
          <cell r="D269">
            <v>3</v>
          </cell>
          <cell r="E269">
            <v>4</v>
          </cell>
          <cell r="F269">
            <v>0</v>
          </cell>
          <cell r="G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AF269">
            <v>0</v>
          </cell>
          <cell r="AG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</row>
        <row r="270">
          <cell r="B270">
            <v>117590</v>
          </cell>
          <cell r="C270" t="str">
            <v>H) T/K 3.3KG</v>
          </cell>
          <cell r="D270">
            <v>3.3</v>
          </cell>
          <cell r="E270">
            <v>6</v>
          </cell>
          <cell r="F270">
            <v>17357.74705882353</v>
          </cell>
          <cell r="G270">
            <v>25644.464705882354</v>
          </cell>
          <cell r="H270">
            <v>333</v>
          </cell>
          <cell r="I270">
            <v>0</v>
          </cell>
          <cell r="N270">
            <v>7</v>
          </cell>
          <cell r="R270">
            <v>340</v>
          </cell>
          <cell r="S270">
            <v>0</v>
          </cell>
          <cell r="T270">
            <v>0</v>
          </cell>
          <cell r="U270">
            <v>0</v>
          </cell>
          <cell r="V270">
            <v>340</v>
          </cell>
          <cell r="W270">
            <v>0</v>
          </cell>
          <cell r="X270">
            <v>5901634</v>
          </cell>
          <cell r="Y270">
            <v>8719118</v>
          </cell>
          <cell r="Z270">
            <v>333</v>
          </cell>
          <cell r="AD270">
            <v>7</v>
          </cell>
          <cell r="AF270">
            <v>340</v>
          </cell>
          <cell r="AG270">
            <v>340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</row>
        <row r="271">
          <cell r="B271">
            <v>117600</v>
          </cell>
          <cell r="C271" t="str">
            <v>Royal T/K 20kg</v>
          </cell>
          <cell r="D271">
            <v>20</v>
          </cell>
          <cell r="E271">
            <v>1</v>
          </cell>
          <cell r="F271">
            <v>13738.6</v>
          </cell>
          <cell r="G271">
            <v>22845.08</v>
          </cell>
          <cell r="H271">
            <v>0</v>
          </cell>
          <cell r="I271">
            <v>0</v>
          </cell>
          <cell r="P271">
            <v>25</v>
          </cell>
          <cell r="Q271">
            <v>0</v>
          </cell>
          <cell r="R271">
            <v>25</v>
          </cell>
          <cell r="S271">
            <v>0</v>
          </cell>
          <cell r="T271">
            <v>0</v>
          </cell>
          <cell r="U271">
            <v>0</v>
          </cell>
          <cell r="V271">
            <v>25</v>
          </cell>
          <cell r="W271">
            <v>0</v>
          </cell>
          <cell r="X271">
            <v>343465</v>
          </cell>
          <cell r="Y271">
            <v>571127</v>
          </cell>
          <cell r="AE271">
            <v>25</v>
          </cell>
          <cell r="AF271">
            <v>25</v>
          </cell>
          <cell r="AG271">
            <v>25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</row>
        <row r="272">
          <cell r="B272">
            <v>136004</v>
          </cell>
          <cell r="C272" t="str">
            <v>PALM TK (YAKULT)</v>
          </cell>
          <cell r="D272">
            <v>1</v>
          </cell>
          <cell r="E272">
            <v>1</v>
          </cell>
          <cell r="F272">
            <v>0</v>
          </cell>
          <cell r="G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AF272">
            <v>0</v>
          </cell>
          <cell r="AG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</row>
        <row r="273">
          <cell r="B273">
            <v>136021</v>
          </cell>
          <cell r="C273" t="str">
            <v>Soybean 18L (SamYang)</v>
          </cell>
          <cell r="D273">
            <v>18</v>
          </cell>
          <cell r="E273">
            <v>1</v>
          </cell>
          <cell r="F273">
            <v>898.96610169491521</v>
          </cell>
          <cell r="G273">
            <v>2332.0847457627119</v>
          </cell>
          <cell r="H273">
            <v>59</v>
          </cell>
          <cell r="I273">
            <v>0</v>
          </cell>
          <cell r="R273">
            <v>59</v>
          </cell>
          <cell r="S273">
            <v>0</v>
          </cell>
          <cell r="T273">
            <v>0</v>
          </cell>
          <cell r="U273">
            <v>0</v>
          </cell>
          <cell r="V273">
            <v>59</v>
          </cell>
          <cell r="W273">
            <v>0</v>
          </cell>
          <cell r="X273">
            <v>53039</v>
          </cell>
          <cell r="Y273">
            <v>137593</v>
          </cell>
          <cell r="Z273">
            <v>59</v>
          </cell>
          <cell r="AF273">
            <v>59</v>
          </cell>
          <cell r="AG273">
            <v>59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</row>
        <row r="274">
          <cell r="B274">
            <v>136022</v>
          </cell>
          <cell r="C274" t="str">
            <v>Soybean 180kg (SamYang)</v>
          </cell>
          <cell r="D274">
            <v>180</v>
          </cell>
          <cell r="E274">
            <v>1</v>
          </cell>
          <cell r="F274">
            <v>0</v>
          </cell>
          <cell r="G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AF274">
            <v>0</v>
          </cell>
          <cell r="AG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</row>
        <row r="275">
          <cell r="B275">
            <v>136023</v>
          </cell>
          <cell r="C275" t="str">
            <v>Soybean TK (SamYang)</v>
          </cell>
          <cell r="D275">
            <v>1</v>
          </cell>
          <cell r="E275">
            <v>1</v>
          </cell>
          <cell r="F275">
            <v>0</v>
          </cell>
          <cell r="G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AF275">
            <v>0</v>
          </cell>
          <cell r="AG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</row>
        <row r="276">
          <cell r="B276" t="str">
            <v xml:space="preserve">   Grand Total</v>
          </cell>
          <cell r="H276">
            <v>152802</v>
          </cell>
          <cell r="I276">
            <v>0</v>
          </cell>
          <cell r="J276">
            <v>9114</v>
          </cell>
          <cell r="K276">
            <v>12</v>
          </cell>
          <cell r="L276">
            <v>6531</v>
          </cell>
          <cell r="M276">
            <v>8</v>
          </cell>
          <cell r="N276">
            <v>7142</v>
          </cell>
          <cell r="O276">
            <v>13</v>
          </cell>
          <cell r="P276">
            <v>6067</v>
          </cell>
          <cell r="Q276">
            <v>8</v>
          </cell>
          <cell r="R276">
            <v>181659</v>
          </cell>
          <cell r="S276">
            <v>21</v>
          </cell>
          <cell r="T276">
            <v>0</v>
          </cell>
          <cell r="U276">
            <v>0</v>
          </cell>
          <cell r="V276">
            <v>181659</v>
          </cell>
          <cell r="W276">
            <v>21</v>
          </cell>
          <cell r="X276">
            <v>1836510541</v>
          </cell>
          <cell r="Y276">
            <v>2013832917</v>
          </cell>
          <cell r="Z276">
            <v>156273</v>
          </cell>
          <cell r="AA276">
            <v>0</v>
          </cell>
          <cell r="AB276">
            <v>9114</v>
          </cell>
          <cell r="AC276">
            <v>6781</v>
          </cell>
          <cell r="AD276">
            <v>7142</v>
          </cell>
          <cell r="AE276">
            <v>6067</v>
          </cell>
          <cell r="AF276">
            <v>185377</v>
          </cell>
          <cell r="AG276">
            <v>185377</v>
          </cell>
          <cell r="AH276">
            <v>0</v>
          </cell>
          <cell r="AI276">
            <v>3471</v>
          </cell>
          <cell r="AJ276">
            <v>22055695</v>
          </cell>
          <cell r="AK276">
            <v>23408376</v>
          </cell>
          <cell r="AL276">
            <v>0</v>
          </cell>
          <cell r="AM276">
            <v>0</v>
          </cell>
          <cell r="AN276">
            <v>0</v>
          </cell>
          <cell r="AO276">
            <v>250</v>
          </cell>
          <cell r="AP276">
            <v>2340034</v>
          </cell>
          <cell r="AQ276">
            <v>2527681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3721</v>
          </cell>
          <cell r="AY276">
            <v>24395729</v>
          </cell>
          <cell r="AZ276">
            <v>25936057</v>
          </cell>
        </row>
        <row r="277">
          <cell r="B277" t="str">
            <v xml:space="preserve">   Favorable</v>
          </cell>
          <cell r="T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AA277">
            <v>0</v>
          </cell>
          <cell r="AH277">
            <v>0</v>
          </cell>
          <cell r="AY277">
            <v>39567627</v>
          </cell>
          <cell r="AZ277">
            <v>42320799</v>
          </cell>
        </row>
        <row r="278">
          <cell r="B278" t="str">
            <v xml:space="preserve">   Unfavorable</v>
          </cell>
          <cell r="AY278">
            <v>-15171898</v>
          </cell>
          <cell r="AZ278">
            <v>-16384742</v>
          </cell>
        </row>
        <row r="279">
          <cell r="B279" t="str">
            <v xml:space="preserve">   Net</v>
          </cell>
          <cell r="AY279">
            <v>24395729</v>
          </cell>
          <cell r="AZ279">
            <v>25936057</v>
          </cell>
        </row>
      </sheetData>
      <sheetData sheetId="11"/>
      <sheetData sheetId="12">
        <row r="10">
          <cell r="AX10" t="str">
            <v>/re~~</v>
          </cell>
        </row>
        <row r="30">
          <cell r="B30">
            <v>101503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급설비"/>
      <sheetName val="건물"/>
      <sheetName val="차량"/>
      <sheetName val="공기구"/>
      <sheetName val="비품"/>
      <sheetName val="96명세"/>
      <sheetName val="첨부자료목록"/>
      <sheetName val="COBS"/>
      <sheetName val="제조경비"/>
      <sheetName val="관계회사거래내역및 채권채무잔액 99"/>
      <sheetName val="손익"/>
      <sheetName val="summary"/>
      <sheetName val="인력(정규직)"/>
      <sheetName val="지역개발"/>
      <sheetName val="해외생산"/>
      <sheetName val="생산"/>
      <sheetName val="수주단가"/>
      <sheetName val="공문"/>
      <sheetName val="경영비율 "/>
      <sheetName val="대출금"/>
      <sheetName val="외상매입금"/>
      <sheetName val="Macro2"/>
      <sheetName val="소상 &quot;1&quot;"/>
      <sheetName val="Sheet3"/>
      <sheetName val="발생집계"/>
      <sheetName val="95년간접비"/>
      <sheetName val="유통망계획"/>
      <sheetName val="차손"/>
      <sheetName val="현금및현금등가물"/>
      <sheetName val="현예금"/>
      <sheetName val="TCA"/>
      <sheetName val="GRACE"/>
      <sheetName val="수정분개"/>
      <sheetName val="Ctrl"/>
      <sheetName val="MON"/>
      <sheetName val="INCOME STATEMENT"/>
      <sheetName val="YTD"/>
      <sheetName val="CONFIG"/>
      <sheetName val="현금"/>
      <sheetName val="Macro1"/>
      <sheetName val="Data"/>
      <sheetName val="M.H"/>
      <sheetName val="--Cov--"/>
      <sheetName val="Financing"/>
      <sheetName val="Assumption"/>
      <sheetName val="Sheet1"/>
      <sheetName val="FSM"/>
      <sheetName val="가동비율"/>
      <sheetName val="Vendor"/>
      <sheetName val="mednat"/>
      <sheetName val="otmeal_spe.allow"/>
      <sheetName val="Notes "/>
      <sheetName val="COND"/>
      <sheetName val="CONTROL"/>
      <sheetName val="영업"/>
      <sheetName val="PLarp"/>
      <sheetName val="MatchCode"/>
      <sheetName val="Stop"/>
      <sheetName val="Accueil"/>
      <sheetName val="PILOT APP."/>
      <sheetName val="9703"/>
      <sheetName val="Threshold"/>
      <sheetName val="사업관리"/>
      <sheetName val="BALANCE"/>
      <sheetName val="INCOME"/>
      <sheetName val="Ship Advice"/>
      <sheetName val="MFAB"/>
      <sheetName val="MFRT"/>
      <sheetName val="MPKG"/>
      <sheetName val="MPRD"/>
      <sheetName val="INFG1198"/>
      <sheetName val="INMD1198"/>
      <sheetName val="Property"/>
      <sheetName val="TOTAL"/>
      <sheetName val="Sheet2"/>
      <sheetName val="9806-9901"/>
      <sheetName val="Cover"/>
      <sheetName val="제조원가"/>
      <sheetName val="재무가정"/>
      <sheetName val="공정별"/>
      <sheetName val="MTP options"/>
      <sheetName val="관세"/>
      <sheetName val="MT-09"/>
      <sheetName val="차량(구)"/>
      <sheetName val="Sch7a (토요일)"/>
      <sheetName val="정산표(IS)2003"/>
      <sheetName val="seisa"/>
      <sheetName val="KD율"/>
      <sheetName val="Assumptions"/>
      <sheetName val="timesheet"/>
      <sheetName val="의왕"/>
      <sheetName val="회사정보"/>
      <sheetName val="Plan_Actual"/>
      <sheetName val="원가정리"/>
      <sheetName val="원부재료"/>
      <sheetName val="제품수불표"/>
      <sheetName val="Revenue"/>
      <sheetName val="#REF"/>
      <sheetName val="Debt Service Schedule"/>
      <sheetName val="XREF"/>
      <sheetName val="MBL IV RECONS"/>
      <sheetName val="MBL IV INTERCOY"/>
      <sheetName val="Table"/>
      <sheetName val="FY05 Scorecard"/>
      <sheetName val="97IS"/>
      <sheetName val="판매기초"/>
      <sheetName val="p2-1"/>
      <sheetName val="A"/>
      <sheetName val="RATE"/>
      <sheetName val="소계정"/>
      <sheetName val="실행철강하도"/>
      <sheetName val="부가세신고자료"/>
      <sheetName val="분기별데이타"/>
      <sheetName val="월별데이타"/>
      <sheetName val="사채상각비"/>
      <sheetName val="노무비"/>
      <sheetName val="Repayment Summary"/>
      <sheetName val="보정전"/>
      <sheetName val="소상_&quot;1&quot;"/>
      <sheetName val="관계회사거래내역및_채권채무잔액_99"/>
      <sheetName val="BS(Nov)"/>
      <sheetName val="경영비율_"/>
      <sheetName val="M_H"/>
      <sheetName val="INCOME_STATEMENT"/>
      <sheetName val="PILOT_APP_"/>
      <sheetName val="Links"/>
      <sheetName val="총집계내역"/>
      <sheetName val="main_prog"/>
      <sheetName val="Market"/>
      <sheetName val="94반성(Pnck)"/>
      <sheetName val="매출단가"/>
      <sheetName val="목록"/>
      <sheetName val="piping"/>
      <sheetName val="multiple"/>
      <sheetName val="Exb II.1_Summary Taira"/>
      <sheetName val="Sch Index"/>
      <sheetName val="BACKDATA"/>
      <sheetName val="8월"/>
      <sheetName val="Depreciation"/>
      <sheetName val="Net Trans Sum"/>
      <sheetName val="nn(신입_일반)"/>
      <sheetName val="sn(삼성_일반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갑)"/>
      <sheetName val="(을)"/>
      <sheetName val="(병)"/>
      <sheetName val="(정)"/>
      <sheetName val="inform"/>
      <sheetName val="BS"/>
      <sheetName val="PL"/>
      <sheetName val="요약원가"/>
      <sheetName val="RE"/>
      <sheetName val="TB"/>
      <sheetName val="T1"/>
      <sheetName val="T1-2"/>
      <sheetName val="T2"/>
      <sheetName val="T2부표"/>
      <sheetName val="T5"/>
      <sheetName val="T6"/>
      <sheetName val="T6A"/>
      <sheetName val="T6B"/>
      <sheetName val="T6-1"/>
      <sheetName val="T6-3(2)"/>
      <sheetName val="T6-3(3)"/>
      <sheetName val="T6-3(4)"/>
      <sheetName val="T6-4A"/>
      <sheetName val="T6-4B"/>
      <sheetName val="T6-6(2)"/>
      <sheetName val="SUMMARY"/>
      <sheetName val="INMD1198"/>
      <sheetName val="INFG11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채무"/>
      <sheetName val="보증인"/>
      <sheetName val="계좌별"/>
      <sheetName val="주채무불량"/>
      <sheetName val="보증인불량"/>
      <sheetName val="원금회수명세"/>
      <sheetName val="이자회수명세"/>
      <sheetName val="PL Dow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"/>
      <sheetName val="YTD-PL"/>
      <sheetName val="Oct-BS"/>
      <sheetName val="미지급비용"/>
      <sheetName val="YOUNGSU"/>
      <sheetName val="0201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리드"/>
      <sheetName val="계약서 요약"/>
      <sheetName val="분석적검토"/>
      <sheetName val="외상매출금(현석)"/>
      <sheetName val="외화외상매출금(현석)"/>
      <sheetName val="외화외상매출금 원장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ments-2000"/>
      <sheetName val="Korea Sign-Internal"/>
      <sheetName val="Adjustments-2001"/>
      <sheetName val="adjustment"/>
      <sheetName val="warrants"/>
      <sheetName val="Stock Div Accural"/>
      <sheetName val="FX"/>
      <sheetName val="외화환산손익(2분기)"/>
      <sheetName val="외환차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 (2)"/>
      <sheetName val="이익분석"/>
      <sheetName val="대차 (2)"/>
      <sheetName val="이익분석2"/>
      <sheetName val="매출원가"/>
      <sheetName val="제조 (2)"/>
      <sheetName val="대차"/>
      <sheetName val="손익"/>
      <sheetName val="제조"/>
      <sheetName val="요약"/>
      <sheetName val="잉여"/>
      <sheetName val="매출법인세"/>
      <sheetName val="매출액인건"/>
      <sheetName val="확정안"/>
      <sheetName val="배당가능"/>
      <sheetName val="타인현금"/>
      <sheetName val="현금등대여"/>
      <sheetName val="Module1"/>
      <sheetName val="충돌 내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 Lead"/>
      <sheetName val="E 100"/>
      <sheetName val="E 200"/>
      <sheetName val="E010"/>
      <sheetName val="E020"/>
      <sheetName val="E03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분석적검토"/>
      <sheetName val="외상매출금(0312)"/>
      <sheetName val="받을어음(0312)"/>
      <sheetName val="부도어음(0312)"/>
      <sheetName val="은행별 할인어음(0312)"/>
      <sheetName val="할인어음명세서(0312)"/>
      <sheetName val="외상매출금 샘플test(0306)"/>
      <sheetName val="대손금제각(0312)"/>
      <sheetName val="대손설정(0312)"/>
      <sheetName val="외상매출(07-12)"/>
      <sheetName val="도레미실행계획서"/>
      <sheetName val="선급금(07-12)"/>
      <sheetName val="신규거래처 검토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무형"/>
      <sheetName val="연구비상각"/>
      <sheetName val="산업재산권상각"/>
      <sheetName val="TWT예수금관련"/>
      <sheetName val="XREF"/>
      <sheetName val="Tickmarks"/>
      <sheetName val="개발비상각"/>
      <sheetName val="F12"/>
      <sheetName val="F3"/>
      <sheetName val="기타유동LS"/>
      <sheetName val="매입채무"/>
      <sheetName val="2001"/>
      <sheetName val="대차"/>
      <sheetName val="Lease Details"/>
      <sheetName val="감가상각누계액"/>
      <sheetName val="1.외주공사"/>
      <sheetName val="2.직영공사"/>
      <sheetName val="감가상각"/>
      <sheetName val="lead"/>
      <sheetName val="정산표"/>
      <sheetName val="선수금(29)"/>
      <sheetName val="TOT"/>
      <sheetName val="제조원가(제조-양산)"/>
      <sheetName val="6120"/>
      <sheetName val="F4_PAJE(6월)"/>
      <sheetName val="취득 처분명세_반기"/>
      <sheetName val="SUMMARY"/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수정시산표"/>
      <sheetName val="TABLE01"/>
      <sheetName val="원본"/>
      <sheetName val="회사정보"/>
      <sheetName val="손익계산서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대환취급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시산표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정기적금"/>
      <sheetName val="변수"/>
      <sheetName val="IJABUNRI"/>
      <sheetName val="Sheet1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TOTAL"/>
      <sheetName val="BA"/>
      <sheetName val="BB"/>
      <sheetName val="BC"/>
      <sheetName val="BD"/>
      <sheetName val="BE"/>
      <sheetName val="Module"/>
      <sheetName val="회의자료"/>
      <sheetName val="P&amp;P펄프 집계"/>
      <sheetName val="변동비 분석"/>
      <sheetName val="원단위분석BOM"/>
      <sheetName val="연기"/>
      <sheetName val="생산량차이"/>
      <sheetName val="변동비_울산"/>
      <sheetName val="P"/>
      <sheetName val="data집계"/>
      <sheetName val="사업계획"/>
      <sheetName val="실적"/>
      <sheetName val="예산"/>
      <sheetName val="펄프(제조원가명세서)"/>
      <sheetName val="U"/>
      <sheetName val="한세A4PL"/>
      <sheetName val="INFO"/>
      <sheetName val="외환차손익"/>
      <sheetName val="Leadsheet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카메라"/>
      <sheetName val="집계표"/>
      <sheetName val="전체"/>
      <sheetName val="수금기일초과"/>
      <sheetName val="담보가치율50%미만"/>
      <sheetName val="전체 (2)"/>
      <sheetName val="업종별제조원가"/>
      <sheetName val="조치원제조"/>
      <sheetName val="Tickmarks "/>
      <sheetName val="감사인검토내역(PAJE)"/>
      <sheetName val="관세"/>
      <sheetName val="조회서"/>
      <sheetName val="3110-2"/>
      <sheetName val="인건비 내역서"/>
      <sheetName val="유형"/>
      <sheetName val="고정부채"/>
      <sheetName val="만기"/>
      <sheetName val="99발견사항"/>
      <sheetName val="발견사항"/>
      <sheetName val="wbs"/>
      <sheetName val="wpl"/>
      <sheetName val="대차대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만기 (2)"/>
      <sheetName val="00'미수"/>
      <sheetName val="She_x0000__x0000_2"/>
      <sheetName val="꺐윂"/>
      <sheetName val="총괄(회사)"/>
      <sheetName val="무형자산"/>
      <sheetName val="전산기기최종"/>
      <sheetName val="집기비품최종"/>
      <sheetName val="만기0701"/>
      <sheetName val="99지분법평가ﾐ쟿"/>
      <sheetName val="부외부채"/>
      <sheetName val="공사미수금"/>
      <sheetName val="유형자산증가"/>
      <sheetName val="xxxxxx"/>
      <sheetName val="시산표(매출조정전)"/>
      <sheetName val="고정자산원본"/>
      <sheetName val="감액검토_x_"/>
      <sheetName val="감가상각LS"/>
      <sheetName val="LS "/>
      <sheetName val="기타의투자자산"/>
      <sheetName val="장기대여금"/>
      <sheetName val="600-4"/>
      <sheetName val="D620"/>
      <sheetName val="매출채권"/>
      <sheetName val="기타당좌자산"/>
      <sheetName val="5300"/>
      <sheetName val="5500"/>
      <sheetName val="SS10"/>
      <sheetName val="유형자산증감"/>
      <sheetName val="RESULT"/>
      <sheetName val="보증금"/>
      <sheetName val="5400-재고자산Lead"/>
      <sheetName val="자료"/>
      <sheetName val="손익합산"/>
      <sheetName val="compare2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상품매출원가"/>
      <sheetName val="front"/>
      <sheetName val="재료비"/>
      <sheetName val="가공비"/>
      <sheetName val="판관비"/>
      <sheetName val="생판계획"/>
      <sheetName val="9월제조원가"/>
      <sheetName val="6월 내수"/>
      <sheetName val="6월 내수_편집"/>
      <sheetName val="차수"/>
      <sheetName val="Input"/>
      <sheetName val="Co"/>
      <sheetName val="123"/>
      <sheetName val="5"/>
      <sheetName val="cover"/>
      <sheetName val="content"/>
      <sheetName val="1.0 - 5.0"/>
      <sheetName val="6.Data"/>
      <sheetName val="7.Calculation"/>
      <sheetName val="HGL"/>
      <sheetName val="Sys. Curve"/>
      <sheetName val="8.Summary"/>
      <sheetName val="9.Attach"/>
      <sheetName val="DATA"/>
      <sheetName val="MCS"/>
      <sheetName val="CF"/>
      <sheetName val="RE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생산3파트"/>
      <sheetName val="초지3호기"/>
      <sheetName val="종합_SP"/>
      <sheetName val="종합_MP"/>
      <sheetName val="무림SP_상세"/>
      <sheetName val="무림페이퍼_상세"/>
      <sheetName val="종합"/>
      <sheetName val="Start"/>
      <sheetName val="Inputs"/>
      <sheetName val="AcqIS"/>
      <sheetName val="AcqBSCF"/>
      <sheetName val="공사손실충당금(3분기)"/>
      <sheetName val="지분법평가"/>
      <sheetName val="prov locales"/>
      <sheetName val="신기술(비상장)0412"/>
      <sheetName val="리드"/>
      <sheetName val="후순위채05.01.20"/>
      <sheetName val="비품(94이전)"/>
      <sheetName val="TEL"/>
      <sheetName val="보증금(전신전화가입권)"/>
      <sheetName val="6.STIC"/>
      <sheetName val="퇴충 LS"/>
      <sheetName val="유형자산 LS"/>
      <sheetName val="취득test"/>
      <sheetName val="F12_BS"/>
      <sheetName val="F3_PL"/>
      <sheetName val="제조경비"/>
      <sheetName val="부재료입고"/>
      <sheetName val="관계회사거래내역및 채권채무잔액 99"/>
      <sheetName val="잡이익원장"/>
      <sheetName val="영업외비용"/>
      <sheetName val="재무가정"/>
      <sheetName val="지급보증금"/>
      <sheetName val="통계자료"/>
      <sheetName val="TB(BS)"/>
      <sheetName val="TB(PL)"/>
      <sheetName val="PAJE"/>
      <sheetName val="PRJE"/>
      <sheetName val="자본금"/>
      <sheetName val="감소Test"/>
      <sheetName val="FN"/>
      <sheetName val="9811 YTD"/>
      <sheetName val="주석"/>
      <sheetName val="간이연락"/>
      <sheetName val="공통비"/>
      <sheetName val="현금&amp;현금등가(K)"/>
      <sheetName val="퇴충(K)"/>
      <sheetName val="상용_mp"/>
      <sheetName val="현금및예치금집계표"/>
      <sheetName val="현금및등가물명세서"/>
      <sheetName val="퇴직금추계ot"/>
      <sheetName val="She"/>
      <sheetName val="감가상각비재계산_08"/>
      <sheetName val="FS96"/>
      <sheetName val="8월현금흐름표"/>
      <sheetName val="매출"/>
      <sheetName val="basic_info"/>
      <sheetName val="조회총괄"/>
      <sheetName val="XLUTIL"/>
      <sheetName val="96수표어음"/>
      <sheetName val="로케션"/>
      <sheetName val="master"/>
      <sheetName val="Estrazione"/>
      <sheetName val="Links"/>
      <sheetName val="COND"/>
      <sheetName val="5600"/>
      <sheetName val="Macro2"/>
      <sheetName val="영업"/>
      <sheetName val="종합일지"/>
      <sheetName val="분당임차변경"/>
      <sheetName val="Macro4"/>
      <sheetName val="Gen Assumptions"/>
      <sheetName val="관리대장(2001장비)"/>
      <sheetName val="4b Consolidated PL"/>
      <sheetName val="전체현황"/>
      <sheetName val="1998 P &amp; L"/>
      <sheetName val="을"/>
      <sheetName val="INMD1198"/>
      <sheetName val="INFG1198"/>
      <sheetName val="Korea Sign-Internal"/>
      <sheetName val="pre-anal손익계산서"/>
      <sheetName val="pre-anal대차대조표"/>
      <sheetName val="calendar"/>
      <sheetName val="HEADER"/>
      <sheetName val="language"/>
      <sheetName val="Borrower"/>
      <sheetName val="공문"/>
      <sheetName val="Priorities"/>
      <sheetName val="Rate"/>
      <sheetName val="Date"/>
      <sheetName val="월별수입"/>
      <sheetName val="유통망계획"/>
      <sheetName val="미수수익"/>
      <sheetName val="Index"/>
      <sheetName val="폐토수익화 "/>
      <sheetName val="Com-Button"/>
      <sheetName val="총괄KD"/>
      <sheetName val="공통부대비"/>
      <sheetName val="지분법(AK) (2)"/>
      <sheetName val="한일자야(감액손실) (2)"/>
      <sheetName val="원판매입"/>
      <sheetName val="Secured Master"/>
      <sheetName val="1_當期시산표"/>
      <sheetName val="손익분석"/>
      <sheetName val="정부노임단가"/>
      <sheetName val="3분기"/>
      <sheetName val="구동"/>
      <sheetName val="PLarp"/>
      <sheetName val="9703"/>
      <sheetName val="801000"/>
      <sheetName val="Köpfe"/>
      <sheetName val="BAL.(TTL)"/>
      <sheetName val="MetaData"/>
      <sheetName val="流资汇总"/>
      <sheetName val=" 견적서"/>
      <sheetName val="제조원가"/>
      <sheetName val="001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118.세금과공과"/>
      <sheetName val="1.MDF1공장"/>
      <sheetName val="손익계산"/>
      <sheetName val="w't table"/>
      <sheetName val="000000"/>
      <sheetName val="당년매출"/>
      <sheetName val="당년매출집계"/>
      <sheetName val="전년매출"/>
      <sheetName val="전년매출집계"/>
      <sheetName val="당년예산"/>
      <sheetName val="당년예산집계"/>
      <sheetName val="예산실적비교"/>
      <sheetName val="관계매출 (2)"/>
      <sheetName val="관계매출"/>
      <sheetName val="관계회사"/>
      <sheetName val="tax1"/>
      <sheetName val="GENERAL"/>
      <sheetName val="Inv "/>
      <sheetName val="++++"/>
      <sheetName val="1"/>
      <sheetName val="시나리오"/>
      <sheetName val="순수통장"/>
      <sheetName val="적립수신"/>
      <sheetName val="TBclosing"/>
      <sheetName val="#REF"/>
      <sheetName val="07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2차분"/>
      <sheetName val="Æo°¡±aAØ"/>
      <sheetName val="2.대외공문"/>
      <sheetName val="중요성(출)"/>
      <sheetName val="전부인쇄"/>
      <sheetName val="경비분류(1)"/>
      <sheetName val="Oper Amount"/>
      <sheetName val="WBS98"/>
      <sheetName val="급여이체(농) (2)"/>
      <sheetName val="AL"/>
      <sheetName val="m_COA"/>
      <sheetName val="06년예상보험료 (2)"/>
      <sheetName val="1~10월실적"/>
      <sheetName val="에스피"/>
      <sheetName val="페이퍼"/>
      <sheetName val="코드Mapping"/>
      <sheetName val="신무림1"/>
      <sheetName val="DB"/>
      <sheetName val="급여"/>
      <sheetName val="Base"/>
      <sheetName val="기타주식-명세"/>
      <sheetName val="libor"/>
      <sheetName val="투자유가증권"/>
      <sheetName val="1-KUNDE.XLS"/>
      <sheetName val="Serial"/>
      <sheetName val="Data Sheet"/>
      <sheetName val="DS-최종"/>
      <sheetName val="인천_계획"/>
      <sheetName val="고정자산-회사제시"/>
      <sheetName val="JUYO"/>
      <sheetName val="Intercompany AR &amp; AP"/>
      <sheetName val="Ctrl"/>
      <sheetName val="환율-LIBOR"/>
      <sheetName val="1_외주공사"/>
      <sheetName val="2_직영공사"/>
      <sheetName val="Korea_Sign-Internal"/>
      <sheetName val="4b_Consolidated_PL"/>
      <sheetName val="Gen_Assumptions"/>
      <sheetName val="1998_P_&amp;_L"/>
      <sheetName val="변제"/>
      <sheetName val="이자"/>
      <sheetName val="상환대상"/>
      <sheetName val="가정"/>
      <sheetName val="여신현황"/>
      <sheetName val="소비자가"/>
      <sheetName val="argl(1)"/>
      <sheetName val="재고"/>
      <sheetName val="2-2.매출분석"/>
      <sheetName val="▶판가Trend(수정안)"/>
      <sheetName val="▶판매량Trend(수정안)"/>
      <sheetName val="집계2"/>
      <sheetName val="교정용 시트 (9)"/>
      <sheetName val="TCA"/>
      <sheetName val="3. BSC NC ratio"/>
      <sheetName val="Sheet6 (3)"/>
      <sheetName val="원본 data"/>
      <sheetName val="1차 가공"/>
      <sheetName val="다이스"/>
      <sheetName val="분석data"/>
      <sheetName val="불량집계"/>
      <sheetName val="서식 옵션"/>
      <sheetName val="대비"/>
      <sheetName val="AR"/>
      <sheetName val="due from HO"/>
      <sheetName val="AP"/>
      <sheetName val="IS"/>
      <sheetName val="Prepaid"/>
      <sheetName val="Accrued exp"/>
      <sheetName val="Head office"/>
      <sheetName val="세목별"/>
      <sheetName val="결산비용"/>
      <sheetName val="적용환율"/>
      <sheetName val="지급보증금74"/>
      <sheetName val="Controls"/>
      <sheetName val="INTRODUCTION"/>
      <sheetName val="97LGG"/>
      <sheetName val="TV법인별"/>
      <sheetName val="  한국 AMP ASP-23 판매가격  "/>
      <sheetName val="계정그룹"/>
      <sheetName val="페이퍼2010년사업계획20091107"/>
      <sheetName val="승인"/>
      <sheetName val="r1"/>
      <sheetName val="s0"/>
      <sheetName val="Sheet1 (2)"/>
      <sheetName val="Sheet1 (3)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제품별 MC"/>
      <sheetName val="営業以外 評価賞与"/>
      <sheetName val="받을어음"/>
      <sheetName val="채권(하반기)"/>
      <sheetName val="신고서.전"/>
      <sheetName val="협조전"/>
      <sheetName val="FRC"/>
      <sheetName val="950801"/>
      <sheetName val="비상각자산분류"/>
      <sheetName val="범한여행"/>
      <sheetName val="Krw"/>
      <sheetName val="ST"/>
      <sheetName val="DISTTB"/>
      <sheetName val="INOBTB"/>
      <sheetName val="입력자료"/>
      <sheetName val="수처리사업"/>
      <sheetName val="차종별"/>
      <sheetName val="반기_유가증권"/>
      <sheetName val="기초데이타"/>
      <sheetName val="분개장·원장"/>
      <sheetName val="95WBS"/>
      <sheetName val="사원명부"/>
      <sheetName val="인원계획-미화"/>
      <sheetName val="노무비"/>
      <sheetName val="울산"/>
      <sheetName val="매출매입"/>
      <sheetName val="Intro2"/>
      <sheetName val="Id"/>
      <sheetName val="Dim Lists"/>
      <sheetName val="Lists"/>
      <sheetName val="Fixed Asset 2203 (2)"/>
      <sheetName val="BAU-ITEMLIST"/>
      <sheetName val="LIST"/>
      <sheetName val="시실누(모) "/>
      <sheetName val="자본금99(수)"/>
      <sheetName val="Price Summary (Before &amp; After)"/>
      <sheetName val="Non-Statistical Sampling Master"/>
      <sheetName val="조정명세서"/>
      <sheetName val="97년추정손익계산서"/>
      <sheetName val="일일붙여라"/>
      <sheetName val="인원기초(M)"/>
      <sheetName val="95TOTREV"/>
      <sheetName val="98종합"/>
      <sheetName val="09.01퇴직"/>
      <sheetName val="Bank charge"/>
      <sheetName val="Cover sheet"/>
      <sheetName val="작업장"/>
      <sheetName val="DATE변환"/>
      <sheetName val="MEXICO-C"/>
      <sheetName val="Sheet16"/>
      <sheetName val="지분법(AK)_(2)"/>
      <sheetName val="한일자야(감액손실)_(2)"/>
      <sheetName val="Secured_Master"/>
      <sheetName val="9811_YTD"/>
      <sheetName val="폐토수익화_"/>
      <sheetName val="w't_table"/>
      <sheetName val="Inv_"/>
      <sheetName val="급여이체(농)_(2)"/>
      <sheetName val="1_MDF1공장"/>
      <sheetName val="2_대외공문"/>
      <sheetName val="BAL_(TTL)"/>
      <sheetName val="118_세금과공과"/>
      <sheetName val="Oper_Amount"/>
      <sheetName val="Data_Sheet"/>
      <sheetName val="_견적서"/>
      <sheetName val="1-KUNDE_XLS"/>
      <sheetName val="Intercompany_AR_&amp;_AP"/>
      <sheetName val="관계매출_(2)"/>
      <sheetName val="due_from_HO"/>
      <sheetName val="Accrued_exp"/>
      <sheetName val="Head_office"/>
      <sheetName val="__한국_AMP_ASP-23_판매가격__"/>
      <sheetName val="営業以外_評価賞与"/>
      <sheetName val="신고서_전"/>
      <sheetName val="제품별_MC"/>
      <sheetName val="1월--7월"/>
      <sheetName val="8월--12월"/>
      <sheetName val="p2-1"/>
      <sheetName val="생산계획"/>
      <sheetName val="G3-1"/>
      <sheetName val="data5"/>
      <sheetName val="125PIECE"/>
      <sheetName val="MOTOR"/>
      <sheetName val="ITEM"/>
      <sheetName val="5월17일"/>
      <sheetName val="받check"/>
      <sheetName val="DS-장비"/>
      <sheetName val="NW-장비"/>
      <sheetName val="원시데이타"/>
      <sheetName val="O  1.0 Leadsheet of income tax"/>
      <sheetName val="분석적검토(대차)"/>
      <sheetName val="출자한도"/>
      <sheetName val="한계원가"/>
      <sheetName val="9612서울"/>
      <sheetName val=".1 memo"/>
      <sheetName val="Summary (1)"/>
      <sheetName val="집계"/>
      <sheetName val="연료사용"/>
      <sheetName val="합계잔액시산표"/>
      <sheetName val="수출가격"/>
      <sheetName val="원가분석"/>
      <sheetName val="F-4,5"/>
      <sheetName val="LS"/>
      <sheetName val="차입금LS"/>
      <sheetName val="매출채권 lead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건물"/>
      <sheetName val="금융보증부채"/>
      <sheetName val="F1,2"/>
      <sheetName val="F45"/>
      <sheetName val="Page 1A - Proposal Strategy "/>
      <sheetName val="프랜트면허"/>
      <sheetName val="토목주소"/>
      <sheetName val="MYENGBU"/>
      <sheetName val="중기일위대가"/>
      <sheetName val="방배동내역(리라)"/>
      <sheetName val="현장경비"/>
      <sheetName val="건축공사집계표"/>
      <sheetName val="부대공사총괄"/>
      <sheetName val="노임단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주식"/>
      <sheetName val="갑지(추정)"/>
      <sheetName val="투자효율분석"/>
      <sheetName val="설계명세서"/>
      <sheetName val="음료실행"/>
      <sheetName val="ELECTRIC"/>
      <sheetName val="SCHEDULE"/>
      <sheetName val="CTEMCOST"/>
      <sheetName val="매립"/>
      <sheetName val="일위대가"/>
      <sheetName val="FORM-0"/>
      <sheetName val="물량표"/>
      <sheetName val="EJ"/>
      <sheetName val="경비"/>
      <sheetName val="마감사양"/>
      <sheetName val="금액내역서"/>
      <sheetName val="실행내역"/>
      <sheetName val="갑지"/>
      <sheetName val="내역서"/>
      <sheetName val="인사자료총집계"/>
      <sheetName val="경영상태"/>
      <sheetName val="Man Hole"/>
      <sheetName val="0226"/>
      <sheetName val="갑지1"/>
      <sheetName val="1ST"/>
      <sheetName val="표준건축비"/>
      <sheetName val="환율"/>
      <sheetName val="DATA2000"/>
      <sheetName val="TEST1"/>
      <sheetName val="입출재고현황 (2)"/>
      <sheetName val="A"/>
      <sheetName val="공사내역"/>
      <sheetName val="차액보증"/>
      <sheetName val="archi(본사)"/>
      <sheetName val="금융비용"/>
      <sheetName val="연돌일위집계"/>
      <sheetName val="배명(단가)"/>
      <sheetName val="결제"/>
      <sheetName val="할증 "/>
      <sheetName val="CAL1"/>
      <sheetName val="내역"/>
      <sheetName val="변경내역대비표(2)"/>
      <sheetName val="개요"/>
      <sheetName val="부속동"/>
      <sheetName val="수량3"/>
      <sheetName val="도급"/>
      <sheetName val="지급자재"/>
      <sheetName val="ENE-CAL"/>
      <sheetName val="중기사용료"/>
      <sheetName val="실행"/>
      <sheetName val="기안"/>
      <sheetName val="개산공사비"/>
      <sheetName val="단가표 "/>
      <sheetName val="부하계산서"/>
      <sheetName val="연결임시"/>
      <sheetName val="을지 (2)"/>
      <sheetName val="을지"/>
      <sheetName val="방배동내역 (총괄)"/>
      <sheetName val="조명시설"/>
      <sheetName val="선로정수계산"/>
      <sheetName val="설산1.나"/>
      <sheetName val="본사S"/>
      <sheetName val="설계명세"/>
      <sheetName val="공통가설"/>
      <sheetName val="내역표지"/>
      <sheetName val="입고현황(전체)"/>
      <sheetName val="부하(성남)"/>
      <sheetName val="대갑기성내역"/>
      <sheetName val="설계조건"/>
      <sheetName val="00년"/>
      <sheetName val="일위_파일"/>
      <sheetName val="날개벽"/>
      <sheetName val="암거단위-1련"/>
      <sheetName val="1,2,3,4,5단위수량"/>
      <sheetName val="아파트기별"/>
      <sheetName val="공리일"/>
      <sheetName val="계수시트"/>
      <sheetName val="원가계산서"/>
      <sheetName val="SAKUB"/>
      <sheetName val="영동(D)"/>
      <sheetName val="의뢰서"/>
      <sheetName val="가격조사서"/>
      <sheetName val="TYPE-A"/>
      <sheetName val="EQT-ESTN"/>
      <sheetName val="자금흐름표_SAC_작업"/>
      <sheetName val="일위"/>
      <sheetName val="일위대가(여기까지)"/>
      <sheetName val="품셈"/>
      <sheetName val="BID"/>
      <sheetName val="화전내"/>
      <sheetName val="경비2내역"/>
      <sheetName val="찍기"/>
      <sheetName val="골조시행"/>
      <sheetName val="구체"/>
      <sheetName val="좌측날개벽"/>
      <sheetName val="우측날개벽"/>
      <sheetName val="FFU 물량"/>
      <sheetName val="대공종"/>
      <sheetName val="F4-F7"/>
      <sheetName val="cable-data"/>
      <sheetName val="산거각호표"/>
      <sheetName val="6PILE  (돌출)"/>
      <sheetName val="IW-LIST"/>
      <sheetName val="L형옹벽"/>
      <sheetName val="3.공통공사대비"/>
      <sheetName val="비교1"/>
      <sheetName val="은행"/>
      <sheetName val=" 공장동 건설공사 견적서 R5.xlsx"/>
      <sheetName val="공사예산하조서(O.K)"/>
      <sheetName val="투입집계표"/>
      <sheetName val="단가표"/>
      <sheetName val="FOB발"/>
      <sheetName val="실행(ALT1)"/>
      <sheetName val="실행철강하도"/>
      <sheetName val="견적서"/>
      <sheetName val="14.1&quot; Cst 변화"/>
      <sheetName val="98비정기소모"/>
      <sheetName val="설비2차"/>
      <sheetName val="9GNG운반"/>
      <sheetName val="포장절단"/>
      <sheetName val="토목내역"/>
      <sheetName val="1호맨홀토공"/>
      <sheetName val="Sight n M.H"/>
      <sheetName val="__"/>
      <sheetName val="신우"/>
      <sheetName val="정산내역"/>
      <sheetName val="VS P-Q"/>
      <sheetName val="G.R300경비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CAPVC"/>
      <sheetName val="1,2공구원가계산서"/>
      <sheetName val="2공구산출내역"/>
      <sheetName val="1공구산출내역서"/>
      <sheetName val="TTL"/>
      <sheetName val="單價表단가표"/>
      <sheetName val="잡철물"/>
      <sheetName val="설계내역서"/>
      <sheetName val="예가표"/>
      <sheetName val="견적대비표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121220_14라인 분석실 개조공사_정산내역서_최종취합"/>
      <sheetName val="BA "/>
      <sheetName val="DRUM"/>
      <sheetName val="Supplement2"/>
      <sheetName val="장비명"/>
      <sheetName val="36+45-113-18+19+20I"/>
      <sheetName val="G2설비도급"/>
      <sheetName val="참조"/>
      <sheetName val="장비내역서"/>
      <sheetName val="수선계획표"/>
      <sheetName val="WORK"/>
      <sheetName val="건축공사"/>
      <sheetName val="40총괄"/>
      <sheetName val="40집계"/>
      <sheetName val="전계가"/>
      <sheetName val="공틀공사"/>
      <sheetName val="건축내역서"/>
      <sheetName val="설비내역서"/>
      <sheetName val="전기내역서"/>
      <sheetName val="건축내역"/>
      <sheetName val="Ⅴ-2.공종별내역"/>
      <sheetName val="을 2"/>
      <sheetName val="을 1"/>
      <sheetName val="dg"/>
      <sheetName val="결과조달"/>
      <sheetName val="c_balju"/>
      <sheetName val="품의"/>
      <sheetName val="공예을"/>
      <sheetName val="방배동내역(한영)"/>
      <sheetName val="SPC노임(5월)"/>
      <sheetName val="물량산출근거"/>
      <sheetName val="P.M 별"/>
      <sheetName val="수목데이타 "/>
      <sheetName val="증감분석"/>
      <sheetName val="단면 (2)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FB25JN"/>
      <sheetName val="납부서"/>
      <sheetName val="노무비단가"/>
      <sheetName val="중기조종사 단위단가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CONCRETE"/>
      <sheetName val="감가상각비"/>
      <sheetName val="계실5-1"/>
      <sheetName val="지분법평가1분기"/>
      <sheetName val="검토사항"/>
      <sheetName val="대외공문"/>
      <sheetName val="CMA"/>
      <sheetName val="TFT공정평가"/>
      <sheetName val="이연법인세6월말"/>
      <sheetName val="Menu_Link"/>
      <sheetName val="사발차"/>
      <sheetName val="Template"/>
      <sheetName val="5810-1 무형자산subleed의 워크시트"/>
      <sheetName val="현금"/>
      <sheetName val="시설이용권명세서"/>
      <sheetName val="1995년 섹터별 매출"/>
      <sheetName val="97손익계획"/>
      <sheetName val="She_x005f_x0000__x005f_x0000_2"/>
      <sheetName val="TNF Profit"/>
      <sheetName val="VFS Profit"/>
      <sheetName val="PBT Matrix"/>
      <sheetName val="EP"/>
      <sheetName val="JS"/>
      <sheetName val="TNF"/>
      <sheetName val="NAPA"/>
      <sheetName val="NAU"/>
      <sheetName val="VANS"/>
      <sheetName val="KPL"/>
      <sheetName val="REEF"/>
      <sheetName val="OUTDOOR"/>
      <sheetName val="JEANS"/>
      <sheetName val="JSW_OD"/>
      <sheetName val="Jeans copy"/>
      <sheetName val="Check"/>
      <sheetName val="Parameters"/>
      <sheetName val="iMPC"/>
      <sheetName val="Q1 X-file 033008"/>
      <sheetName val="DD30"/>
      <sheetName val="Flowchart"/>
      <sheetName val="F4.2"/>
      <sheetName val="F4.3"/>
      <sheetName val="주주명부&lt;끝&gt;"/>
      <sheetName val="2 카드채권(대출포함)"/>
      <sheetName val="매출채권 lead schedule"/>
      <sheetName val=".3 일진전기"/>
      <sheetName val=".4 일진중공업"/>
      <sheetName val=".5 일진캐피탈"/>
      <sheetName val=".7 마그마툴"/>
      <sheetName val=".8 누브인터네셔널"/>
      <sheetName val="가맹점매출"/>
      <sheetName val="ERP 다운"/>
      <sheetName val="감독원보고기준_차기배당금액"/>
      <sheetName val="She_x005f_x005f_x005f_x0000__x005f_x005f_x005f_x0000_2"/>
      <sheetName val="PAJE,PRJE"/>
      <sheetName val="무형자산 LS11"/>
      <sheetName val="PC%계산"/>
      <sheetName val="Menu"/>
      <sheetName val="Two Step Revenue Testing Master"/>
      <sheetName val="FS-Consol"/>
      <sheetName val="재고현황(Unit)"/>
      <sheetName val="Int-Invst"/>
      <sheetName val="Disclosure"/>
      <sheetName val="Select"/>
      <sheetName val="업무분장 "/>
      <sheetName val="공통"/>
      <sheetName val="RR Allocation"/>
      <sheetName val="1.일반사항"/>
      <sheetName val="14.리스"/>
      <sheetName val="32.특관자"/>
      <sheetName val="33.우발,약정"/>
      <sheetName val="HSA"/>
      <sheetName val="CA"/>
      <sheetName val="3-31"/>
      <sheetName val="3. BSC NCꊐ̽ç抰᭾"/>
      <sheetName val="0201"/>
      <sheetName val="불량집"/>
      <sheetName val="SS20"/>
      <sheetName val="재무제표"/>
      <sheetName val="F45(1Q)"/>
      <sheetName val="자본"/>
      <sheetName val="Classification"/>
      <sheetName val="controll"/>
      <sheetName val="5월경비_영업외비용"/>
      <sheetName val="외화평가"/>
      <sheetName val="CE"/>
      <sheetName val="마감장"/>
      <sheetName val="替代程序 CDE"/>
      <sheetName val="세액계산"/>
      <sheetName val="간주기안"/>
      <sheetName val="의제기안"/>
      <sheetName val="Q2"/>
      <sheetName val="이자정산계획"/>
      <sheetName val="98실적"/>
      <sheetName val="5131"/>
      <sheetName val="A1"/>
      <sheetName val="신제품지원"/>
      <sheetName val="금융리스"/>
      <sheetName val="Assumptions"/>
      <sheetName val="Breakdown"/>
      <sheetName val="FA"/>
      <sheetName val="Accrual Final"/>
      <sheetName val="2.지분법적용주식Leadsheet(회사제시)"/>
      <sheetName val="1. 매출채권리드"/>
      <sheetName val="应收账款jane"/>
      <sheetName val="预付 部件"/>
      <sheetName val="Sales_Prefinal"/>
      <sheetName val="AP_Prefinal"/>
      <sheetName val="Leasehold amortization"/>
      <sheetName val="기준정보"/>
      <sheetName val="SUP-03"/>
      <sheetName val="C.A"/>
      <sheetName val="주요재무비율"/>
      <sheetName val="2021.3Q审定前"/>
      <sheetName val="FA-LISTING"/>
      <sheetName val="FAB별"/>
      <sheetName val="월마트"/>
      <sheetName val="뒤차축소"/>
      <sheetName val="C"/>
      <sheetName val="BS(Don't Prt)"/>
      <sheetName val="미수"/>
      <sheetName val="기계"/>
      <sheetName val="금융소득종합과세"/>
      <sheetName val="근로소득세2001"/>
      <sheetName val="리드14"/>
      <sheetName val="索引"/>
      <sheetName val="기초코드"/>
      <sheetName val="2001Org"/>
      <sheetName val="maccp04"/>
      <sheetName val="비교손익계산서"/>
      <sheetName val="창원외상매출금(원)"/>
      <sheetName val="WTB"/>
      <sheetName val="연체리스료"/>
      <sheetName val="시뮬레이션정보"/>
      <sheetName val="CAUDIT"/>
      <sheetName val=""/>
      <sheetName val="용역비"/>
      <sheetName val="분양미수금"/>
      <sheetName val="p1.Lead"/>
      <sheetName val="VAT reconcile"/>
      <sheetName val="분석적검토"/>
      <sheetName val="불량집헾"/>
      <sheetName val="외화환산손익(2분기)"/>
      <sheetName val="Functional"/>
      <sheetName val="채권조회서 Roll-forward test"/>
      <sheetName val="단기차입금"/>
      <sheetName val="재공품"/>
      <sheetName val="대손검토"/>
      <sheetName val=".4 이연법인세계산"/>
      <sheetName val="P.L"/>
      <sheetName val="성적표96"/>
      <sheetName val="회사제시"/>
      <sheetName val="R(BS-PL-RE)"/>
      <sheetName val="사업부별"/>
      <sheetName val="양식3"/>
      <sheetName val="매각손실_실현schedule((신)"/>
      <sheetName val=".3 법인세부담액계산"/>
      <sheetName val="유가증권"/>
    </sheetNames>
    <sheetDataSet>
      <sheetData sheetId="0">
        <row r="7">
          <cell r="D7">
            <v>39311</v>
          </cell>
        </row>
      </sheetData>
      <sheetData sheetId="1">
        <row r="2">
          <cell r="B2" t="str">
            <v>한일산업주식회사</v>
          </cell>
        </row>
      </sheetData>
      <sheetData sheetId="2">
        <row r="6">
          <cell r="G6">
            <v>94.894984797714471</v>
          </cell>
        </row>
      </sheetData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2">
          <cell r="G2">
            <v>38883.173000000003</v>
          </cell>
        </row>
      </sheetData>
      <sheetData sheetId="168">
        <row r="2">
          <cell r="G2">
            <v>38883.173000000003</v>
          </cell>
        </row>
      </sheetData>
      <sheetData sheetId="169">
        <row r="2">
          <cell r="G2">
            <v>38883.173000000003</v>
          </cell>
        </row>
      </sheetData>
      <sheetData sheetId="170">
        <row r="2">
          <cell r="G2">
            <v>38883.173000000003</v>
          </cell>
        </row>
      </sheetData>
      <sheetData sheetId="171">
        <row r="2">
          <cell r="G2">
            <v>38883.173000000003</v>
          </cell>
        </row>
      </sheetData>
      <sheetData sheetId="172">
        <row r="2">
          <cell r="G2">
            <v>38883.173000000003</v>
          </cell>
        </row>
      </sheetData>
      <sheetData sheetId="173">
        <row r="2">
          <cell r="G2">
            <v>38883.173000000003</v>
          </cell>
        </row>
      </sheetData>
      <sheetData sheetId="174">
        <row r="2">
          <cell r="G2">
            <v>38883.173000000003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리드"/>
      <sheetName val="대리점계약서"/>
      <sheetName val="분석적검토"/>
      <sheetName val="외상매출금명세"/>
      <sheetName val="채권채무조회 총괄표"/>
      <sheetName val="외화외상매출금"/>
      <sheetName val="외상매출금증감분석"/>
      <sheetName val="외화외상증감분석"/>
      <sheetName val="외상샘플링"/>
      <sheetName val="외화외상샘플링"/>
      <sheetName val="XREF"/>
      <sheetName val="Tickmarks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무형"/>
      <sheetName val="연구개발비상각"/>
      <sheetName val="감가상각비"/>
      <sheetName val="건설가"/>
      <sheetName val="TWT예수금"/>
      <sheetName val="XREF"/>
      <sheetName val="Tickmarks"/>
      <sheetName val="E Lead"/>
      <sheetName val="무형자산리드 (2)"/>
      <sheetName val="무형자산리드"/>
      <sheetName val="시산표(매출조정전)"/>
      <sheetName val="신기술(비상장)0412"/>
      <sheetName val="리드"/>
      <sheetName val="후순위채05.01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EAD"/>
      <sheetName val="유형명세서"/>
      <sheetName val="건설중인자산대체현황"/>
      <sheetName val="건설중인자산명세서"/>
      <sheetName val="자산처분세부명세서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부별매출"/>
      <sheetName val="계정code"/>
      <sheetName val="시산표"/>
      <sheetName val="절대지우지말것"/>
      <sheetName val="24.보증금(전신전화가입권)"/>
      <sheetName val="정의"/>
      <sheetName val="재고현황"/>
      <sheetName val="포장재 재고"/>
      <sheetName val="생산실적"/>
      <sheetName val="9-1차이내역"/>
      <sheetName val="수입2"/>
      <sheetName val="계정분류"/>
      <sheetName val="건보식방판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연락"/>
      <sheetName val="공문"/>
      <sheetName val="월별매출"/>
      <sheetName val="사업계획표지"/>
      <sheetName val="목차"/>
      <sheetName val="경영목표총괄"/>
      <sheetName val="견적제안요약"/>
      <sheetName val="온도대별월별매출요약"/>
      <sheetName val="매출수량종합(4월)"/>
      <sheetName val="센터별출고매장"/>
      <sheetName val="목표"/>
      <sheetName val="실적"/>
      <sheetName val="가마감"/>
      <sheetName val="양식1-매출계획"/>
      <sheetName val="매입원가"/>
      <sheetName val="양식＃1"/>
      <sheetName val="양식＃2"/>
      <sheetName val="양식＃3"/>
      <sheetName val="절대지우지말것"/>
      <sheetName val="본부별매출"/>
      <sheetName val="대차대조표-공시형"/>
      <sheetName val="대차대조표"/>
      <sheetName val="주간남10대순위1"/>
      <sheetName val="주간여30대순위1"/>
      <sheetName val="받check"/>
      <sheetName val="Publishing Plan(Edit)"/>
      <sheetName val=" 견적서"/>
      <sheetName val="전사"/>
      <sheetName val="Supplement2"/>
      <sheetName val="전체실적"/>
      <sheetName val="다운"/>
      <sheetName val="4.경비 5.영업외수지"/>
      <sheetName val="Input Assumptions"/>
      <sheetName val="외주현황.wq1"/>
      <sheetName val="p2-1"/>
      <sheetName val="유통망계획"/>
      <sheetName val="가수금대체"/>
      <sheetName val="Publishing_Plan(Edit)"/>
      <sheetName val="_견적서"/>
      <sheetName val="Input_Assumptions"/>
      <sheetName val="재고현황"/>
      <sheetName val="포장재 재고"/>
      <sheetName val="4월(시급반영)"/>
      <sheetName val="4월"/>
      <sheetName val="2월(시급반영)"/>
      <sheetName val="12월(시급반영)"/>
      <sheetName val="3월"/>
      <sheetName val="3월(최종)"/>
      <sheetName val="2010년1월(시급반영)"/>
      <sheetName val="5월 편성안"/>
      <sheetName val="광고판매(8월)_구미호포함"/>
      <sheetName val="연락"/>
      <sheetName val="Sheet2"/>
      <sheetName val="당좌자산명세"/>
      <sheetName val="Revenue"/>
      <sheetName val="PTR台손익"/>
      <sheetName val="일위대가표(DEEP)"/>
      <sheetName val="손익분기점 데이터"/>
      <sheetName val="소유주(원)"/>
      <sheetName val="참고(3)고정비"/>
      <sheetName val="controll"/>
      <sheetName val="ROV_Analysis"/>
      <sheetName val="Prices"/>
      <sheetName val="고정자산원본"/>
      <sheetName val="이익관리표_적자점(영업점별)"/>
      <sheetName val="중공업"/>
      <sheetName val="Code"/>
      <sheetName val="bom"/>
      <sheetName val="기초코드등록"/>
      <sheetName val="Households"/>
      <sheetName val="사업소세안분"/>
      <sheetName val="품목코드"/>
      <sheetName val="Ethylene"/>
      <sheetName val="ChlorAlkali"/>
      <sheetName val="재고"/>
      <sheetName val="Menu_Link"/>
      <sheetName val="수입2"/>
      <sheetName val="CFS"/>
      <sheetName val="자금현황표"/>
      <sheetName val="인건비기준"/>
      <sheetName val="____"/>
      <sheetName val="별제권_정리담보권"/>
      <sheetName val="적용환율"/>
      <sheetName val="별제권_정리담보권1"/>
      <sheetName val="#REF"/>
      <sheetName val="계수원본(99.2.28)"/>
      <sheetName val="NGUON"/>
      <sheetName val="전사 (2)"/>
      <sheetName val="입력손익"/>
      <sheetName val="구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ery"/>
      <sheetName val="Application Appendix"/>
      <sheetName val="Room sales plan"/>
      <sheetName val="Project Income"/>
      <sheetName val="Sales Cost"/>
      <sheetName val="Construction"/>
      <sheetName val="정보보고"/>
      <sheetName val="Report"/>
      <sheetName val="Coverage"/>
      <sheetName val="Prerequisites"/>
      <sheetName val="scale &amp; Income"/>
      <sheetName val="시산표"/>
      <sheetName val="업무연락"/>
      <sheetName val="월별매출"/>
      <sheetName val="절대지우지말것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TABLE01"/>
      <sheetName val="원본"/>
      <sheetName val="손익계산서"/>
      <sheetName val="수정시산표"/>
      <sheetName val="108_수선비"/>
      <sheetName val="회사정보"/>
      <sheetName val="1999"/>
      <sheetName val="발생집계"/>
      <sheetName val="손익분기점 데이터"/>
      <sheetName val="총괄"/>
      <sheetName val="절대지우지말것"/>
      <sheetName val="14.광주_원가배부Ⅲ"/>
      <sheetName val="주채무"/>
      <sheetName val="Property"/>
      <sheetName val="VXXXXX"/>
      <sheetName val="2001급여"/>
      <sheetName val="WELDING"/>
      <sheetName val="대환취급"/>
      <sheetName val="시산표"/>
      <sheetName val="손익계산서 raw data"/>
      <sheetName val="손익내역전년"/>
      <sheetName val="총괄표"/>
      <sheetName val="24.보증금(전신전화가입권)"/>
      <sheetName val="수선비"/>
      <sheetName val="계정code"/>
      <sheetName val="일반정보"/>
      <sheetName val="control"/>
      <sheetName val="비교"/>
      <sheetName val="회사BS"/>
      <sheetName val="Macro1"/>
      <sheetName val="인건비예산(정규직)"/>
      <sheetName val="인건비예산(용역)"/>
      <sheetName val="9902"/>
      <sheetName val="퇴직급여02 (2)"/>
      <sheetName val="SA"/>
      <sheetName val="장기차입금"/>
      <sheetName val="선수금"/>
      <sheetName val="매입매출(입력)"/>
      <sheetName val="7.31 (2)"/>
      <sheetName val="FixedIncome"/>
      <sheetName val="VaR"/>
      <sheetName val="신규구입자산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2001-FTE-Standard"/>
      <sheetName val="코드부여방법도"/>
      <sheetName val="현장경상비"/>
      <sheetName val="데이타"/>
      <sheetName val="Sheet1"/>
      <sheetName val="기초데이타"/>
      <sheetName val="판매98"/>
      <sheetName val="재1"/>
      <sheetName val="월건별"/>
      <sheetName val="conclusion"/>
      <sheetName val="결정단가"/>
      <sheetName val="comparables"/>
      <sheetName val="Deduction"/>
      <sheetName val="other"/>
      <sheetName val="매도주식"/>
      <sheetName val="XREF"/>
      <sheetName val="RK-#1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공장"/>
      <sheetName val="J"/>
      <sheetName val="4290채권채무조회총괄표"/>
      <sheetName val="96원가"/>
      <sheetName val="A410~A420.검토정산표"/>
      <sheetName val="정기적금"/>
      <sheetName val="대차대조표"/>
      <sheetName val="IJABUNRI"/>
      <sheetName val="성적표96"/>
      <sheetName val="환율시트"/>
      <sheetName val="계정과목"/>
      <sheetName val="수선비MATRIX"/>
      <sheetName val="차량소요량-년간주행거리"/>
      <sheetName val="보조부문비배부"/>
      <sheetName val="설치공사비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상품보조수불"/>
      <sheetName val="제조원가계산서 (2)"/>
      <sheetName val="제품입고(생산)"/>
      <sheetName val="IN"/>
      <sheetName val="기초수불"/>
      <sheetName val="변수"/>
      <sheetName val="평가데이터"/>
      <sheetName val="현장관리비"/>
      <sheetName val="장비비"/>
      <sheetName val="교환국"/>
      <sheetName val="기지국"/>
      <sheetName val="기타"/>
      <sheetName val="원격국"/>
      <sheetName val="주장비"/>
      <sheetName val="중계국"/>
      <sheetName val="TABLE"/>
      <sheetName val="basic_info"/>
      <sheetName val="계좌번호"/>
      <sheetName val="급여0601"/>
      <sheetName val="급여0602"/>
      <sheetName val="급여0603"/>
      <sheetName val="상여0601"/>
      <sheetName val="0512월기준"/>
      <sheetName val="2000제조1"/>
      <sheetName val="경락률"/>
      <sheetName val="법원비용"/>
      <sheetName val="항고구분"/>
      <sheetName val="경매회차하락률"/>
      <sheetName val="01"/>
      <sheetName val="안강자재입고"/>
      <sheetName val="매출매입"/>
      <sheetName val="생산2"/>
      <sheetName val="코스모공장 (어음)"/>
      <sheetName val="구미"/>
      <sheetName val="년간데이타"/>
      <sheetName val="6 국내BW"/>
      <sheetName val="KGAAP(0912)_안성혁"/>
      <sheetName val="department"/>
      <sheetName val="공사미수금"/>
      <sheetName val="분양미수금"/>
      <sheetName val="받을어음"/>
      <sheetName val="대외공문"/>
      <sheetName val="씨티-세아1"/>
      <sheetName val="하나-세아"/>
      <sheetName val="회계처리요약"/>
      <sheetName val="LS"/>
      <sheetName val="MatchCode"/>
      <sheetName val="2.대외공문"/>
      <sheetName val="list prices"/>
      <sheetName val="A-LINE"/>
      <sheetName val="기계"/>
      <sheetName val="인원"/>
      <sheetName val="A(1)"/>
      <sheetName val="A (3)"/>
      <sheetName val="INCOME"/>
      <sheetName val="채권(하반기)"/>
      <sheetName val="신고서.전"/>
      <sheetName val="차수"/>
      <sheetName val="T6-6(7)"/>
      <sheetName val="페이지"/>
      <sheetName val="PLarp"/>
      <sheetName val="예산"/>
      <sheetName val="통합생산일보"/>
      <sheetName val="개인정책"/>
      <sheetName val="개인투자"/>
      <sheetName val="장기투자"/>
      <sheetName val="투자유가증권"/>
      <sheetName val="매채조회"/>
      <sheetName val="MCS"/>
      <sheetName val="개인정보"/>
      <sheetName val="급여상여"/>
      <sheetName val="연차수당계산"/>
      <sheetName val="민감도"/>
      <sheetName val="XLUTIL"/>
      <sheetName val="유가증권현황"/>
      <sheetName val="상환익(2001년도)"/>
      <sheetName val="통합건전성별분류(0201)"/>
      <sheetName val="통합지보건전성(0201)"/>
      <sheetName val="삼호중공업"/>
      <sheetName val="Cover"/>
      <sheetName val="Customer Databas"/>
      <sheetName val="00'미수"/>
      <sheetName val="진행률기표"/>
      <sheetName val="산출기준(파견전산실)"/>
      <sheetName val="자산별귀속부서"/>
      <sheetName val="업무연락"/>
      <sheetName val="월별매출"/>
      <sheetName val="감가상각"/>
      <sheetName val="CodeTable"/>
      <sheetName val="各月细目"/>
      <sheetName val="기본입력사항"/>
      <sheetName val="차량운반구"/>
      <sheetName val="소프트웨어"/>
      <sheetName val="월별수입"/>
      <sheetName val="ACAMST"/>
      <sheetName val="99계획"/>
      <sheetName val="협조전"/>
      <sheetName val="고정자산원본"/>
      <sheetName val="FRC"/>
      <sheetName val="목록"/>
      <sheetName val="Sheet2"/>
      <sheetName val="#REF"/>
      <sheetName val="25.보증금(임차보증금외)"/>
      <sheetName val="임직원 기본인사사항"/>
      <sheetName val="Korea Sign-Internal"/>
      <sheetName val="0201"/>
      <sheetName val="Analysis WR 1"/>
      <sheetName val="3. BSC NC ratio"/>
      <sheetName val="2003손익"/>
      <sheetName val="계정"/>
      <sheetName val="데이터4"/>
      <sheetName val="사원명단"/>
      <sheetName val="2"/>
      <sheetName val="지급보증금74"/>
      <sheetName val="00년 계획전망"/>
      <sheetName val="손익분기점_데이터"/>
      <sheetName val="14_광주_원가배부Ⅲ"/>
      <sheetName val="24_보증금(전신전화가입권)"/>
      <sheetName val="부대집계"/>
      <sheetName val="XXXX"/>
      <sheetName val="wbs"/>
      <sheetName val="현금흐름작성조서"/>
      <sheetName val="만기"/>
      <sheetName val="control sheet"/>
      <sheetName val="급여관련자료"/>
      <sheetName val="1.외주공사"/>
      <sheetName val="2.직영공사"/>
      <sheetName val="TaxCalc"/>
      <sheetName val="급여조견표"/>
      <sheetName val="SIMULATION"/>
      <sheetName val="기계2"/>
      <sheetName val="주조부"/>
      <sheetName val="C-S"/>
      <sheetName val="기계1"/>
      <sheetName val="중형엔진"/>
      <sheetName val="Sheet3"/>
      <sheetName val="CRUDE"/>
      <sheetName val="조회서송부 LIST"/>
      <sheetName val="F45"/>
      <sheetName val="F1,2"/>
      <sheetName val="F3"/>
      <sheetName val="생산현황"/>
      <sheetName val="노무비-TT"/>
      <sheetName val="8월--12월"/>
      <sheetName val="1월--7월"/>
      <sheetName val="시황"/>
      <sheetName val="보정전"/>
      <sheetName val="DATA"/>
      <sheetName val="CF"/>
      <sheetName val="RE"/>
      <sheetName val="무형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생산3파트"/>
      <sheetName val="초지3호기"/>
      <sheetName val="xxxxxx"/>
      <sheetName val="Start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총제품수불"/>
      <sheetName val="Links"/>
      <sheetName val="Initial Input Variable"/>
      <sheetName val="8월"/>
      <sheetName val="108.수선비"/>
      <sheetName val="99선급비용"/>
      <sheetName val="지종별원단위(기존)"/>
      <sheetName val="06년예상보험료 (2)"/>
      <sheetName val="1~10월실적"/>
      <sheetName val="에스피"/>
      <sheetName val="페이퍼"/>
      <sheetName val="코드Mapping"/>
      <sheetName val="신무림1"/>
      <sheetName val="견적의뢰"/>
      <sheetName val="Sheet2 (2)"/>
      <sheetName val="세부내역"/>
      <sheetName val="C(재고)"/>
      <sheetName val="업종별제조원가"/>
      <sheetName val="수입"/>
      <sheetName val="고상실행"/>
      <sheetName val="코드목록"/>
      <sheetName val="Lead"/>
      <sheetName val="실행간접비용"/>
      <sheetName val="LoanList"/>
      <sheetName val="잔존년수"/>
      <sheetName val="성단물량"/>
      <sheetName val="지점장"/>
      <sheetName val="선급비용재계산(AK)"/>
      <sheetName val="건물"/>
      <sheetName val="개발비"/>
      <sheetName val="외화환산손익"/>
      <sheetName val="산업재산권"/>
      <sheetName val="수정'매출매입_자료"/>
      <sheetName val="언양"/>
      <sheetName val="JUYO"/>
      <sheetName val="동원인원"/>
      <sheetName val="테이블"/>
      <sheetName val="수철11월"/>
      <sheetName val="수철03년"/>
      <sheetName val="단지별수거량"/>
      <sheetName val="감가상각누계액"/>
      <sheetName val="비교원RD-S"/>
      <sheetName val="리스트"/>
      <sheetName val="폐기(자본지출)"/>
      <sheetName val="WPL"/>
      <sheetName val="원가총"/>
      <sheetName val="인력(정규직)"/>
      <sheetName val="ZY100"/>
      <sheetName val="공통속성"/>
      <sheetName val="국외점포"/>
      <sheetName val="월별관리"/>
      <sheetName val="경비예산"/>
      <sheetName val="생산성(2차)"/>
      <sheetName val="요약(1차)"/>
      <sheetName val="Ⅱ1-0타"/>
      <sheetName val="선급비용"/>
      <sheetName val="이익처분"/>
      <sheetName val="종합분석"/>
      <sheetName val="설비사양서B-1"/>
      <sheetName val="17.공제수익비용"/>
      <sheetName val="20.교육지원비,법인세"/>
      <sheetName val="21.대손충당금"/>
      <sheetName val="4.매출액"/>
      <sheetName val="5.매출원가"/>
      <sheetName val="1.사업"/>
      <sheetName val="2-1.신용손익"/>
      <sheetName val="2-2.일반손익"/>
      <sheetName val="6.수탁수수료"/>
      <sheetName val="16.신용기타비용"/>
      <sheetName val="15.신용기타수익"/>
      <sheetName val="11.신용기타이자"/>
      <sheetName val="3.운용(신용)"/>
      <sheetName val="3-1.운용(일반)"/>
      <sheetName val="14.예치금유가증권이자"/>
      <sheetName val="9.일반기타비용"/>
      <sheetName val="8.일반기타수익"/>
      <sheetName val="7.일반수수료"/>
      <sheetName val="18.판관비"/>
      <sheetName val="19.판매경비"/>
      <sheetName val="구list"/>
      <sheetName val="이연법인세3월말"/>
      <sheetName val="이연법인세6월말"/>
      <sheetName val="지분법평가1분기"/>
      <sheetName val="검토사항"/>
      <sheetName val="공무부"/>
      <sheetName val="수입2"/>
      <sheetName val="경비"/>
      <sheetName val="일반"/>
      <sheetName val="시실누(모) "/>
      <sheetName val="ICB"/>
      <sheetName val="Reference2"/>
      <sheetName val="Ship Advice"/>
      <sheetName val="유통망계획"/>
      <sheetName val="08"/>
      <sheetName val="시장"/>
      <sheetName val="지종코드"/>
      <sheetName val="포장유형"/>
      <sheetName val="1.육계매출 Overall Test"/>
      <sheetName val="2.육가공매출 Overall Test"/>
      <sheetName val="매출분석적검토"/>
      <sheetName val="기준수익률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무형자산"/>
      <sheetName val="현금과예금"/>
      <sheetName val="현금명세서"/>
      <sheetName val="예금명세서"/>
      <sheetName val="외상매출금"/>
      <sheetName val="외화외상매출금"/>
      <sheetName val="단기대여금&amp;주임종단기대여금"/>
      <sheetName val="미수금"/>
      <sheetName val="미수수익"/>
      <sheetName val="미착원재료"/>
      <sheetName val="선급금&amp;지사관리비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부도어음"/>
      <sheetName val="상표권"/>
      <sheetName val="4b Consolidated PL"/>
      <sheetName val=""/>
      <sheetName val="125PIECE"/>
      <sheetName val="본문1"/>
      <sheetName val="부외부채"/>
      <sheetName val="시장성초안camera"/>
      <sheetName val="기계경비(시간당)"/>
      <sheetName val="램머"/>
      <sheetName val="공사원가계산서"/>
      <sheetName val="도급예산내역서총괄표"/>
      <sheetName val="보조"/>
      <sheetName val="단중_심_그레이드"/>
      <sheetName val="목표세부명세"/>
      <sheetName val="개정대차대조표"/>
      <sheetName val="AA"/>
      <sheetName val="계획"/>
      <sheetName val="당년실적"/>
      <sheetName val="전년실적"/>
      <sheetName val="기초사항"/>
      <sheetName val="14_광주_원가배부Ⅲ1"/>
      <sheetName val="7_31_(2)"/>
      <sheetName val="손익분기점_데이터1"/>
      <sheetName val="손익계산서_raw_data"/>
      <sheetName val="부서별손익_(부)"/>
      <sheetName val="퇴직급여02_(2)"/>
      <sheetName val="제조원가계산서_(2)"/>
      <sheetName val="24_보증금(전신전화가입권)1"/>
      <sheetName val="1차_매출원가"/>
      <sheetName val="6_국내BW"/>
      <sheetName val="2_대외공문"/>
      <sheetName val="list_prices"/>
      <sheetName val="A_(3)"/>
      <sheetName val="신고서_전"/>
      <sheetName val="E_LEAD"/>
      <sheetName val="A410~A420_검토정산표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1_외주공사"/>
      <sheetName val="2_직영공사"/>
      <sheetName val="코스모공장_(어음)"/>
      <sheetName val="Customer_Databas"/>
      <sheetName val="25_보증금(임차보증금외)"/>
      <sheetName val="임대장비현황"/>
      <sheetName val="200811(법인)"/>
      <sheetName val="200811(해외현지법인)"/>
      <sheetName val="수정재무제표-본사용"/>
      <sheetName val="Sheet1 (3)"/>
      <sheetName val="00년_계획전망"/>
      <sheetName val="Korea_Sign-Internal"/>
      <sheetName val="임직원_기본인사사항"/>
      <sheetName val="control_sheet"/>
      <sheetName val="Analysis_WR_1"/>
      <sheetName val="3__BSC_NC_ratio"/>
      <sheetName val="Initial_Input_Variable"/>
      <sheetName val="14_광주_원가배부Ⅲ2"/>
      <sheetName val="손익분기점_데이터2"/>
      <sheetName val="24_보증금(전신전화가입권)2"/>
      <sheetName val="손익계산서_raw_data1"/>
      <sheetName val="7_31_(2)1"/>
      <sheetName val="부서별손익_(부)1"/>
      <sheetName val="A410~A420_검토정산표1"/>
      <sheetName val="퇴직급여02_(2)1"/>
      <sheetName val="E_LEAD1"/>
      <sheetName val="1차_매출원가1"/>
      <sheetName val="13_공제수익,_14__공제비용1"/>
      <sheetName val="4_대출금이자계산1"/>
      <sheetName val="2_부문별추정손익1"/>
      <sheetName val="9_신용기타비용1"/>
      <sheetName val="8_신용기타수익1"/>
      <sheetName val="1_연말추정사업1"/>
      <sheetName val="5_예수금이자계산1"/>
      <sheetName val="7_예치금이자계산1"/>
      <sheetName val="15__판매관리비1"/>
      <sheetName val="3_종합자금(신용-운용)1"/>
      <sheetName val="3-3_조달(일반)1"/>
      <sheetName val="17_교육지원__법인세1"/>
      <sheetName val="6_차입금이자계산1"/>
      <sheetName val="제조원가계산서_(2)1"/>
      <sheetName val="코스모공장_(어음)1"/>
      <sheetName val="Customer_Databas1"/>
      <sheetName val="6_국내BW1"/>
      <sheetName val="00년_계획전망1"/>
      <sheetName val="2_대외공문1"/>
      <sheetName val="list_prices1"/>
      <sheetName val="A_(3)1"/>
      <sheetName val="신고서_전1"/>
      <sheetName val="Korea_Sign-Internal1"/>
      <sheetName val="25_보증금(임차보증금외)1"/>
      <sheetName val="임직원_기본인사사항1"/>
      <sheetName val="control_sheet1"/>
      <sheetName val="Analysis_WR_11"/>
      <sheetName val="3__BSC_NC_ratio1"/>
      <sheetName val="Initial_Input_Variable1"/>
      <sheetName val="1_외주공사1"/>
      <sheetName val="2_직영공사1"/>
      <sheetName val="조정전"/>
      <sheetName val="결-9-1"/>
      <sheetName val="비품(94이전)"/>
      <sheetName val="R&amp;D"/>
      <sheetName val="master"/>
      <sheetName val="총사업비명세"/>
      <sheetName val="요약&amp;결과"/>
      <sheetName val="FAB별"/>
      <sheetName val="본부별매출"/>
      <sheetName val="Macro2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공설코드"/>
      <sheetName val="기본사항"/>
      <sheetName val="WI"/>
      <sheetName val="code"/>
      <sheetName val="공통매입원장"/>
      <sheetName val="Macro4"/>
      <sheetName val="BSLA"/>
      <sheetName val="연결정보"/>
      <sheetName val="2002-03"/>
      <sheetName val="영화별rawdata"/>
      <sheetName val="시점수정"/>
      <sheetName val="호프"/>
      <sheetName val="내역서"/>
      <sheetName val="현장경비"/>
      <sheetName val="2호맨홀공제수량"/>
      <sheetName val="T&amp;C"/>
      <sheetName val="유형자산증가"/>
      <sheetName val="3"/>
      <sheetName val="검사표"/>
      <sheetName val="원가배분01년(등본)"/>
      <sheetName val="Back Data 1"/>
      <sheetName val="학습율"/>
      <sheetName val="수입부품-견적"/>
      <sheetName val="국내입고"/>
      <sheetName val="MSQ"/>
      <sheetName val="96갑지"/>
      <sheetName val="Köpfe"/>
      <sheetName val="인건비 내역서"/>
      <sheetName val="Sheet455"/>
      <sheetName val="월별생산"/>
      <sheetName val="가족수당"/>
      <sheetName val="상조회"/>
      <sheetName val="소득세"/>
      <sheetName val="SALTAB97"/>
      <sheetName val="의보"/>
      <sheetName val="생산직잔업"/>
      <sheetName val="10고객별 담당자"/>
      <sheetName val="07DATA"/>
      <sheetName val="11월출고"/>
      <sheetName val="1_05고객별 담당자"/>
      <sheetName val="1_05수익성대비표"/>
      <sheetName val="생산량"/>
      <sheetName val="총투자비산정"/>
      <sheetName val="본사업"/>
      <sheetName val="환율"/>
      <sheetName val="월별제조비용"/>
      <sheetName val="영업외수익비용"/>
      <sheetName val="월별판매비와일반관리비"/>
      <sheetName val="계속+종전"/>
      <sheetName val="가.인건비산출근거(관리직급여표)"/>
      <sheetName val="나.인건비산출근거(운영직급여표)"/>
      <sheetName val="구미2월"/>
      <sheetName val="안양2월"/>
      <sheetName val="부정형평가"/>
      <sheetName val="재공품평가"/>
      <sheetName val="과정별"/>
      <sheetName val="항목등록"/>
      <sheetName val="수h"/>
      <sheetName val="관계사"/>
      <sheetName val="통화코드"/>
      <sheetName val="투자자산처분손익"/>
      <sheetName val="경기남부"/>
      <sheetName val="이익잉여금"/>
      <sheetName val="기초자료"/>
      <sheetName val="각주"/>
      <sheetName val="E_B_L"/>
      <sheetName val="2-1.제품군별계획대비실적(B.A)"/>
      <sheetName val="f12"/>
      <sheetName val="06년(예)"/>
      <sheetName val="N-1"/>
      <sheetName val="F-1"/>
      <sheetName val="5300"/>
      <sheetName val="5500"/>
      <sheetName val="Test"/>
      <sheetName val="Bs. de Uso 2002"/>
      <sheetName val="prov locales"/>
      <sheetName val="8340"/>
      <sheetName val="용역비"/>
      <sheetName val="Sheet2_(2)"/>
      <sheetName val="시실누(모)_"/>
      <sheetName val="누적"/>
      <sheetName val="덕성P"/>
      <sheetName val="견적공통"/>
      <sheetName val="제품(수출)매출"/>
      <sheetName val="연체대출"/>
      <sheetName val="입력자료"/>
      <sheetName val="97년제4기재무제표(출력).xls"/>
      <sheetName val="양식"/>
      <sheetName val="예비총괄"/>
      <sheetName val="자재및업무개선"/>
      <sheetName val="고수익"/>
      <sheetName val="BAL.(TTL)"/>
      <sheetName val="설계내역서"/>
      <sheetName val="관리대장(2001장비)"/>
      <sheetName val="이연법인세차"/>
      <sheetName val="개방형"/>
      <sheetName val="재료비"/>
      <sheetName val="손익분기점_데이터3"/>
      <sheetName val="14_광주_원가배부Ⅲ3"/>
      <sheetName val="손익계산서_raw_data2"/>
      <sheetName val="7_31_(2)2"/>
      <sheetName val="퇴직급여02_(2)2"/>
      <sheetName val="제조원가계산서_(2)2"/>
      <sheetName val="부서별손익_(부)2"/>
      <sheetName val="24_보증금(전신전화가입권)3"/>
      <sheetName val="E_LEAD2"/>
      <sheetName val="1차_매출원가2"/>
      <sheetName val="13_공제수익,_14__공제비용2"/>
      <sheetName val="4_대출금이자계산2"/>
      <sheetName val="2_부문별추정손익2"/>
      <sheetName val="9_신용기타비용2"/>
      <sheetName val="8_신용기타수익2"/>
      <sheetName val="1_연말추정사업2"/>
      <sheetName val="5_예수금이자계산2"/>
      <sheetName val="7_예치금이자계산2"/>
      <sheetName val="15__판매관리비2"/>
      <sheetName val="3_종합자금(신용-운용)2"/>
      <sheetName val="3-3_조달(일반)2"/>
      <sheetName val="17_교육지원__법인세2"/>
      <sheetName val="6_차입금이자계산2"/>
      <sheetName val="6_국내BW2"/>
      <sheetName val="A410~A420_검토정산표2"/>
      <sheetName val="코스모공장_(어음)2"/>
      <sheetName val="2_대외공문2"/>
      <sheetName val="list_prices2"/>
      <sheetName val="A_(3)2"/>
      <sheetName val="신고서_전2"/>
      <sheetName val="25_보증금(임차보증금외)2"/>
      <sheetName val="Korea_Sign-Internal2"/>
      <sheetName val="control_sheet2"/>
      <sheetName val="Customer_Databas2"/>
      <sheetName val="1_외주공사2"/>
      <sheetName val="2_직영공사2"/>
      <sheetName val="Analysis_WR_12"/>
      <sheetName val="3__BSC_NC_ratio2"/>
      <sheetName val="00년_계획전망2"/>
      <sheetName val="임직원_기본인사사항2"/>
      <sheetName val="INST_TABLECOVER"/>
      <sheetName val="양식(최종)_(2)"/>
      <sheetName val="06년예상보험료_(2)"/>
      <sheetName val="Initial_Input_Variable2"/>
      <sheetName val="17_공제수익비용"/>
      <sheetName val="20_교육지원비,법인세"/>
      <sheetName val="21_대손충당금"/>
      <sheetName val="4_매출액"/>
      <sheetName val="5_매출원가"/>
      <sheetName val="1_사업"/>
      <sheetName val="2-1_신용손익"/>
      <sheetName val="2-2_일반손익"/>
      <sheetName val="6_수탁수수료"/>
      <sheetName val="16_신용기타비용"/>
      <sheetName val="15_신용기타수익"/>
      <sheetName val="11_신용기타이자"/>
      <sheetName val="3_운용(신용)"/>
      <sheetName val="3-1_운용(일반)"/>
      <sheetName val="14_예치금유가증권이자"/>
      <sheetName val="9_일반기타비용"/>
      <sheetName val="8_일반기타수익"/>
      <sheetName val="7_일반수수료"/>
      <sheetName val="18_판관비"/>
      <sheetName val="19_판매경비"/>
      <sheetName val="108_수선비1"/>
      <sheetName val="1_육계매출_Overall_Test"/>
      <sheetName val="2_육가공매출_Overall_Test"/>
      <sheetName val="조회서송부_LIST"/>
      <sheetName val="조회서_(2)"/>
      <sheetName val="조회서_(3)"/>
      <sheetName val="조회서_(4)"/>
      <sheetName val="조회서_(5)"/>
      <sheetName val="조회서_(6)"/>
      <sheetName val="특정현금과_예금"/>
      <sheetName val="4b_Consolidated_PL"/>
      <sheetName val="Sheet1_(3)"/>
      <sheetName val="Back_Data_1"/>
      <sheetName val="기업평가"/>
      <sheetName val="118.세금과공과"/>
      <sheetName val="ttt"/>
      <sheetName val="미수이자"/>
      <sheetName val="Area"/>
      <sheetName val="Template"/>
      <sheetName val="급여대장(관리)"/>
      <sheetName val="g. Rent Roll"/>
      <sheetName val="Parameters"/>
      <sheetName val="계정분류"/>
      <sheetName val="단가산출"/>
      <sheetName val="사월"/>
      <sheetName val="삼월"/>
      <sheetName val="오월"/>
      <sheetName val="이월"/>
      <sheetName val="일월"/>
      <sheetName val="MM"/>
      <sheetName val="2-2.매출분석"/>
      <sheetName val="99판매상세"/>
      <sheetName val="설계예산서"/>
      <sheetName val="BOQ.vts"/>
      <sheetName val="당좌차월"/>
      <sheetName val="其他应收款明细及帐龄分析(表5)"/>
      <sheetName val="txt(손익)"/>
      <sheetName val="fxrate"/>
      <sheetName val="갑(전기)"/>
      <sheetName val="Tickmarks"/>
      <sheetName val="종합_SP"/>
      <sheetName val="종합_MP"/>
      <sheetName val="무림SP_상세"/>
      <sheetName val="무림페이퍼_상세"/>
      <sheetName val="종합"/>
      <sheetName val="매출채권"/>
      <sheetName val="매출채권(집계)"/>
      <sheetName val="외상매출금 합계표(조회서 refer) "/>
      <sheetName val="대체적인 절차 refer(외상매출금)"/>
      <sheetName val="국내외상매출금(S)"/>
      <sheetName val="국내외상매출금(P)"/>
      <sheetName val="국내외상매출(B)"/>
      <sheetName val="받을어음 합계표(조회서 refer)"/>
      <sheetName val="받을어음(S)"/>
      <sheetName val="받을어음(P)"/>
      <sheetName val="받을어음(B)"/>
      <sheetName val="구매카드"/>
      <sheetName val="memo"/>
      <sheetName val="9월제조원가"/>
      <sheetName val="리드"/>
      <sheetName val="감사인검토내역(PAJE)"/>
      <sheetName val="팀별"/>
      <sheetName val="1월"/>
      <sheetName val="2월"/>
      <sheetName val="3월"/>
      <sheetName val="4월"/>
      <sheetName val="5월"/>
      <sheetName val="6월"/>
      <sheetName val="7월"/>
      <sheetName val="9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채권9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입금9월"/>
      <sheetName val="수금조건"/>
      <sheetName val="한도"/>
      <sheetName val="10월"/>
      <sheetName val="채권10월"/>
      <sheetName val="입금10월"/>
      <sheetName val="11월"/>
      <sheetName val="채권11월"/>
      <sheetName val="입금11월"/>
      <sheetName val="12월"/>
      <sheetName val="12월채권"/>
      <sheetName val="입금12월"/>
      <sheetName val="96상입"/>
      <sheetName val="전체"/>
      <sheetName val="매출1"/>
      <sheetName val="입금1"/>
      <sheetName val="채권1"/>
      <sheetName val="기일1"/>
      <sheetName val="매출2"/>
      <sheetName val="입금2"/>
      <sheetName val="채권2"/>
      <sheetName val="기일2"/>
      <sheetName val="매출3"/>
      <sheetName val="입금3"/>
      <sheetName val="채권3"/>
      <sheetName val="기일3"/>
      <sheetName val="매출4"/>
      <sheetName val="입금4"/>
      <sheetName val="채권4"/>
      <sheetName val="기일4"/>
      <sheetName val="매출5"/>
      <sheetName val="입금5"/>
      <sheetName val="채권5"/>
      <sheetName val="기일5"/>
      <sheetName val="매출6"/>
      <sheetName val="입금6"/>
      <sheetName val="채권6"/>
      <sheetName val="기일6"/>
      <sheetName val="매출7"/>
      <sheetName val="입금7"/>
      <sheetName val="채권7"/>
      <sheetName val="기일7"/>
      <sheetName val="현금및현금등가물 (총괄)"/>
      <sheetName val="현금및현금등가물 (서울)"/>
      <sheetName val="현금및현금등가물 (부산)"/>
      <sheetName val="유형자산총괄"/>
      <sheetName val="유형자산(서울)"/>
      <sheetName val="유형자산(부산)"/>
      <sheetName val="퇴충"/>
      <sheetName val="퇴충overall"/>
      <sheetName val="퇴충배부"/>
      <sheetName val="자본"/>
      <sheetName val="판관비"/>
      <sheetName val="TUL"/>
      <sheetName val="발행TEST"/>
      <sheetName val="발행TEST (2)"/>
      <sheetName val="발행TEST(부산)"/>
      <sheetName val="기타당좌자산(총괄)"/>
      <sheetName val="기타당좌자산(서울)"/>
      <sheetName val="기타당좌자산(부산)"/>
      <sheetName val="기타유동부채-총괄"/>
      <sheetName val="기타유동부채-서울"/>
      <sheetName val="기타유동부채-부산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99발견사항"/>
      <sheetName val="발견사항"/>
      <sheetName val="만기 (2)"/>
      <sheetName val="She_x0000__x0000_2"/>
      <sheetName val="꺐윂"/>
      <sheetName val="총괄(회사)"/>
      <sheetName val="전산기기최종"/>
      <sheetName val="집기비품최종"/>
      <sheetName val="만기0701"/>
      <sheetName val="99지분법평가ﾐ쟿"/>
      <sheetName val="COMBINED"/>
      <sheetName val="VALSTAT"/>
      <sheetName val="부재료입고집계"/>
      <sheetName val="7 _2_"/>
      <sheetName val="7 (2)"/>
      <sheetName val="P50.subsequent"/>
      <sheetName val="손익합산"/>
      <sheetName val="지분법적용투자주식"/>
      <sheetName val="연결분개(거래.Ʉ_x0000_₎㔀"/>
      <sheetName val="ʉ_x0000_䀀"/>
      <sheetName val="(참고)개인별 임금인상안"/>
      <sheetName val="(참고)DC형 선택자 퇴직금 추계"/>
      <sheetName val="제품별원가분석"/>
      <sheetName val="안산기계장치"/>
      <sheetName val="할증 "/>
      <sheetName val="原价计算表"/>
      <sheetName val="Significant Processes"/>
      <sheetName val="참고"/>
      <sheetName val="A"/>
      <sheetName val="0814_5만이하"/>
      <sheetName val="실사"/>
      <sheetName val="상품원가피벗"/>
      <sheetName val="She"/>
      <sheetName val="She??2"/>
      <sheetName val="연결분개(거래_채권채무)_(2)"/>
      <sheetName val="연결분개(거래_채권채무)"/>
      <sheetName val="만기_(2)"/>
      <sheetName val="재료수율"/>
      <sheetName val="원가분석"/>
      <sheetName val="원재료"/>
      <sheetName val="npv"/>
      <sheetName val="Sheet12"/>
      <sheetName val="Margins"/>
      <sheetName val="2.2"/>
      <sheetName val="2.2 Yrly Comparison"/>
      <sheetName val="5. BSC Developmt"/>
      <sheetName val="외화"/>
      <sheetName val="자금동향"/>
      <sheetName val="Configuration"/>
      <sheetName val="기본"/>
      <sheetName val="은행"/>
      <sheetName val="PL(일반)"/>
      <sheetName val="CAJE.CRJE"/>
      <sheetName val="Tickmarks "/>
      <sheetName val="관세"/>
      <sheetName val="취득 처분명세_반기"/>
      <sheetName val="SUMMARY"/>
      <sheetName val="한세A4PL"/>
      <sheetName val="3110-2"/>
      <sheetName val="유형"/>
      <sheetName val="고정부채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재무제표검토"/>
      <sheetName val="주요경영지표계산"/>
      <sheetName val="최종분석"/>
      <sheetName val="ASM"/>
      <sheetName val="최종재무제표분석"/>
      <sheetName val="Analytical(대차)"/>
      <sheetName val="Analytical(손익)"/>
      <sheetName val="주요계정(대차)"/>
      <sheetName val="주요계정(손익)"/>
      <sheetName val="주요대차"/>
      <sheetName val="주요손익"/>
      <sheetName val="대차대조표 (2)"/>
      <sheetName val="손익계산서 (2)"/>
      <sheetName val="제표최종"/>
      <sheetName val="주요경영지표계산 (2)"/>
      <sheetName val="잉여금, 현금흐름"/>
      <sheetName val="IS정산표"/>
      <sheetName val="대차분석"/>
      <sheetName val="손익분석"/>
      <sheetName val="손익계산서 (3)"/>
      <sheetName val="폐토수익화 "/>
      <sheetName val="BA"/>
      <sheetName val="보고"/>
      <sheetName val="수처리사업"/>
      <sheetName val="1995년 섹터별 매출"/>
      <sheetName val="대출금"/>
      <sheetName val="2311 재무제표검토 Worksheet의 워크시트"/>
      <sheetName val="Inputs"/>
      <sheetName val="단기차입금"/>
      <sheetName val="StandAlne"/>
      <sheetName val="Update"/>
      <sheetName val="P&amp;L"/>
      <sheetName val="백암비스타내역"/>
      <sheetName val="대차대조표-공시형"/>
      <sheetName val="Excess Calc"/>
      <sheetName val="경수97.02"/>
      <sheetName val="0-Basics"/>
      <sheetName val="수익증권명세서(매도가능)"/>
      <sheetName val="COMPS"/>
      <sheetName val="분석mast"/>
      <sheetName val="Cust"/>
      <sheetName val="적용환율"/>
      <sheetName val="C-Lead"/>
      <sheetName val="WACC"/>
      <sheetName val="8220"/>
      <sheetName val="97년추정손익계산서"/>
      <sheetName val="Assumption"/>
      <sheetName val="Balance Sheet"/>
      <sheetName val="Income Statement"/>
      <sheetName val="확인서"/>
      <sheetName val="SALE&amp;COST"/>
      <sheetName val="FTE"/>
      <sheetName val="손익1월"/>
      <sheetName val="공통비"/>
      <sheetName val="원자재수불(최종)"/>
      <sheetName val="Asset9809CAK"/>
      <sheetName val="C100 LEAD"/>
      <sheetName val="39기"/>
      <sheetName val="Variables"/>
      <sheetName val="월 Capa"/>
      <sheetName val="00.08계정"/>
      <sheetName val="forecasted_BS"/>
      <sheetName val="forecasted_IS"/>
      <sheetName val="pre-anal손익계산서"/>
      <sheetName val="pre-anal대차대조표"/>
      <sheetName val="krsec08"/>
      <sheetName val="Customer"/>
      <sheetName val="10월 급여"/>
      <sheetName val="소매_신용"/>
      <sheetName val="특정상품(비소매)"/>
      <sheetName val="비소매신용"/>
      <sheetName val="직공비"/>
      <sheetName val="신전산소항목시산표(5월)"/>
      <sheetName val="관세구분시트"/>
      <sheetName val="노무비"/>
      <sheetName val="종합일지"/>
      <sheetName val="6월 내수"/>
      <sheetName val="6월 내수_편집"/>
      <sheetName val="체불임금"/>
      <sheetName val="평균임금"/>
      <sheetName val="체불금품내역"/>
      <sheetName val="공정자료"/>
      <sheetName val="STALL회전율"/>
      <sheetName val="보증MH"/>
      <sheetName val="유형자료"/>
      <sheetName val="가격비"/>
      <sheetName val="Admin"/>
      <sheetName val="01Q4 RATE"/>
      <sheetName val="자료"/>
      <sheetName val="원료돈정산(거세)"/>
      <sheetName val="유림골조"/>
      <sheetName val="계수시트"/>
      <sheetName val="TOTAL"/>
      <sheetName val="BB"/>
      <sheetName val="BC"/>
      <sheetName val="BD"/>
      <sheetName val="BE"/>
      <sheetName val="Module"/>
      <sheetName val="미국"/>
      <sheetName val="14_광주_원가배부Ⅲ4"/>
      <sheetName val="손익분기점_데이터4"/>
      <sheetName val="7_31_(2)3"/>
      <sheetName val="손익계산서_raw_data3"/>
      <sheetName val="퇴직급여02_(2)3"/>
      <sheetName val="제조원가계산서_(2)3"/>
      <sheetName val="부서별손익_(부)3"/>
      <sheetName val="24_보증금(전신전화가입권)4"/>
      <sheetName val="E_LEAD3"/>
      <sheetName val="1차_매출원가3"/>
      <sheetName val="13_공제수익,_14__공제비용3"/>
      <sheetName val="4_대출금이자계산3"/>
      <sheetName val="2_부문별추정손익3"/>
      <sheetName val="9_신용기타비용3"/>
      <sheetName val="8_신용기타수익3"/>
      <sheetName val="1_연말추정사업3"/>
      <sheetName val="5_예수금이자계산3"/>
      <sheetName val="7_예치금이자계산3"/>
      <sheetName val="15__판매관리비3"/>
      <sheetName val="3_종합자금(신용-운용)3"/>
      <sheetName val="3-3_조달(일반)3"/>
      <sheetName val="17_교육지원__법인세3"/>
      <sheetName val="6_차입금이자계산3"/>
      <sheetName val="A410~A420_검토정산표3"/>
      <sheetName val="6_국내BW3"/>
      <sheetName val="코스모공장_(어음)3"/>
      <sheetName val="2_대외공문3"/>
      <sheetName val="list_prices3"/>
      <sheetName val="A_(3)3"/>
      <sheetName val="신고서_전3"/>
      <sheetName val="25_보증금(임차보증금외)3"/>
      <sheetName val="Korea_Sign-Internal3"/>
      <sheetName val="control_sheet3"/>
      <sheetName val="Customer_Databas3"/>
      <sheetName val="1_외주공사3"/>
      <sheetName val="2_직영공사3"/>
      <sheetName val="Analysis_WR_13"/>
      <sheetName val="3__BSC_NC_ratio3"/>
      <sheetName val="00년_계획전망3"/>
      <sheetName val="Sheet2_(2)1"/>
      <sheetName val="INST_TABLECOVER1"/>
      <sheetName val="양식(최종)_(2)1"/>
      <sheetName val="06년예상보험료_(2)1"/>
      <sheetName val="1_육계매출_Overall_Test1"/>
      <sheetName val="2_육가공매출_Overall_Test1"/>
      <sheetName val="조회서_(2)1"/>
      <sheetName val="조회서_(3)1"/>
      <sheetName val="조회서_(4)1"/>
      <sheetName val="조회서_(5)1"/>
      <sheetName val="조회서_(6)1"/>
      <sheetName val="특정현금과_예금1"/>
      <sheetName val="임직원_기본인사사항3"/>
      <sheetName val="Initial_Input_Variable3"/>
      <sheetName val="17_공제수익비용1"/>
      <sheetName val="20_교육지원비,법인세1"/>
      <sheetName val="21_대손충당금1"/>
      <sheetName val="4_매출액1"/>
      <sheetName val="5_매출원가1"/>
      <sheetName val="1_사업1"/>
      <sheetName val="2-1_신용손익1"/>
      <sheetName val="2-2_일반손익1"/>
      <sheetName val="6_수탁수수료1"/>
      <sheetName val="16_신용기타비용1"/>
      <sheetName val="15_신용기타수익1"/>
      <sheetName val="11_신용기타이자1"/>
      <sheetName val="3_운용(신용)1"/>
      <sheetName val="3-1_운용(일반)1"/>
      <sheetName val="14_예치금유가증권이자1"/>
      <sheetName val="9_일반기타비용1"/>
      <sheetName val="8_일반기타수익1"/>
      <sheetName val="7_일반수수료1"/>
      <sheetName val="18_판관비1"/>
      <sheetName val="19_판매경비1"/>
      <sheetName val="시실누(모)_1"/>
      <sheetName val="108_수선비2"/>
      <sheetName val="조회서송부_LIST1"/>
      <sheetName val="4b_Consolidated_PL1"/>
      <sheetName val="Sheet1_(3)1"/>
      <sheetName val="Back_Data_11"/>
      <sheetName val="Ship_Advice"/>
      <sheetName val="2-1_제품군별계획대비실적(B_A)"/>
      <sheetName val="Bs__de_Uso_2002"/>
      <sheetName val="prov_locales"/>
      <sheetName val="10고객별_담당자"/>
      <sheetName val="g__Rent_Roll"/>
      <sheetName val="118_세금과공과"/>
      <sheetName val="인건비_내역서"/>
      <sheetName val="기감액자산"/>
      <sheetName val="설비-자산"/>
      <sheetName val="불용자산list"/>
      <sheetName val="과정코드용"/>
      <sheetName val="실시계획"/>
      <sheetName val="퍼라이트"/>
      <sheetName val="파라셀"/>
      <sheetName val="scale &amp; Income"/>
      <sheetName val="5600"/>
      <sheetName val="외상매출금_합계표(조회서_refer)_"/>
      <sheetName val="대체적인_절차_refer(외상매출금)"/>
      <sheetName val="받을어음_합계표(조회서_refer)"/>
      <sheetName val="현금및현금등가물_(총괄)"/>
      <sheetName val="현금및현금등가물_(서울)"/>
      <sheetName val="현금및현금등가물_(부산)"/>
      <sheetName val="발행TEST_(2)"/>
      <sheetName val="연결분개(거래_채권채무)_(2)1"/>
      <sheetName val="연결분개(거래_채권채무)1"/>
      <sheetName val="만기_(2)1"/>
      <sheetName val="7__2_"/>
      <sheetName val="7_(2)"/>
      <sheetName val="P50_subsequent"/>
      <sheetName val="연결분개(거래_Ʉ₎㔀"/>
      <sheetName val="(참고)개인별_임금인상안"/>
      <sheetName val="(참고)DC형_선택자_퇴직금_추계"/>
      <sheetName val="할증_"/>
      <sheetName val="Significant_Processes"/>
      <sheetName val="2_2"/>
      <sheetName val="2_2_Yrly_Comparison"/>
      <sheetName val="5__BSC_Developmt"/>
      <sheetName val="CAJE_CRJE"/>
      <sheetName val="Tickmarks_"/>
      <sheetName val="취득_처분명세_반기"/>
      <sheetName val="대차대조표_(2)"/>
      <sheetName val="손익계산서_(2)"/>
      <sheetName val="주요경영지표계산_(2)"/>
      <sheetName val="잉여금,_현금흐름"/>
      <sheetName val="손익계산서_(3)"/>
      <sheetName val="폐토수익화_"/>
      <sheetName val="1995년_섹터별_매출"/>
      <sheetName val="2311_재무제표검토_Worksheet의_워크시트"/>
      <sheetName val="Excess_Calc"/>
      <sheetName val="경수97_02"/>
      <sheetName val="Balance_Sheet"/>
      <sheetName val="Income_Statement"/>
      <sheetName val="C100_LEAD"/>
      <sheetName val="월_Capa"/>
      <sheetName val="00_08계정"/>
      <sheetName val="10월_급여"/>
      <sheetName val="6월_내수"/>
      <sheetName val="6월_내수_편집"/>
      <sheetName val="01Q4_RATE"/>
      <sheetName val="97년제4기재무제표(출력)_xls"/>
      <sheetName val="가_인건비산출근거(관리직급여표)"/>
      <sheetName val="나_인건비산출근거(운영직급여표)"/>
      <sheetName val="1_05고객별_담당자"/>
      <sheetName val="명세서"/>
      <sheetName val="보증금"/>
      <sheetName val="현금"/>
      <sheetName val="TB(PL)"/>
      <sheetName val="TB(BS)"/>
      <sheetName val="주간계획"/>
      <sheetName val="產能"/>
      <sheetName val="料費2"/>
      <sheetName val="分攤2"/>
      <sheetName val="比較2"/>
      <sheetName val="계DATA"/>
      <sheetName val="실DATA "/>
      <sheetName val="신선데이터"/>
      <sheetName val="B-III"/>
      <sheetName val="제조원가"/>
      <sheetName val="2-2_매출분석"/>
      <sheetName val="용연"/>
      <sheetName val="경놡"/>
      <sheetName val="매출"/>
      <sheetName val="UNDELIVERED-FR WH-HK"/>
      <sheetName val="ThFilmRental"/>
      <sheetName val="Instructions"/>
      <sheetName val="07월"/>
      <sheetName val="03"/>
      <sheetName val="05"/>
      <sheetName val="외화금융(97-03)"/>
      <sheetName val="Local Purchase"/>
      <sheetName val="CaratPrévisions "/>
      <sheetName val="CaratRM99Division "/>
      <sheetName val="CaratRMDivision"/>
      <sheetName val="CaratRSBDivision"/>
      <sheetName val="pplay load"/>
      <sheetName val="GUDV- Aug"/>
      <sheetName val="NI"/>
      <sheetName val="ROI"/>
      <sheetName val="Budget"/>
      <sheetName val="NAMES by Mgr"/>
      <sheetName val="투자비"/>
      <sheetName val="조성원가DATA"/>
      <sheetName val="사업비"/>
      <sheetName val="과목코드"/>
      <sheetName val="부서코드"/>
      <sheetName val="입력자"/>
      <sheetName val="특정예금"/>
      <sheetName val="시험연구비상각"/>
      <sheetName val="관련부서"/>
      <sheetName val="재무가정및요약"/>
      <sheetName val="투찰금액"/>
      <sheetName val="공통"/>
      <sheetName val="실행철강하도"/>
      <sheetName val="은행조회서"/>
      <sheetName val="2공구하도급내역서"/>
      <sheetName val="기타의투자자산"/>
      <sheetName val="장기대여금"/>
      <sheetName val="배치1"/>
      <sheetName val="당기추가완료"/>
      <sheetName val="출금실적"/>
      <sheetName val="손익추정(관리기준)"/>
      <sheetName val="용수량(생활용수)"/>
      <sheetName val="1"/>
      <sheetName val="BOM"/>
      <sheetName val="기초데이터"/>
      <sheetName val="승격기준참조"/>
      <sheetName val="Comp01"/>
      <sheetName val="조명시설"/>
      <sheetName val="설계내역2"/>
      <sheetName val="노임이"/>
      <sheetName val="금액"/>
      <sheetName val="기초입력 DATA"/>
      <sheetName val="요율"/>
      <sheetName val="연결분개(거래.Ʉ"/>
      <sheetName val="ʉ"/>
      <sheetName val="LOOKUP"/>
      <sheetName val="일일실적"/>
      <sheetName val="대구은행"/>
      <sheetName val="97KJIST"/>
      <sheetName val="토목주소"/>
      <sheetName val="데이터유효성목록"/>
      <sheetName val="ﾘｽﾄ"/>
      <sheetName val="재무가정"/>
      <sheetName val="계획시간"/>
      <sheetName val="정보"/>
      <sheetName val="부서별공수"/>
      <sheetName val="투입공수"/>
      <sheetName val="생산"/>
      <sheetName val="자재재고"/>
      <sheetName val="재공재고"/>
      <sheetName val="품질현황-보류"/>
      <sheetName val="BOQ_vts"/>
      <sheetName val="갑지"/>
      <sheetName val="실행"/>
      <sheetName val="시흥면세"/>
      <sheetName val="연차현황"/>
      <sheetName val="지성학원"/>
      <sheetName val="ILBAN"/>
      <sheetName val="Stock Div Accural"/>
      <sheetName val="K - FA Tax"/>
      <sheetName val="1500-000-00"/>
      <sheetName val="1000"/>
      <sheetName val="Pile径1m･27"/>
      <sheetName val="공종단가"/>
      <sheetName val="관계회사거래내역및 채권채무잔액 99"/>
      <sheetName val="CAL"/>
      <sheetName val="기본자료"/>
      <sheetName val="국내조달(통합-1)"/>
      <sheetName val="연결임시"/>
      <sheetName val="일산실행내역"/>
      <sheetName val="내역_FILE"/>
      <sheetName val="2. 공원조도"/>
      <sheetName val="carryover"/>
      <sheetName val="T진도"/>
      <sheetName val="GRAPH"/>
      <sheetName val="INFORM"/>
      <sheetName val="수_x0000__x0000_"/>
      <sheetName val="수밀뵀"/>
      <sheetName val="Data Input"/>
      <sheetName val="관급_File"/>
      <sheetName val="유형자산증감"/>
      <sheetName val="TOT"/>
      <sheetName val="Ⅰ-1"/>
      <sheetName val="주요비율-낙관"/>
      <sheetName val="6.STIC"/>
      <sheetName val="hmsim"/>
      <sheetName val="Tech Expense Original"/>
      <sheetName val="지급어음(일별)"/>
      <sheetName val="US Codes"/>
      <sheetName val="제안서입력"/>
      <sheetName val="자산"/>
      <sheetName val="RAW"/>
      <sheetName val="재무제표"/>
      <sheetName val="원가"/>
      <sheetName val="기본데이타"/>
      <sheetName val="2.상각보정명세"/>
      <sheetName val="국외감가상각내역0103"/>
      <sheetName val="FINAL"/>
      <sheetName val="Id"/>
      <sheetName val="Intro2"/>
      <sheetName val="공정분류"/>
      <sheetName val="보험금"/>
      <sheetName val="계수원본(99.2.28)"/>
      <sheetName val="채권조회서 Roll-forward test"/>
      <sheetName val="개산공사비"/>
      <sheetName val="일보.확정"/>
      <sheetName val="월보.확정"/>
      <sheetName val="여신"/>
      <sheetName val="수신"/>
      <sheetName val="8_1_2_소스"/>
      <sheetName val="13_소스"/>
      <sheetName val="13_1소스"/>
      <sheetName val="固产04 old"/>
      <sheetName val="索引"/>
      <sheetName val="NYS"/>
      <sheetName val="배서어음명세서"/>
      <sheetName val="Inc. St. A"/>
      <sheetName val="Balance Sheet(2005)"/>
      <sheetName val="Net Profit"/>
      <sheetName val="2004 SAD#13 Supporting"/>
      <sheetName val="손익계산서_raw_data4"/>
      <sheetName val="14_광주_원가배부Ⅲ5"/>
      <sheetName val="7_31_(2)4"/>
      <sheetName val="손익분기점_데이터5"/>
      <sheetName val="제조원가계산서_(2)4"/>
      <sheetName val="퇴직급여02_(2)4"/>
      <sheetName val="부서별손익_(부)4"/>
      <sheetName val="24_보증금(전신전화가입권)5"/>
      <sheetName val="E_LEAD4"/>
      <sheetName val="1차_매출원가4"/>
      <sheetName val="13_공제수익,_14__공제비용4"/>
      <sheetName val="4_대출금이자계산4"/>
      <sheetName val="2_부문별추정손익4"/>
      <sheetName val="9_신용기타비용4"/>
      <sheetName val="8_신용기타수익4"/>
      <sheetName val="1_연말추정사업4"/>
      <sheetName val="5_예수금이자계산4"/>
      <sheetName val="7_예치금이자계산4"/>
      <sheetName val="15__판매관리비4"/>
      <sheetName val="3_종합자금(신용-운용)4"/>
      <sheetName val="3-3_조달(일반)4"/>
      <sheetName val="17_교육지원__법인세4"/>
      <sheetName val="6_차입금이자계산4"/>
      <sheetName val="코스모공장_(어음)4"/>
      <sheetName val="2_대외공문4"/>
      <sheetName val="list_prices4"/>
      <sheetName val="A_(3)4"/>
      <sheetName val="신고서_전4"/>
      <sheetName val="25_보증금(임차보증금외)4"/>
      <sheetName val="A410~A420_검토정산표4"/>
      <sheetName val="6_국내BW4"/>
      <sheetName val="Korea_Sign-Internal4"/>
      <sheetName val="control_sheet4"/>
      <sheetName val="Customer_Databas4"/>
      <sheetName val="1_외주공사4"/>
      <sheetName val="2_직영공사4"/>
      <sheetName val="Analysis_WR_14"/>
      <sheetName val="3__BSC_NC_ratio4"/>
      <sheetName val="00년_계획전망4"/>
      <sheetName val="Initial_Input_Variable4"/>
      <sheetName val="Sheet2_(2)2"/>
      <sheetName val="INST_TABLECOVER2"/>
      <sheetName val="양식(최종)_(2)2"/>
      <sheetName val="임직원_기본인사사항4"/>
      <sheetName val="06년예상보험료_(2)2"/>
      <sheetName val="17_공제수익비용2"/>
      <sheetName val="20_교육지원비,법인세2"/>
      <sheetName val="21_대손충당금2"/>
      <sheetName val="4_매출액2"/>
      <sheetName val="5_매출원가2"/>
      <sheetName val="1_사업2"/>
      <sheetName val="2-1_신용손익2"/>
      <sheetName val="2-2_일반손익2"/>
      <sheetName val="6_수탁수수료2"/>
      <sheetName val="16_신용기타비용2"/>
      <sheetName val="15_신용기타수익2"/>
      <sheetName val="11_신용기타이자2"/>
      <sheetName val="3_운용(신용)2"/>
      <sheetName val="3-1_운용(일반)2"/>
      <sheetName val="14_예치금유가증권이자2"/>
      <sheetName val="9_일반기타비용2"/>
      <sheetName val="8_일반기타수익2"/>
      <sheetName val="7_일반수수료2"/>
      <sheetName val="18_판관비2"/>
      <sheetName val="19_판매경비2"/>
      <sheetName val="108_수선비3"/>
      <sheetName val="시실누(모)_2"/>
      <sheetName val="1_육계매출_Overall_Test2"/>
      <sheetName val="2_육가공매출_Overall_Test2"/>
      <sheetName val="조회서송부_LIST2"/>
      <sheetName val="조회서_(2)2"/>
      <sheetName val="조회서_(3)2"/>
      <sheetName val="조회서_(4)2"/>
      <sheetName val="조회서_(5)2"/>
      <sheetName val="조회서_(6)2"/>
      <sheetName val="특정현금과_예금2"/>
      <sheetName val="4b_Consolidated_PL2"/>
      <sheetName val="Sheet1_(3)2"/>
      <sheetName val="Back_Data_12"/>
      <sheetName val="Ship_Advice1"/>
      <sheetName val="2-1_제품군별계획대비실적(B_A)1"/>
      <sheetName val="Bs__de_Uso_20021"/>
      <sheetName val="prov_locales1"/>
      <sheetName val="118_세금과공과1"/>
      <sheetName val="인건비_내역서1"/>
      <sheetName val="10고객별_담당자1"/>
      <sheetName val="g__Rent_Roll1"/>
      <sheetName val="97년제4기재무제표(출력)_xls1"/>
      <sheetName val="외상매출금_합계표(조회서_refer)_1"/>
      <sheetName val="대체적인_절차_refer(외상매출금)1"/>
      <sheetName val="받을어음_합계표(조회서_refer)1"/>
      <sheetName val="현금및현금등가물_(총괄)1"/>
      <sheetName val="현금및현금등가물_(서울)1"/>
      <sheetName val="현금및현금등가물_(부산)1"/>
      <sheetName val="발행TEST_(2)1"/>
      <sheetName val="연결분개(거래_채권채무)_(2)2"/>
      <sheetName val="연결분개(거래_채권채무)2"/>
      <sheetName val="만기_(2)2"/>
      <sheetName val="7__2_1"/>
      <sheetName val="7_(2)1"/>
      <sheetName val="P50_subsequent1"/>
      <sheetName val="(참고)개인별_임금인상안1"/>
      <sheetName val="(참고)DC형_선택자_퇴직금_추계1"/>
      <sheetName val="할증_1"/>
      <sheetName val="Significant_Processes1"/>
      <sheetName val="2_21"/>
      <sheetName val="2_2_Yrly_Comparison1"/>
      <sheetName val="5__BSC_Developmt1"/>
      <sheetName val="CAJE_CRJE1"/>
      <sheetName val="Tickmarks_1"/>
      <sheetName val="취득_처분명세_반기1"/>
      <sheetName val="대차대조표_(2)1"/>
      <sheetName val="손익계산서_(2)1"/>
      <sheetName val="주요경영지표계산_(2)1"/>
      <sheetName val="잉여금,_현금흐름1"/>
      <sheetName val="손익계산서_(3)1"/>
      <sheetName val="폐토수익화_1"/>
      <sheetName val="1995년_섹터별_매출1"/>
      <sheetName val="2311_재무제표검토_Worksheet의_워크시트1"/>
      <sheetName val="Excess_Calc1"/>
      <sheetName val="경수97_021"/>
      <sheetName val="Balance_Sheet1"/>
      <sheetName val="Income_Statement1"/>
      <sheetName val="C100_LEAD1"/>
      <sheetName val="월_Capa1"/>
      <sheetName val="00_08계정1"/>
      <sheetName val="10월_급여1"/>
      <sheetName val="6월_내수1"/>
      <sheetName val="6월_내수_편집1"/>
      <sheetName val="scale_&amp;_Income"/>
      <sheetName val="1_05고객별_담당자1"/>
      <sheetName val="01Q4_RATE1"/>
      <sheetName val="가_인건비산출근거(관리직급여표)1"/>
      <sheetName val="나_인건비산출근거(운영직급여표)1"/>
      <sheetName val="2-2_매출분석1"/>
      <sheetName val="BAL_(TTL)"/>
      <sheetName val="UNDELIVERED-FR_WH-HK"/>
      <sheetName val="Local_Purchase"/>
      <sheetName val="CaratPrévisions_"/>
      <sheetName val="CaratRM99Division_"/>
      <sheetName val="pplay_load"/>
      <sheetName val="GUDV-_Aug"/>
      <sheetName val="NAMES_by_Mgr"/>
      <sheetName val="실DATA_"/>
      <sheetName val="어음교부신청누적"/>
      <sheetName val="Initial_Input_V_x0000__x0000__x0005__x0000_ꌠ⦃ŋ"/>
      <sheetName val="Initial_Input_V_x0000__x0000__x0005__x0000_㣰㎑ŋ"/>
      <sheetName val="대상(22)"/>
      <sheetName val="양식3"/>
      <sheetName val="조경"/>
      <sheetName val="광고"/>
      <sheetName val="공통사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>
        <row r="2">
          <cell r="B2" t="str">
            <v>한일산업주식회사</v>
          </cell>
        </row>
      </sheetData>
      <sheetData sheetId="1073"/>
      <sheetData sheetId="1074"/>
      <sheetData sheetId="1075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>
        <row r="2">
          <cell r="B2" t="str">
            <v>한일산업주식회사</v>
          </cell>
        </row>
      </sheetData>
      <sheetData sheetId="1218"/>
      <sheetData sheetId="1219"/>
      <sheetData sheetId="1220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RE"/>
      <sheetName val="SCF"/>
      <sheetName val="경영분석지표1"/>
      <sheetName val="경영분석지표2"/>
      <sheetName val="회사개황최종"/>
      <sheetName val="AHOME"/>
      <sheetName val="결재조서"/>
      <sheetName val="A1"/>
      <sheetName val="A2"/>
      <sheetName val="A5(통합)"/>
      <sheetName val="A5(본점)"/>
      <sheetName val="A5(지점)"/>
      <sheetName val="A6"/>
      <sheetName val="A14-2(통합)"/>
      <sheetName val="A14-2(본점)"/>
      <sheetName val="A14-2(지점)"/>
      <sheetName val="A14-3(통합)"/>
      <sheetName val="A14-3(본점)"/>
      <sheetName val="A14-3(지점)"/>
      <sheetName val="A1.7"/>
      <sheetName val="주석HOME"/>
      <sheetName val="주석1"/>
      <sheetName val="주석2"/>
      <sheetName val="C"/>
      <sheetName val="C(1)"/>
      <sheetName val="D"/>
      <sheetName val="E1"/>
      <sheetName val="E2"/>
      <sheetName val="F"/>
      <sheetName val="G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C3" t="str">
            <v>레이젠주식회사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부별매출"/>
      <sheetName val="선급비용"/>
      <sheetName val="원장"/>
      <sheetName val="절대지우지말것"/>
      <sheetName val="대전"/>
      <sheetName val="WPL"/>
      <sheetName val="24.보증금(전신전화가입권)"/>
      <sheetName val="10월급여"/>
      <sheetName val="9월 급여"/>
      <sheetName val="금융"/>
      <sheetName val="은행"/>
      <sheetName val="리스"/>
      <sheetName val="보험"/>
      <sheetName val="거래처전산코드"/>
      <sheetName val="종기실공문"/>
      <sheetName val="기초수불"/>
      <sheetName val="부산"/>
      <sheetName val="4b Consolidated PL"/>
      <sheetName val="OP COST"/>
      <sheetName val="보험금"/>
      <sheetName val="자재(원원+원대)"/>
      <sheetName val="95년실적"/>
      <sheetName val="Assumptions"/>
      <sheetName val="원재료이름표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매출총괄"/>
      <sheetName val="임테블"/>
      <sheetName val="매출현황(월별)  (2)"/>
      <sheetName val="원가기준정보"/>
      <sheetName val="원가배부작업시간"/>
      <sheetName val="유가증권미수"/>
      <sheetName val="Sheet1"/>
      <sheetName val="수정사항집계표"/>
      <sheetName val="지점장"/>
      <sheetName val="총괄표"/>
      <sheetName val="회사정보"/>
      <sheetName val="참고(3)고정비"/>
      <sheetName val="Sheet6"/>
      <sheetName val="국산화"/>
      <sheetName val="제조부문배부"/>
      <sheetName val="1-11조직표"/>
      <sheetName val="영업소실적"/>
      <sheetName val="#REF"/>
      <sheetName val="입찰"/>
      <sheetName val="현경"/>
      <sheetName val="2000년1차"/>
      <sheetName val="공통"/>
      <sheetName val="연불채권"/>
      <sheetName val="첨"/>
      <sheetName val="시장성초안camera"/>
      <sheetName val="목차"/>
      <sheetName val="금액순"/>
      <sheetName val="변수"/>
      <sheetName val="데리네이타현황"/>
      <sheetName val="안산기계장치"/>
      <sheetName val="4.명세표"/>
      <sheetName val="Data&amp;Result"/>
      <sheetName val="Sensitivity"/>
      <sheetName val="토지(열람)"/>
      <sheetName val="화해(함평)"/>
      <sheetName val="화해(장성)"/>
      <sheetName val="대차대조표"/>
      <sheetName val="식재인부"/>
      <sheetName val="DATE"/>
      <sheetName val="개별지가"/>
      <sheetName val="양식3"/>
      <sheetName val="임대장비현황"/>
      <sheetName val="지우면3년재수없슴"/>
      <sheetName val="기초일위"/>
      <sheetName val="시설일위"/>
      <sheetName val="조명일위"/>
      <sheetName val="계정code"/>
      <sheetName val="정의"/>
      <sheetName val="재고현황"/>
      <sheetName val="포장재 재고"/>
      <sheetName val="매출"/>
      <sheetName val="전월매출"/>
      <sheetName val="96년매출"/>
      <sheetName val="96년매출(상반기)"/>
      <sheetName val="95년매출"/>
      <sheetName val="계정과목"/>
      <sheetName val="년간데이타"/>
      <sheetName val="수입2"/>
      <sheetName val="회사BS"/>
      <sheetName val="Assumption"/>
      <sheetName val="manpower"/>
      <sheetName val="공항,제주 판매율 분석"/>
      <sheetName val="POS (2)"/>
      <sheetName val="2호"/>
      <sheetName val="제품수불(대체)"/>
      <sheetName val="원재료입력"/>
      <sheetName val="총제품수불"/>
      <sheetName val="제품입력"/>
      <sheetName val="상불"/>
      <sheetName val="수정시산표"/>
      <sheetName val="MH_생산"/>
      <sheetName val="fnc"/>
      <sheetName val="Ctrl"/>
      <sheetName val="98상품수불(기초)"/>
      <sheetName val="제품수불 (기초)"/>
      <sheetName val="98제품수불부"/>
      <sheetName val="Disclosure"/>
      <sheetName val="Int-Invst"/>
      <sheetName val="장기차입금"/>
      <sheetName val="hmsim"/>
      <sheetName val="재고자산미실현이익제거"/>
      <sheetName val="비품(94이전)"/>
      <sheetName val="XREF"/>
      <sheetName val="기초데이타"/>
      <sheetName val="뒤차축소"/>
      <sheetName val="zz"/>
      <sheetName val="출금실적"/>
      <sheetName val="업무연락"/>
      <sheetName val="7월급여"/>
      <sheetName val="업장현황"/>
      <sheetName val="지급액"/>
      <sheetName val="인원(0205)"/>
      <sheetName val="수수료산출용"/>
      <sheetName val="지장물조서"/>
      <sheetName val="토지조서"/>
      <sheetName val="상가매매0115"/>
      <sheetName val="상가임대0115"/>
      <sheetName val="99선급비용"/>
      <sheetName val="강원리스트"/>
      <sheetName val="전문직"/>
      <sheetName val="인턴사원"/>
      <sheetName val="Sheet2"/>
      <sheetName val="장할생활 (2)"/>
      <sheetName val="개발담당자 "/>
      <sheetName val="종합2"/>
      <sheetName val="May."/>
      <sheetName val="생산실적"/>
      <sheetName val="9-1차이내역"/>
      <sheetName val="계정분류"/>
      <sheetName val="건보식방판"/>
      <sheetName val="Receipt Class,Method"/>
      <sheetName val="Inputs"/>
      <sheetName val="민감도"/>
      <sheetName val="7-2.고정비 세부편성근거"/>
      <sheetName val="Sheet4"/>
      <sheetName val="계정잔액"/>
      <sheetName val="월별수입"/>
      <sheetName val="월간인력"/>
      <sheetName val="인력소요계획"/>
      <sheetName val="AA ROUT "/>
      <sheetName val="HH ROUT"/>
      <sheetName val="WP"/>
      <sheetName val="경영재무 (입력)"/>
      <sheetName val="생산현황 (입력)"/>
      <sheetName val="연구개발 (입력)"/>
      <sheetName val="일반현황 (입력)"/>
      <sheetName val="품질관리 (입력)"/>
      <sheetName val="투자자본상계"/>
      <sheetName val="1 자원총괄"/>
      <sheetName val="조회서"/>
      <sheetName val="BM_NEW2"/>
      <sheetName val="P3"/>
      <sheetName val="제조원가명세서"/>
      <sheetName val="배합표"/>
      <sheetName val="부문손익"/>
      <sheetName val="Prices"/>
      <sheetName val="VOL1"/>
      <sheetName val="경영목표총괄"/>
      <sheetName val="호봉표"/>
      <sheetName val="2주방판"/>
      <sheetName val="구분"/>
      <sheetName val="ABUT수량-A1"/>
      <sheetName val="산출기초표"/>
      <sheetName val="비준표"/>
      <sheetName val="표지"/>
      <sheetName val="교대시점"/>
      <sheetName val="이름표"/>
      <sheetName val="부구"/>
      <sheetName val="이매"/>
      <sheetName val="입력장표"/>
      <sheetName val="전체아이디어현황"/>
      <sheetName val="주요이슈"/>
      <sheetName val="1"/>
      <sheetName val="PV"/>
      <sheetName val="商品Ｍ"/>
      <sheetName val="標準原価計"/>
      <sheetName val="제품정보"/>
      <sheetName val="월보.확정"/>
      <sheetName val="그림모음"/>
      <sheetName val="매입매출(입력)"/>
      <sheetName val="인원현황총괄"/>
      <sheetName val="품의양식"/>
      <sheetName val="세금자료"/>
      <sheetName val="지성학원"/>
      <sheetName val="ILBAN"/>
      <sheetName val="CSP원자재"/>
      <sheetName val="참고"/>
      <sheetName val="2000제조1"/>
      <sheetName val="급여"/>
      <sheetName val="00퇴직급여충당금"/>
      <sheetName val="213"/>
      <sheetName val="Inv. LS"/>
      <sheetName val="관리대장"/>
      <sheetName val="원시데이타"/>
      <sheetName val="TB"/>
      <sheetName val="Tickmarks"/>
      <sheetName val="controll"/>
      <sheetName val="현금"/>
      <sheetName val="설계내역서"/>
      <sheetName val="기본가정"/>
      <sheetName val="Mutasi Final"/>
      <sheetName val="Depresiasi"/>
      <sheetName val="Additional"/>
      <sheetName val="25.보증금(임차보증금외)"/>
      <sheetName val="이익계획 요약1"/>
      <sheetName val="재조달원가"/>
      <sheetName val="사입율"/>
      <sheetName val="1월"/>
      <sheetName val="base"/>
      <sheetName val="Sheet5"/>
      <sheetName val="성과급지급기준"/>
      <sheetName val="경비예산"/>
      <sheetName val="생산성(2차)"/>
      <sheetName val="요약(1차)"/>
      <sheetName val="인원"/>
      <sheetName val="기초코드"/>
      <sheetName val="법인유형코드"/>
      <sheetName val="지급율"/>
      <sheetName val="2.대외공문"/>
      <sheetName val="최근결산기준"/>
      <sheetName val="대여현황"/>
      <sheetName val="자료"/>
      <sheetName val="인원계획-미화"/>
      <sheetName val="G.R300경비"/>
      <sheetName val="기계경비(시간당)"/>
      <sheetName val="램머"/>
      <sheetName val="실행내역"/>
      <sheetName val="내역서"/>
      <sheetName val="시점교대"/>
      <sheetName val="DATA 입력부"/>
      <sheetName val="상반기손익차2총괄"/>
      <sheetName val="분양설계데이타"/>
      <sheetName val="기초목"/>
      <sheetName val="DATA"/>
      <sheetName val="대조1"/>
      <sheetName val="작업명부"/>
      <sheetName val="산출의견"/>
      <sheetName val="포장재료집계표"/>
      <sheetName val="포장면적산출"/>
      <sheetName val="포장수량집계"/>
      <sheetName val="설치비"/>
      <sheetName val="필지별"/>
      <sheetName val="말뚝지지력산정"/>
      <sheetName val="표"/>
      <sheetName val="이식비품셈"/>
      <sheetName val="5131"/>
      <sheetName val="생산일보 (수)"/>
      <sheetName val="퇴직충당금(3.31)(국문)"/>
      <sheetName val="원가명세"/>
      <sheetName val="◀-▶"/>
      <sheetName val="Learning"/>
      <sheetName val="자산가치"/>
      <sheetName val="Macro1"/>
      <sheetName val="SA"/>
      <sheetName val="4.경비 5.영업외수지"/>
      <sheetName val="종가"/>
      <sheetName val="01반기조정감"/>
      <sheetName val="01반기조정증"/>
      <sheetName val="03년3Q누계급여"/>
      <sheetName val="KA021901"/>
      <sheetName val="환율시트"/>
      <sheetName val="제품코드"/>
      <sheetName val="청구내역서지급5"/>
      <sheetName val="검색"/>
      <sheetName val="노임이"/>
      <sheetName val="손익계산서"/>
      <sheetName val="지급어음(일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부별매출"/>
      <sheetName val="매출"/>
      <sheetName val="전월매출"/>
      <sheetName val="96년매출"/>
      <sheetName val="96년매출(상반기)"/>
      <sheetName val="95년매출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년령분석표(02년)"/>
      <sheetName val="지역별"/>
      <sheetName val="Condition"/>
      <sheetName val="LAN HW"/>
      <sheetName val="절대지우지말것"/>
      <sheetName val="기준 Factor"/>
      <sheetName val="5131"/>
      <sheetName val="분개장"/>
      <sheetName val="제조1과일일경영"/>
      <sheetName val="매출채권"/>
      <sheetName val="재고자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모집단"/>
      <sheetName val="차이파악&amp;중요성"/>
      <sheetName val="조회거래처"/>
      <sheetName val="조회거래처연락처"/>
      <sheetName val="EE Lead"/>
      <sheetName val="Roll"/>
      <sheetName val="투자유가증권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력메뉴"/>
      <sheetName val="입력메뉴"/>
      <sheetName val="입력창"/>
      <sheetName val="입력_채권위험기초(개별)"/>
      <sheetName val="입력_채권위험기초(일반)"/>
      <sheetName val="입력_주식전체"/>
      <sheetName val="입력_주식담배인삼SK증권"/>
      <sheetName val="입력_주식종기출자"/>
      <sheetName val="입력_주식벤쳐"/>
      <sheetName val="입력_DOTM산정자료"/>
      <sheetName val="결과_DOTM위험액"/>
      <sheetName val="입력_거래상대방위험중기일경과분"/>
      <sheetName val="입력_RP위험계산"/>
      <sheetName val="입력_증권매매자료"/>
      <sheetName val="입력_부동산종합"/>
      <sheetName val="입력_부동산장부가액"/>
      <sheetName val="입력_부동산임차보증금"/>
      <sheetName val="입력_합숙소임차보증금"/>
      <sheetName val="입력_신용집중차감금액"/>
      <sheetName val="입력_금월PL"/>
      <sheetName val="입력_기초위험자료"/>
      <sheetName val="입력_기초위험자료(신탁형)"/>
      <sheetName val="입력_신탁형계정원장(90009)"/>
      <sheetName val="입력_신탁형계정원장(90000)"/>
      <sheetName val="입력_채권매매미수금"/>
      <sheetName val="결과_영업용대차대조표"/>
      <sheetName val="입력_금월BS"/>
      <sheetName val="자금회계_장기주식"/>
      <sheetName val="자금회계_회사채"/>
      <sheetName val="자금회계_cp"/>
      <sheetName val="미매각구성"/>
      <sheetName val="산출_1순자본비율"/>
      <sheetName val="산출_2순자본"/>
      <sheetName val="산출_3총위험"/>
      <sheetName val="산출_4산정방식"/>
      <sheetName val="부속_1순자본차감항목"/>
      <sheetName val="부속_2순자본가산항목"/>
      <sheetName val="부속_3채권포지션위험"/>
      <sheetName val="부속_4주식포지션위험"/>
      <sheetName val="부속_5수익증권포지션위험"/>
      <sheetName val="부속_5_1_수익증권자산분해(단독펀드)"/>
      <sheetName val="부속_6인수위험"/>
      <sheetName val="부속_7외환위험"/>
      <sheetName val="부속_8옵션위험"/>
      <sheetName val="부속_9거래상대방위험세부내역"/>
      <sheetName val="부속_10거래상대방위험(보증)"/>
      <sheetName val="부속_11기초위험"/>
      <sheetName val="부속_12주식보유집중위험"/>
      <sheetName val="부속_13신용공여집중위험액"/>
      <sheetName val="시트명"/>
      <sheetName val="Sheet1"/>
      <sheetName val="bscode"/>
      <sheetName val="plcode"/>
      <sheetName val="Module1"/>
      <sheetName val="2담배인삼"/>
      <sheetName val="3종기팀출자주식"/>
      <sheetName val="부동산입력"/>
      <sheetName val="조회거래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급"/>
      <sheetName val="입금"/>
      <sheetName val="당좌"/>
      <sheetName val="보통"/>
      <sheetName val="11월간자금"/>
      <sheetName val="현황"/>
      <sheetName val="현황 (2)"/>
      <sheetName val="시재"/>
      <sheetName val="수익증권포지션위험"/>
      <sheetName val="채권포지션위험"/>
      <sheetName val="4담보주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월 원료수송비-최종"/>
      <sheetName val="4월 원료수송비"/>
      <sheetName val="검사병원 입고현황"/>
      <sheetName val="월별입고현황"/>
      <sheetName val="일일입고내역"/>
      <sheetName val="업체현황"/>
      <sheetName val="병원현황"/>
      <sheetName val="구분목록"/>
      <sheetName val="검사병원 현황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업체명</v>
          </cell>
        </row>
      </sheetData>
      <sheetData sheetId="6"/>
      <sheetData sheetId="7"/>
      <sheetData sheetId="8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대maker영업실적(91-94)"/>
      <sheetName val="95년도 신제품"/>
      <sheetName val="1996-2000년 판매계획"/>
      <sheetName val="1996-2000년 영업본부 계획"/>
      <sheetName val="1996-2000년 영업계획 + 70억"/>
      <sheetName val="1995년 섹터별 매출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31"/>
      <sheetName val="03.31"/>
      <sheetName val="04.30"/>
      <sheetName val="05.31"/>
      <sheetName val="06.30"/>
      <sheetName val="07.31"/>
      <sheetName val="08.30"/>
      <sheetName val="09.30"/>
      <sheetName val="10.31"/>
      <sheetName val="11.30"/>
      <sheetName val="Sheet2"/>
      <sheetName val="회계감사2000말"/>
      <sheetName val="00.12.31"/>
      <sheetName val="01.01.31"/>
      <sheetName val="구분목록"/>
      <sheetName val="회사정보"/>
      <sheetName val="maccp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최초화면"/>
      <sheetName val="총괄원장"/>
      <sheetName val="관리카드"/>
      <sheetName val="연관서류"/>
      <sheetName val="기일관리"/>
      <sheetName val="민원신청기록부"/>
      <sheetName val="기일관리장"/>
      <sheetName val="주민등록신청"/>
      <sheetName val="주민등록신청(2)"/>
      <sheetName val="민원신청(대물)"/>
      <sheetName val="호적등본"/>
      <sheetName val="변제최고서"/>
      <sheetName val="Sheet2"/>
      <sheetName val="Sheet1"/>
      <sheetName val="대위최고서"/>
      <sheetName val="상속최고서"/>
      <sheetName val="어음금최고서"/>
      <sheetName val="변제최고서(일괄)"/>
      <sheetName val="대위최고서(일괄)"/>
      <sheetName val="상속최고서(일괄)"/>
      <sheetName val="어음금최고서(일괄)"/>
      <sheetName val="팩스신청"/>
      <sheetName val="민원신청(대인)"/>
      <sheetName val="회수위임증서"/>
      <sheetName val="예비자료"/>
      <sheetName val="잔액대사장"/>
      <sheetName val="완제명세"/>
      <sheetName val="전문직"/>
      <sheetName val="인턴사원"/>
      <sheetName val="매출현황(월별)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화재보험가입내역(2006년도) 전체"/>
      <sheetName val="피벗"/>
      <sheetName val="화재보험가입내역(종류별)"/>
      <sheetName val="가스"/>
      <sheetName val="보험 가입 제외"/>
      <sheetName val="총괄원장"/>
      <sheetName val="전문직"/>
      <sheetName val="인턴사원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wbs"/>
      <sheetName val="대차"/>
      <sheetName val="손익"/>
      <sheetName val="잉여금"/>
      <sheetName val="현금흐름표"/>
      <sheetName val="현금흐름작성조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정보"/>
      <sheetName val="fnc"/>
      <sheetName val="본부별매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정보"/>
    </sheetNames>
    <sheetDataSet>
      <sheetData sheetId="0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비율 "/>
      <sheetName val="수정시산표"/>
    </sheetNames>
    <sheetDataSet>
      <sheetData sheetId="0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연락"/>
      <sheetName val="경영비율 "/>
      <sheetName val="수정시산표"/>
      <sheetName val="본부별매출"/>
      <sheetName val="대차대조표"/>
      <sheetName val="손익계산서"/>
      <sheetName val="뒤차축소"/>
      <sheetName val="제품분류코드"/>
      <sheetName val="Sheet2"/>
      <sheetName val="FC-101"/>
      <sheetName val="서식지정"/>
      <sheetName val="Config"/>
      <sheetName val="주요재무비율"/>
      <sheetName val="이익잉여금처분계산서"/>
      <sheetName val="현금흐름표"/>
      <sheetName val="연락"/>
      <sheetName val="계정과목"/>
      <sheetName val="환율시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대maker영업실적(91-94)"/>
      <sheetName val="95년도 신제품"/>
      <sheetName val="1996-2000년 판매계획"/>
      <sheetName val="1996-2000년 영업본부 계획"/>
      <sheetName val="1996-2000년 영업계획 + 70억"/>
      <sheetName val="1995년 섹터별 매출"/>
      <sheetName val="자산가치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준공내역서(갑)"/>
      <sheetName val="교통대책내역"/>
    </sheetNames>
    <sheetDataSet>
      <sheetData sheetId="0" refreshError="1"/>
      <sheetData sheetId="1" refreshError="1"/>
      <sheetData sheetId="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총괄"/>
      <sheetName val="매출목표"/>
      <sheetName val="손익계획"/>
      <sheetName val="인원계획1"/>
      <sheetName val="인원계획2"/>
      <sheetName val="투자계획1"/>
      <sheetName val="투자계획2"/>
      <sheetName val="중점추진과제"/>
      <sheetName val="매출달성방안"/>
      <sheetName val="신제품계획"/>
      <sheetName val="생산성향상방안 "/>
      <sheetName val="수율향상방안"/>
      <sheetName val="수율향상방안 (2)"/>
      <sheetName val="참고(1)매출"/>
      <sheetName val="참고(2)변동비"/>
      <sheetName val="참고(3)고정비"/>
      <sheetName val="업무연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계산서(管理)"/>
      <sheetName val="대차대조표(管理)"/>
      <sheetName val="손익계산서(管理) (2)"/>
      <sheetName val="법인세비용 (2)"/>
      <sheetName val="감가상각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감가상각(원본)"/>
      <sheetName val="경영비율 "/>
      <sheetName val="일위대가(계측기설치)"/>
      <sheetName val="#2 BSPL"/>
      <sheetName val="96수표어음"/>
      <sheetName val="대차대조"/>
      <sheetName val="품종별월계"/>
      <sheetName val="해당월"/>
      <sheetName val="재공품"/>
      <sheetName val="이자율"/>
      <sheetName val="정산표"/>
      <sheetName val="공정가치"/>
      <sheetName val="기안"/>
      <sheetName val="재무제표"/>
      <sheetName val="작업일보"/>
      <sheetName val="주식적수"/>
      <sheetName val="마감분석"/>
      <sheetName val="업체별재고금액"/>
      <sheetName val="분개장·원장"/>
      <sheetName val="제조원가"/>
      <sheetName val="재고자산명세"/>
      <sheetName val="완성차 미수금"/>
      <sheetName val="Assumption"/>
      <sheetName val="보험금"/>
      <sheetName val="1월"/>
      <sheetName val="투자자산"/>
      <sheetName val="대손상각"/>
      <sheetName val="외상매출금"/>
      <sheetName val="받을어음"/>
      <sheetName val="산업은행 경영지표"/>
      <sheetName val="본사재고"/>
      <sheetName val="제품구분"/>
      <sheetName val="요약"/>
      <sheetName val="일반(본사)"/>
      <sheetName val="일반(의성)"/>
      <sheetName val="미수금(공동공사비)"/>
      <sheetName val="회사정보"/>
      <sheetName val="본사감가상각대장(비품)"/>
      <sheetName val="손익계산서(管理)"/>
      <sheetName val="표2"/>
      <sheetName val="조흥은행"/>
      <sheetName val="확인서"/>
      <sheetName val="건설가"/>
      <sheetName val="치약_v011223"/>
      <sheetName val="data"/>
      <sheetName val="기타"/>
      <sheetName val="총괄표"/>
      <sheetName val="S1.1총괄"/>
      <sheetName val="수입"/>
      <sheetName val="품질현황-보류"/>
      <sheetName val="외화금융(97-03)"/>
      <sheetName val="주요비율-낙관"/>
      <sheetName val="Ⅰ-1"/>
      <sheetName val="대차,손익"/>
      <sheetName val="대차대조표"/>
      <sheetName val="F-1,2"/>
      <sheetName val="평가제외"/>
      <sheetName val="수선비"/>
      <sheetName val="현지법인 대손설정"/>
      <sheetName val="Packaging cost Back Data"/>
      <sheetName val="COVER-P"/>
      <sheetName val="관계주식"/>
      <sheetName val="재공품(3)"/>
      <sheetName val="표준원가표(2)"/>
      <sheetName val="ls"/>
      <sheetName val="퇴직충당금(3.31)(국문)"/>
      <sheetName val="대차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품셈TABLE"/>
      <sheetName val="부산9503"/>
      <sheetName val="민감도"/>
      <sheetName val="평가예상(200308)"/>
      <sheetName val="XREF"/>
      <sheetName val="명세"/>
      <sheetName val="XXXXXX"/>
      <sheetName val="목차본문"/>
      <sheetName val="확정BS"/>
      <sheetName val="확정IS"/>
      <sheetName val="결손금(안)"/>
      <sheetName val="현금흐름"/>
      <sheetName val="현금흐름표"/>
      <sheetName val="주석"/>
      <sheetName val="부속명세서"/>
      <sheetName val="매출액(명) "/>
      <sheetName val="매출원가(명)"/>
      <sheetName val="경영표지"/>
      <sheetName val="영업사항"/>
      <sheetName val="대주주"/>
      <sheetName val="작업통제용"/>
      <sheetName val="매출.물동명세"/>
      <sheetName val="코드"/>
      <sheetName val="총괄"/>
      <sheetName val="본사"/>
      <sheetName val="개인법인구분"/>
      <sheetName val="지점장"/>
      <sheetName val="Sheet1"/>
      <sheetName val="호봉표"/>
      <sheetName val="13.보증금(전신전화가입권)"/>
      <sheetName val="삼화95"/>
      <sheetName val="담당자"/>
      <sheetName val="95WBS"/>
      <sheetName val="시작"/>
      <sheetName val="현금"/>
      <sheetName val="이름표"/>
      <sheetName val="손익계산서"/>
      <sheetName val="이익잉여금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경영분석"/>
      <sheetName val="총괄원가"/>
      <sheetName val="경영분석산식(참고)"/>
      <sheetName val="DB"/>
      <sheetName val="TAL"/>
      <sheetName val="주관사업"/>
      <sheetName val="용역원가명세서"/>
      <sheetName val="추가예산"/>
      <sheetName val="구동"/>
      <sheetName val="경비공통"/>
      <sheetName val="이익잉여금처분계산서"/>
      <sheetName val="sap`04.7.14"/>
      <sheetName val="발생집계"/>
      <sheetName val="97년"/>
      <sheetName val="현장"/>
      <sheetName val="9706"/>
      <sheetName val="성적표96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AR"/>
      <sheetName val="총괄분석적검토"/>
      <sheetName val="Sheet2"/>
      <sheetName val="주요ISSUE 사항"/>
      <sheetName val="무형자산"/>
      <sheetName val="부서자료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적심사표"/>
      <sheetName val="월할경비"/>
      <sheetName val="부서별공수"/>
      <sheetName val="투입공수"/>
      <sheetName val="생산"/>
      <sheetName val="자재재고"/>
      <sheetName val="재공재고"/>
      <sheetName val="보빈규격"/>
      <sheetName val="출입자명단"/>
      <sheetName val="보증금(전신전화가입권)"/>
      <sheetName val="보정후BS"/>
      <sheetName val="사원명부"/>
      <sheetName val="10.31"/>
      <sheetName val="LIST"/>
      <sheetName val="계정과목"/>
      <sheetName val="환율시트"/>
      <sheetName val="회사전체"/>
      <sheetName val="공동"/>
      <sheetName val="단독"/>
      <sheetName val="Total"/>
      <sheetName val="건설중인"/>
      <sheetName val="WorksheetSettings"/>
      <sheetName val="Details"/>
      <sheetName val="업무분장 "/>
      <sheetName val="99퇴직"/>
      <sheetName val="갑지(추정)"/>
      <sheetName val="경영혁신본부"/>
      <sheetName val="IDONG"/>
      <sheetName val="감가상각"/>
      <sheetName val="총물량"/>
      <sheetName val="YTD Sales(0411)"/>
      <sheetName val="3.판관비명세서"/>
      <sheetName val="WPL"/>
      <sheetName val="기본자료"/>
      <sheetName val="법인구분"/>
      <sheetName val="기초코드"/>
      <sheetName val="Sheet11"/>
      <sheetName val="세부pl"/>
      <sheetName val="수익성분석"/>
      <sheetName val="제조원가명세서"/>
      <sheetName val="외상매출금현황-수정분 A2"/>
      <sheetName val="PAN"/>
      <sheetName val="보정전BS(세분류)"/>
      <sheetName val="입력자료"/>
      <sheetName val="Code"/>
      <sheetName val="Menu_Link"/>
      <sheetName val="basic_info"/>
      <sheetName val="원가율"/>
      <sheetName val="TSCLFEB"/>
      <sheetName val="계수원본(99.2.28)"/>
      <sheetName val="차액보증"/>
      <sheetName val="공통비배부기준"/>
      <sheetName val="취합표"/>
      <sheetName val="물량산출"/>
      <sheetName val="자료"/>
      <sheetName val="주요기준"/>
      <sheetName val="내역"/>
      <sheetName val="설계"/>
      <sheetName val="비용"/>
      <sheetName val="관A준공"/>
      <sheetName val="대전"/>
      <sheetName val="Net PL(세분류)"/>
      <sheetName val="지역개발"/>
      <sheetName val="Voucher"/>
      <sheetName val="213"/>
      <sheetName val="5사남"/>
      <sheetName val="공통비(전체)"/>
      <sheetName val="산출기준(파견전산실)"/>
      <sheetName val="99매출현"/>
      <sheetName val="95년간접비"/>
      <sheetName val="서식시트"/>
      <sheetName val="제조부문배부"/>
      <sheetName val="99선급비용"/>
      <sheetName val="받을어음할인및 융통어음"/>
      <sheetName val="부도어음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원천세납부"/>
      <sheetName val="Cash Flow"/>
      <sheetName val="①매출"/>
      <sheetName val="은행"/>
      <sheetName val="운반장소등록"/>
      <sheetName val="목표"/>
      <sheetName val="차수"/>
      <sheetName val="6_3"/>
      <sheetName val="9-1차이내역"/>
      <sheetName val="아파트 기성내역서"/>
      <sheetName val="B"/>
      <sheetName val="ke24(0404)"/>
      <sheetName val="KE24(0403)"/>
      <sheetName val="계정code"/>
      <sheetName val="담보평가"/>
      <sheetName val="정보"/>
      <sheetName val="11.17-11.23"/>
      <sheetName val="11.24-11.30"/>
      <sheetName val="기타현황"/>
      <sheetName val="MH_생산"/>
      <sheetName val="Menu"/>
      <sheetName val="CashFlow(중간집계)"/>
      <sheetName val="LoanList"/>
      <sheetName val="2.상각보정명세"/>
      <sheetName val="외상매입금_Detail"/>
      <sheetName val="일위대가"/>
      <sheetName val="요약BS"/>
      <sheetName val="2.대외공문"/>
      <sheetName val="1공장 재공품생산현황"/>
      <sheetName val="건축공사"/>
      <sheetName val="가정"/>
      <sheetName val="현장관리비"/>
      <sheetName val="리츠"/>
      <sheetName val="주주명부&lt;끝&gt;"/>
      <sheetName val="cfanal"/>
      <sheetName val="profit"/>
      <sheetName val="부산"/>
      <sheetName val="하수급견적대비"/>
      <sheetName val="장할생활 (2)"/>
      <sheetName val="증감분석 및 연결조정"/>
      <sheetName val="RC"/>
      <sheetName val="S&amp;R"/>
      <sheetName val="손익"/>
      <sheetName val="비교원가제출.고"/>
      <sheetName val="공사개요"/>
      <sheetName val="금액집계(리포트)"/>
      <sheetName val="입고단가기준"/>
      <sheetName val="의뢰건 (2)"/>
      <sheetName val="유통망계획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공사기성"/>
      <sheetName val="3-31"/>
      <sheetName val="매출채권 및 담보비율 변동"/>
      <sheetName val="미지급비용2"/>
      <sheetName val="미지급비용"/>
      <sheetName val="현금흐름Ⅰ"/>
      <sheetName val="공통"/>
      <sheetName val="쌍용자료"/>
      <sheetName val="대우자료"/>
      <sheetName val="만기"/>
      <sheetName val="달성율"/>
      <sheetName val="2공구산출내역"/>
      <sheetName val="설계내역서"/>
      <sheetName val="해창정"/>
      <sheetName val="1월실적 (2)"/>
      <sheetName val="크라운"/>
      <sheetName val="인원자료"/>
      <sheetName val="화섬 MDP"/>
      <sheetName val="시산표"/>
      <sheetName val="수h"/>
      <sheetName val="영업소실적"/>
      <sheetName val="금융"/>
      <sheetName val="리스"/>
      <sheetName val="보험"/>
      <sheetName val="其他应收款明细及帐龄分析(表5)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정의"/>
      <sheetName val="E_B_L"/>
      <sheetName val="기초자료"/>
      <sheetName val="테이블"/>
      <sheetName val="J"/>
      <sheetName val="각주"/>
      <sheetName val="노임이"/>
      <sheetName val="Sheet6"/>
      <sheetName val="퇴직급여충당금12.31"/>
      <sheetName val="TCA"/>
      <sheetName val="미오"/>
      <sheetName val="자본금"/>
      <sheetName val="재고"/>
      <sheetName val="퇴충"/>
      <sheetName val="사업자등록증"/>
      <sheetName val="범한여행"/>
      <sheetName val="대차대조표12.01"/>
      <sheetName val="해외법인"/>
      <sheetName val="합계잔액시산표"/>
      <sheetName val="월별"/>
      <sheetName val="Summary"/>
      <sheetName val="업종코드"/>
      <sheetName val="본공사"/>
      <sheetName val="양식3"/>
      <sheetName val="기초"/>
      <sheetName val="추가(완)"/>
      <sheetName val="8월배정예산"/>
      <sheetName val="3"/>
      <sheetName val="수리결과"/>
      <sheetName val="명세서"/>
      <sheetName val="인별호봉표"/>
      <sheetName val="각종data"/>
      <sheetName val="항목"/>
      <sheetName val="4-1. 매출원가 손익계획 집계표"/>
      <sheetName val="유림골조"/>
      <sheetName val="연체대출"/>
      <sheetName val="00'미수"/>
      <sheetName val="적용환율"/>
      <sheetName val="3250-41"/>
      <sheetName val="Reference"/>
      <sheetName val="T6-6(7)"/>
      <sheetName val="수율"/>
      <sheetName val="1.MDF1공장"/>
      <sheetName val="Dólar Observado"/>
      <sheetName val="입고12"/>
      <sheetName val="출고12"/>
      <sheetName val="대비"/>
      <sheetName val="Rate"/>
      <sheetName val="작업불가"/>
      <sheetName val="CAUDIT"/>
      <sheetName val="입력.판매"/>
      <sheetName val="입력.인원"/>
      <sheetName val="듀레이션"/>
      <sheetName val="3-4현"/>
      <sheetName val="3-3현"/>
      <sheetName val="수불표"/>
      <sheetName val="4.2유효폭의 계산"/>
      <sheetName val="FRDS9805"/>
      <sheetName val="대구은행"/>
      <sheetName val="기준봉급표"/>
      <sheetName val="직급별인적"/>
      <sheetName val="A1"/>
      <sheetName val="외상매입금점별현황"/>
      <sheetName val="0"/>
      <sheetName val="기초작업"/>
      <sheetName val="상세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비용 배부후"/>
      <sheetName val="Farmtrac(Long)"/>
      <sheetName val="Table"/>
      <sheetName val="공수"/>
      <sheetName val="Class-Char"/>
      <sheetName val="부재료입고집계"/>
      <sheetName val="0701"/>
      <sheetName val="RECIMAKE"/>
      <sheetName val="LEASE4"/>
      <sheetName val="지급보증금74"/>
      <sheetName val="분개종합(01)"/>
      <sheetName val="투자자본상계"/>
      <sheetName val="全社経費"/>
      <sheetName val="実績集計"/>
      <sheetName val="実績連絡"/>
      <sheetName val="Customer"/>
      <sheetName val="버스업체(57개사)"/>
      <sheetName val="우리종금예상재무제표"/>
      <sheetName val="대차정산"/>
      <sheetName val="별첨1(임금)"/>
      <sheetName val="주주명부-가나다"/>
      <sheetName val="위험보험료표"/>
      <sheetName val="본부별매출"/>
      <sheetName val="작성요령"/>
      <sheetName val="118.세금과공과"/>
      <sheetName val="절감항목"/>
      <sheetName val="회사제시"/>
      <sheetName val="선급비용"/>
      <sheetName val="YOEMAGUM"/>
      <sheetName val="BOJUNGGM"/>
      <sheetName val="건설가계정"/>
      <sheetName val="5월"/>
      <sheetName val="도급비정산"/>
      <sheetName val="별제권_정리담보권1"/>
      <sheetName val="POS (2)"/>
      <sheetName val="뒤차축소"/>
      <sheetName val="2월특별상여"/>
      <sheetName val="9월상여"/>
      <sheetName val="05.1Q"/>
      <sheetName val="상표권"/>
      <sheetName val="기간"/>
      <sheetName val="법인정보"/>
      <sheetName val="Config"/>
      <sheetName val="연장수당"/>
      <sheetName val="누계매출"/>
      <sheetName val="고객지원무상출하"/>
      <sheetName val="연구소예외출고"/>
      <sheetName val="권리분석"/>
      <sheetName val="Scoresheet"/>
      <sheetName val="지급이자와할인료(직매각)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Reference (변경)"/>
      <sheetName val="급여명세서"/>
      <sheetName val="급여등록"/>
      <sheetName val="unit 4"/>
      <sheetName val="단가"/>
      <sheetName val="부정형평가"/>
      <sheetName val="재공품평가"/>
      <sheetName val="99판매"/>
      <sheetName val="데이터유효성목록"/>
      <sheetName val="불량"/>
      <sheetName val="보고서"/>
      <sheetName val="노임단가"/>
      <sheetName val="원자재상수"/>
      <sheetName val="원자재운송비"/>
      <sheetName val="BOM"/>
      <sheetName val="대환취급"/>
      <sheetName val="산출내역서집계표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계획"/>
      <sheetName val="교각1"/>
      <sheetName val="편입토지조서"/>
      <sheetName val="Tiburon"/>
      <sheetName val="PL"/>
      <sheetName val="재무누계"/>
      <sheetName val="TDTKP"/>
      <sheetName val="DK-KH"/>
      <sheetName val="T6-6(2)"/>
      <sheetName val="comm"/>
      <sheetName val="Template"/>
      <sheetName val="기초해지2"/>
      <sheetName val="기초해지"/>
      <sheetName val="control sheet"/>
      <sheetName val="R&amp;D"/>
      <sheetName val="부서코드"/>
      <sheetName val="CT 재공품생산현황"/>
      <sheetName val="RES"/>
      <sheetName val="BACKDATA"/>
      <sheetName val="(실사조정)총괄"/>
      <sheetName val="부서CODE"/>
      <sheetName val="호봉CODE"/>
      <sheetName val="MON"/>
      <sheetName val="INCOME STATEMENT"/>
      <sheetName val="YTD"/>
      <sheetName val="인력(정규직)"/>
      <sheetName val="K-1"/>
      <sheetName val="부서현황"/>
      <sheetName val="합계"/>
      <sheetName val="gyun"/>
      <sheetName val="관계회사거래내역및 채권채무잔액 99"/>
      <sheetName val="매입수불자재"/>
      <sheetName val="수액원료"/>
      <sheetName val="COBS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당월손익계산서★"/>
      <sheetName val="회수율"/>
      <sheetName val="#REF"/>
      <sheetName val="Asset98-CAK"/>
      <sheetName val="Asset9809CAK"/>
      <sheetName val="BM_NEW2"/>
      <sheetName val="2.Critical Component Estimation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2009BS_감사전"/>
      <sheetName val="scosht"/>
      <sheetName val="2009PL_감사전"/>
      <sheetName val="Sheet7"/>
      <sheetName val="점수"/>
      <sheetName val="building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인원계획-미화"/>
      <sheetName val="108.수선비"/>
      <sheetName val="General Inputs"/>
      <sheetName val="CGC Inputs"/>
      <sheetName val="송전기본"/>
      <sheetName val="유가증권미수"/>
      <sheetName val="VB "/>
      <sheetName val="보증어음분류"/>
      <sheetName val="사모사채분류"/>
      <sheetName val="SA"/>
      <sheetName val="중장기 외화자금 보정명세(PBC)"/>
      <sheetName val="Macro1"/>
      <sheetName val="마스터"/>
      <sheetName val="국민연금"/>
      <sheetName val="검산금액"/>
      <sheetName val="선수보증금"/>
      <sheetName val="연체일수"/>
      <sheetName val="잔가합계"/>
      <sheetName val="중도해지진행업체"/>
      <sheetName val="00.08계정"/>
      <sheetName val="매출(총액)"/>
      <sheetName val="판관비"/>
      <sheetName val="에뛰드 내부관리가"/>
      <sheetName val="均等割DB"/>
      <sheetName val="보조재료비"/>
      <sheetName val="재료비"/>
      <sheetName val="2005원가집계표(합계)"/>
      <sheetName val="원가집계표(월별)"/>
      <sheetName val="RV미수수익보정"/>
      <sheetName val="불균등-거치외(미수)"/>
      <sheetName val="불균등-TOP(선수)"/>
      <sheetName val="Lead"/>
      <sheetName val="생산직"/>
      <sheetName val="부서별"/>
      <sheetName val="부서실적"/>
      <sheetName val="TUL30"/>
      <sheetName val="ST"/>
      <sheetName val="T48a"/>
      <sheetName val="상불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업체손실공수.xls"/>
      <sheetName val="서식지정"/>
      <sheetName val="기계장치"/>
      <sheetName val="의왕"/>
      <sheetName val="result0927"/>
      <sheetName val="대우자동차용역비"/>
      <sheetName val="ORIGIN"/>
      <sheetName val="처별전산"/>
      <sheetName val="품의양"/>
      <sheetName val="종기실공문"/>
      <sheetName val="T02"/>
      <sheetName val="f3"/>
      <sheetName val="일위_파일"/>
      <sheetName val="법인별요약"/>
      <sheetName val="admin"/>
      <sheetName val="원가계산 (2)"/>
      <sheetName val="도근좌표"/>
      <sheetName val="부분품"/>
      <sheetName val="생산부대통지서"/>
      <sheetName val="정리"/>
      <sheetName val="직급별인원계획"/>
      <sheetName val="사업별인원계획"/>
      <sheetName val="유첨3.적용기준"/>
      <sheetName val="매출및매출채권"/>
      <sheetName val="Main"/>
      <sheetName val="96"/>
      <sheetName val="제조공정"/>
      <sheetName val="MA"/>
      <sheetName val="차입금상환표"/>
      <sheetName val="3사분기계획"/>
      <sheetName val="토목주소"/>
      <sheetName val="프랜트면허"/>
      <sheetName val="투자자산명세서"/>
      <sheetName val="년간 자금계획(90일 적용)"/>
      <sheetName val="CC Down load 0716"/>
      <sheetName val="월급제"/>
      <sheetName val="신공항A-9(원가수정)"/>
      <sheetName val="집연95"/>
      <sheetName val="비교재무제표"/>
      <sheetName val="하우투_집계"/>
      <sheetName val="F-4,5"/>
      <sheetName val="제품수불(대체)"/>
      <sheetName val="원재료입력"/>
      <sheetName val="총제품수불"/>
      <sheetName val="제품입력"/>
      <sheetName val="경영비율_"/>
      <sheetName val="#2_BSPL"/>
      <sheetName val="현지법인_대손설정"/>
      <sheetName val="산업은행_경영지표"/>
      <sheetName val="퇴직충당금(3_31)(국문)"/>
      <sheetName val="입력_판매"/>
      <sheetName val="입력_인원"/>
      <sheetName val="POS_(2)"/>
      <sheetName val="05_1Q"/>
      <sheetName val="매출액(명)_"/>
      <sheetName val="unit_4"/>
      <sheetName val="118_세금과공과"/>
      <sheetName val="내역서_(2)"/>
      <sheetName val="INCOME_STATEMENT"/>
      <sheetName val="control_sheet"/>
      <sheetName val="관계회사거래내역및_채권채무잔액_99"/>
      <sheetName val="Team_종합"/>
      <sheetName val="아울렛_농산벤더"/>
      <sheetName val="현금_및_예치금Lead"/>
      <sheetName val="현금및예치금_명세서"/>
      <sheetName val="2_Critical_Component_Estimation"/>
      <sheetName val="급상여기초정보_08"/>
      <sheetName val="본사_08"/>
      <sheetName val="세무서코드"/>
      <sheetName val="취득"/>
      <sheetName val="조정전"/>
      <sheetName val="표시트"/>
      <sheetName val="서비스별 매출추이"/>
      <sheetName val="9703"/>
      <sheetName val="고정자산원본"/>
      <sheetName val="투자현황"/>
      <sheetName val="기본정보"/>
      <sheetName val="1부생산계획"/>
      <sheetName val="EE"/>
      <sheetName val="Office only Letup"/>
      <sheetName val="과8"/>
      <sheetName val="손익분석"/>
      <sheetName val="호프"/>
      <sheetName val="Data&amp;Result"/>
      <sheetName val="직급실적"/>
      <sheetName val="UTCA"/>
      <sheetName val="1주"/>
      <sheetName val="2주"/>
      <sheetName val="3주"/>
      <sheetName val="4주"/>
      <sheetName val="관세구분시트"/>
      <sheetName val="99.7월 당월회수 실적"/>
      <sheetName val="YM98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중부사업담당_1-11월_원가1"/>
      <sheetName val="지점월추이"/>
      <sheetName val="형틀공사"/>
      <sheetName val="월말마감"/>
      <sheetName val="SMCB9617145"/>
      <sheetName val="잉여금"/>
      <sheetName val="붙임2-1  지급조서명세서(2001년분)"/>
      <sheetName val="支払明細"/>
      <sheetName val="영업단위-8월"/>
      <sheetName val="WH"/>
      <sheetName val="MANAGER"/>
      <sheetName val="108_수선비"/>
      <sheetName val="95D"/>
      <sheetName val="94D"/>
      <sheetName val="93상각비"/>
      <sheetName val="보통예금"/>
      <sheetName val="96시"/>
      <sheetName val="Index"/>
      <sheetName val="제작실적"/>
      <sheetName val="PUR-12K"/>
      <sheetName val="CF_Assumption"/>
      <sheetName val="7 _2_"/>
      <sheetName val="결산비용"/>
      <sheetName val="1_현금흐름표"/>
      <sheetName val="공항,제주 판매율 분석"/>
      <sheetName val="부산물"/>
      <sheetName val="상품원가"/>
      <sheetName val="전부인쇄"/>
      <sheetName val="Bank charge"/>
      <sheetName val="은행조회서"/>
      <sheetName val="산근"/>
      <sheetName val="PR제조"/>
      <sheetName val="费率"/>
      <sheetName val="추가강의료내역"/>
      <sheetName val="UTMBPL"/>
      <sheetName val="조립지적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구축물"/>
      <sheetName val="당좌예금"/>
      <sheetName val="CapMult"/>
      <sheetName val="Industry Indices"/>
      <sheetName val="LeadSchedule"/>
      <sheetName val="요약PL"/>
      <sheetName val="참고_주임대리승진안(2013下)"/>
      <sheetName val="97년추정손익계산서"/>
      <sheetName val="0.0ControlSheet"/>
      <sheetName val="기본일위"/>
      <sheetName val="EQT-ESTN"/>
      <sheetName val="VB_"/>
      <sheetName val="원가계산_(2)"/>
      <sheetName val="충당금"/>
      <sheetName val="BOX명칭"/>
      <sheetName val="가중치_사용자본회전율"/>
      <sheetName val="5131"/>
      <sheetName val="경영계획"/>
      <sheetName val="Re1"/>
      <sheetName val="原材料单价分析"/>
      <sheetName val="KA021901"/>
      <sheetName val="5客诉对比 (2)"/>
      <sheetName val="比较 (2)"/>
      <sheetName val="입장료"/>
      <sheetName val="첨부1"/>
      <sheetName val="99년하반기"/>
      <sheetName val="실적관리"/>
      <sheetName val="합천내역"/>
      <sheetName val="참조"/>
      <sheetName val="주소록"/>
      <sheetName val="갑지"/>
      <sheetName val="전체"/>
      <sheetName val="도면번호"/>
      <sheetName val="조건식"/>
      <sheetName val="산업잠재수요현황"/>
      <sheetName val="산업체판매량세부내역"/>
      <sheetName val="합계db"/>
      <sheetName val="3월연장근무"/>
      <sheetName val="영업보증금"/>
      <sheetName val="표준대차대조표(갑)"/>
      <sheetName val="STAND20"/>
      <sheetName val="조회서"/>
      <sheetName val="05현금등가"/>
      <sheetName val="매출96(장항)"/>
      <sheetName val="입찰안"/>
      <sheetName val="계산기초율"/>
      <sheetName val="KCN"/>
      <sheetName val="SPT"/>
      <sheetName val="품의서"/>
      <sheetName val="배수통관(좌)"/>
      <sheetName val="원료 CODE"/>
      <sheetName val="인건-측정"/>
      <sheetName val="기기분석"/>
      <sheetName val="참고_ 카본단가 비교"/>
      <sheetName val="년판01"/>
      <sheetName val="예산내역서"/>
      <sheetName val="지역별수출"/>
      <sheetName val="Bankruptcies"/>
      <sheetName val="상각중_001116"/>
      <sheetName val="FY00 OP3rdPrty"/>
      <sheetName val="SS20"/>
      <sheetName val="SS10"/>
      <sheetName val="Q199-Q200"/>
      <sheetName val="0201"/>
      <sheetName val="COMMON"/>
      <sheetName val="보정사항"/>
      <sheetName val="Q3 actuals"/>
      <sheetName val="0307 Q3Update"/>
      <sheetName val="FSG"/>
      <sheetName val="Accts_ET"/>
      <sheetName val="시산"/>
      <sheetName val="매입매출(입력)"/>
      <sheetName val="이연"/>
      <sheetName val="비교"/>
      <sheetName val="Dec-02"/>
      <sheetName val="Jun-04"/>
      <sheetName val="Oct-02"/>
      <sheetName val="9710"/>
      <sheetName val="23기-3분기결산PL"/>
      <sheetName val="FC-101"/>
      <sheetName val="작성양식"/>
      <sheetName val="차입"/>
      <sheetName val="미수"/>
      <sheetName val="시설이용권명세서"/>
      <sheetName val="EXPENSE"/>
      <sheetName val="BS(5월-경리과)"/>
      <sheetName val="상품입고집계"/>
      <sheetName val="전환원본"/>
      <sheetName val="생산계획"/>
      <sheetName val="미반영량"/>
      <sheetName val="현우실적"/>
      <sheetName val="0000"/>
      <sheetName val="진도현황"/>
      <sheetName val="원가배분01년(등본)"/>
      <sheetName val="◀Chart_Data"/>
      <sheetName val="매출채권등리드"/>
      <sheetName val="PC실적"/>
      <sheetName val="신부서코드"/>
      <sheetName val="본사_09"/>
      <sheetName val="GEN Inputs"/>
      <sheetName val="WACC_BUILDUP"/>
      <sheetName val="IRR"/>
      <sheetName val="반포2차"/>
      <sheetName val="현금흐름표 근거자료"/>
      <sheetName val="黄做原材料进销存"/>
      <sheetName val="피보험자명세(럭키확정분)"/>
      <sheetName val="예적금"/>
      <sheetName val="외화"/>
      <sheetName val="bs"/>
      <sheetName val="8월"/>
      <sheetName val="파워콤"/>
      <sheetName val="기초데이타"/>
      <sheetName val="배서어음명세서"/>
      <sheetName val="노방제,촉진제 단가추이"/>
      <sheetName val="23을"/>
      <sheetName val="2담당0113"/>
      <sheetName val="1담당0113"/>
      <sheetName val="US Revenue (2)"/>
      <sheetName val="Act-NCI"/>
      <sheetName val="Act-NCE"/>
      <sheetName val="Control"/>
      <sheetName val="일위대가표"/>
      <sheetName val="관리1"/>
      <sheetName val="2.지분법적용주식Leadsheet(회사제시)"/>
      <sheetName val="Assumptions"/>
      <sheetName val="추진전략"/>
      <sheetName val="수정사항집계표"/>
      <sheetName val="부실채권"/>
      <sheetName val="요율표"/>
      <sheetName val="출고상차료"/>
      <sheetName val="5600"/>
      <sheetName val="정기적금"/>
      <sheetName val="인사자료총집계"/>
      <sheetName val="당기추가완료"/>
      <sheetName val="지구단위계획"/>
      <sheetName val="KUBYEA"/>
      <sheetName val="목차"/>
      <sheetName val="82150-39000"/>
      <sheetName val="3528"/>
      <sheetName val="재고관련흐름"/>
      <sheetName val="fnc"/>
      <sheetName val="SE_Output"/>
      <sheetName val="지급자재"/>
      <sheetName val="마산월령동골조물량변경"/>
      <sheetName val="미지금(01)"/>
      <sheetName val="XL4Poppy"/>
      <sheetName val="환율표"/>
      <sheetName val="WEIGHT"/>
      <sheetName val="CASE1"/>
      <sheetName val="98상품수불(기초)"/>
      <sheetName val="98제품수불부"/>
      <sheetName val="대차대조표(수정)"/>
      <sheetName val="공구기구"/>
      <sheetName val="연평잔"/>
      <sheetName val="허들조견표"/>
      <sheetName val="N賃率-職"/>
      <sheetName val="Item LIST"/>
      <sheetName val="Volume LIST"/>
      <sheetName val="score_sheet3"/>
      <sheetName val="공제사업score_sheet3"/>
      <sheetName val="법인세비용_계산3"/>
      <sheetName val="정관_및_회계규정3"/>
      <sheetName val="주요ISSUE_사항3"/>
      <sheetName val="완성차_미수금3"/>
      <sheetName val="2006_과표및세액조정계산서3"/>
      <sheetName val="매출_물동명세3"/>
      <sheetName val="증감분석_및_연결조정2"/>
      <sheetName val="장할생활_(2)2"/>
      <sheetName val="YTD_Sales(0411)3"/>
      <sheetName val="계수원본(99_2_28)3"/>
      <sheetName val="10_313"/>
      <sheetName val="외상매출금현황-수정분_A23"/>
      <sheetName val="Cash_Flow2"/>
      <sheetName val="Net_PL(세분류)2"/>
      <sheetName val="3_판관비명세서2"/>
      <sheetName val="업무분장_2"/>
      <sheetName val="2_대외공문2"/>
      <sheetName val="아파트_기성내역서2"/>
      <sheetName val="1월실적_(2)2"/>
      <sheetName val="받을어음할인및_융통어음2"/>
      <sheetName val="11_17-11_232"/>
      <sheetName val="11_24-11_302"/>
      <sheetName val="2_상각보정명세2"/>
      <sheetName val="1공장_재공품생산현황2"/>
      <sheetName val="매출채권_및_담보비율_변동2"/>
      <sheetName val="대차대조표12_012"/>
      <sheetName val="의뢰건_(2)2"/>
      <sheetName val="화섬_MDP2"/>
      <sheetName val="비교원가제출_고2"/>
      <sheetName val="퇴직급여충당금12_312"/>
      <sheetName val="4-1__매출원가_손익계획_집계표2"/>
      <sheetName val="5_소재2"/>
      <sheetName val="Dólar_Observado2"/>
      <sheetName val="4_2유효폭의_계산2"/>
      <sheetName val="1_MDF1공장2"/>
      <sheetName val="25_보증금(임차보증금외)2"/>
      <sheetName val="24_보증금(전신전화가입권)2"/>
      <sheetName val="CT_재공품생산현황2"/>
      <sheetName val="비용_배부후2"/>
      <sheetName val="Reference_(변경)2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중장기_외화자금_보정명세(PBC)"/>
      <sheetName val="00_08계정"/>
      <sheetName val="에뛰드_내부관리가"/>
      <sheetName val="Office_only_Letup"/>
      <sheetName val="Packaging_cost_Back_Data"/>
      <sheetName val="업체손실공수_xls"/>
      <sheetName val="General_Inputs"/>
      <sheetName val="CGC_Inputs"/>
      <sheetName val="유첨3_적용기준"/>
      <sheetName val="99입장목표"/>
      <sheetName val="금액"/>
      <sheetName val="아울렛_농산벤더1"/>
      <sheetName val="중부사업담당_1-11월_원가2"/>
      <sheetName val="sap`04_7_14"/>
      <sheetName val="13_보증금(전신전화가입권)"/>
      <sheetName val="붙임2-1__지급조서명세서(2001년분)"/>
      <sheetName val="0_0ControlSheet"/>
      <sheetName val="流资汇总"/>
      <sheetName val="관재"/>
      <sheetName val="값목록(Do not touch)"/>
      <sheetName val="건설중인자산(기타)"/>
      <sheetName val="현금등가물"/>
      <sheetName val="매립"/>
      <sheetName val="제품분류코드"/>
      <sheetName val="매입계산서"/>
      <sheetName val="원가배부작업시간"/>
      <sheetName val="LEAD SHEET (K상각후회수율)"/>
      <sheetName val="981-4분기"/>
      <sheetName val="ST제품"/>
      <sheetName val="년월차수당"/>
      <sheetName val="상여금"/>
      <sheetName val="대항목"/>
      <sheetName val="질의(금액)참조"/>
      <sheetName val="손익항목표"/>
      <sheetName val="치약_v011㤂ᖄ됁"/>
      <sheetName val="치약_v011_x0000_츀"/>
      <sheetName val="Sheet1 (2)"/>
      <sheetName val="DATA 입력란"/>
      <sheetName val="1. 설계조건 2.단면가정 3. 하중계산"/>
      <sheetName val="주관1"/>
      <sheetName val="결과확인공문_KEIT"/>
      <sheetName val="감사보고서 (날인X)_KEIT"/>
      <sheetName val="감사보고서_KEIT"/>
      <sheetName val="총괄검토결과내역_KEIT"/>
      <sheetName val="별첨_상세내역_KEIT"/>
      <sheetName val="불인정내역_KEIT"/>
      <sheetName val="결과확인공문_KIAT"/>
      <sheetName val="감사보고서 (날인X)_KIAT"/>
      <sheetName val="감사보고서_KIAT"/>
      <sheetName val="검토결과_KIAT"/>
      <sheetName val="기관별_검토결과_KIAT"/>
      <sheetName val="불인정사항_KIAT"/>
      <sheetName val="결과확인공문-최종결과시(전담)_KETEP"/>
      <sheetName val="결과확인공문-최종결과시(수행)_KETEP"/>
      <sheetName val="결과확인공문-최종결과시_KETEP"/>
      <sheetName val="감사보고서 (날인X)_KETEP"/>
      <sheetName val="감사보고서_KETEP"/>
      <sheetName val="검토결과_KETEP"/>
      <sheetName val="기관별검토결과_KETEP"/>
      <sheetName val="불인정내역_KETEP"/>
      <sheetName val="사용현황"/>
      <sheetName val="인건비"/>
      <sheetName val="환수금계산"/>
      <sheetName val="재원별지출내역"/>
      <sheetName val="재원별지출내역 (2)"/>
      <sheetName val="이월금"/>
      <sheetName val="연구시설·장비 및 재료비"/>
      <sheetName val="연구활동비"/>
      <sheetName val="학생인건비"/>
      <sheetName val="연구과제추진비"/>
      <sheetName val="연구수당"/>
      <sheetName val="간접비"/>
      <sheetName val="세목별 사용내역조회"/>
      <sheetName val="검토내역"/>
      <sheetName val="참여율"/>
      <sheetName val="인건비_피벗"/>
      <sheetName val="내부인건비_(DB)"/>
      <sheetName val="인건비시트"/>
      <sheetName val="★인건비시트_(재)경북테크노파크"/>
      <sheetName val="★인건비시트_재단법인경북차량용임베디드기술연구원"/>
      <sheetName val="인건비 소요 명세"/>
      <sheetName val="검토내역_문구"/>
      <sheetName val="서식"/>
      <sheetName val="간접비율"/>
      <sheetName val="주거"/>
      <sheetName val="자산"/>
      <sheetName val="내역서"/>
      <sheetName val="JP_GP_UP통합"/>
      <sheetName val="수입검사현황 Rev1"/>
      <sheetName val="7.3 DY팀"/>
      <sheetName val="특별경비"/>
      <sheetName val="긴급근무"/>
      <sheetName val="월별보고표"/>
      <sheetName val="집계표"/>
      <sheetName val="책임준비금"/>
      <sheetName val="잡급"/>
      <sheetName val="급여"/>
      <sheetName val="회원수&amp;결제&amp;매출"/>
      <sheetName val="지급수수료"/>
      <sheetName val="고급필터"/>
      <sheetName val="기구표"/>
      <sheetName val="장기차입금"/>
      <sheetName val="MIJIBI"/>
      <sheetName val="6D257"/>
      <sheetName val="주당순이익1분기"/>
      <sheetName val="8월차잔"/>
      <sheetName val="일반부표"/>
      <sheetName val="AQL(0.65)"/>
      <sheetName val="compare2"/>
      <sheetName val="재정비직인"/>
      <sheetName val="재정비내역"/>
      <sheetName val="지적고시내역"/>
      <sheetName val="김종록2"/>
      <sheetName val="원본"/>
      <sheetName val="U3.1"/>
      <sheetName val="영업외손익등"/>
      <sheetName val="maccp04"/>
      <sheetName val="10월"/>
      <sheetName val="투자유가증권"/>
      <sheetName val="01is(누계)"/>
      <sheetName val="용연"/>
      <sheetName val="울산"/>
      <sheetName val="진천"/>
      <sheetName val="구미"/>
      <sheetName val="대구"/>
      <sheetName val="언양"/>
      <sheetName val="평가금액"/>
      <sheetName val="상환익(2001년도)"/>
      <sheetName val="유가증권현황"/>
      <sheetName val="개발비자산성검토"/>
      <sheetName val="TB2005"/>
      <sheetName val="구매차입"/>
      <sheetName val="부문별손익안분명세서4-6월"/>
      <sheetName val="연구인원내역"/>
      <sheetName val="이자"/>
      <sheetName val="수정사항"/>
      <sheetName val="현금및현금등가물1"/>
      <sheetName val="수량산출"/>
      <sheetName val="경영비율_1"/>
      <sheetName val="현지법인_대손설정1"/>
      <sheetName val="산업은행_경영지표1"/>
      <sheetName val="#2_BSPL1"/>
      <sheetName val="CC_Down_load_0716"/>
      <sheetName val="퇴직충당금(3_31)(국문)1"/>
      <sheetName val="매출액(명)_1"/>
      <sheetName val="원료_CODE"/>
      <sheetName val="참고__카본단가_비교"/>
      <sheetName val="년간_자금계획(90일_적용)"/>
      <sheetName val="입력_판매1"/>
      <sheetName val="입력_인원1"/>
      <sheetName val="118_세금과공과1"/>
      <sheetName val="POS_(2)1"/>
      <sheetName val="05_1Q1"/>
      <sheetName val="unit_41"/>
      <sheetName val="내역서_(2)1"/>
      <sheetName val="control_sheet1"/>
      <sheetName val="INCOME_STATEMENT1"/>
      <sheetName val="관계회사거래내역및_채권채무잔액_991"/>
      <sheetName val="Team_종합1"/>
      <sheetName val="2_Critical_Component_Estimatio1"/>
      <sheetName val="현금_및_예치금Lead1"/>
      <sheetName val="현금및예치금_명세서1"/>
      <sheetName val="노방제,촉진제_단가추이"/>
      <sheetName val="선수금반제"/>
      <sheetName val="2팀"/>
      <sheetName val="ML"/>
      <sheetName val="사회보험료세액공제"/>
      <sheetName val="고용증대세액공제"/>
      <sheetName val="2019년_세부자료_(입력할 시트)"/>
      <sheetName val="2019년보험요율_(입력할 시트)"/>
      <sheetName val="LOT 이상품 조치 이력"/>
      <sheetName val="견적서"/>
      <sheetName val="토목을"/>
      <sheetName val="1-1-1-1"/>
      <sheetName val="토목공사일반"/>
      <sheetName val="외화평가"/>
      <sheetName val="방산생산"/>
      <sheetName val="108_수선비1"/>
      <sheetName val="서비스별_매출추이"/>
      <sheetName val="S1_1총괄"/>
      <sheetName val="옥분수불"/>
      <sheetName val="출자한도"/>
      <sheetName val="7월 생산,자공정 불량 현황"/>
      <sheetName val="월별데이타"/>
      <sheetName val="분기별데이타"/>
      <sheetName val="OTHER_INFO"/>
      <sheetName val="7 (2)"/>
      <sheetName val="8월 매출수주"/>
      <sheetName val="1.능률현황"/>
      <sheetName val="2.호선별예상실적"/>
      <sheetName val="교육계획"/>
      <sheetName val="기본입력사항"/>
      <sheetName val="96원가"/>
      <sheetName val="제품(수출)매출"/>
      <sheetName val="상품매출"/>
      <sheetName val="재고 "/>
      <sheetName val="명단"/>
      <sheetName val="3.부점발견재산"/>
      <sheetName val="6.공사부점손익"/>
      <sheetName val="5.공사손익실적"/>
      <sheetName val="조건"/>
      <sheetName val="영업권"/>
      <sheetName val="4월2일"/>
      <sheetName val="to do"/>
      <sheetName val="0404급여"/>
      <sheetName val="0312상"/>
      <sheetName val="0405급여"/>
      <sheetName val="0406급여"/>
      <sheetName val="0406상"/>
      <sheetName val="Sch9"/>
      <sheetName val="시산표12월(수정후)"/>
      <sheetName val="외화가수금"/>
      <sheetName val="치약_v011"/>
      <sheetName val="이자정산계획"/>
      <sheetName val=""/>
      <sheetName val="9GNG운반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DIVP_L 1998"/>
      <sheetName val="管理費用(簡)"/>
      <sheetName val="RD제품개발투자비(매가)"/>
      <sheetName val="1300"/>
      <sheetName val="1공장_재공품생쩀ᯨ_x0000_"/>
      <sheetName val="제품L.D."/>
      <sheetName val="Korea Sign-Internal"/>
      <sheetName val="ld-극동"/>
      <sheetName val="5층 건축물대장 등기 예정"/>
      <sheetName val="층별면적표-060411-5층 통합"/>
      <sheetName val="서피070607"/>
      <sheetName val="개인별집계"/>
      <sheetName val="차체부품 INS REPORT(갑)"/>
      <sheetName val="양식"/>
      <sheetName val="98지급계획"/>
      <sheetName val="배치1"/>
      <sheetName val="날개수량1.5"/>
      <sheetName val="DI1"/>
      <sheetName val="FLA"/>
      <sheetName val="1월실적_x0000_jĨ˒"/>
      <sheetName val="1월실적_x0000__x0000__x0005__x0000_"/>
      <sheetName val="설 계"/>
      <sheetName val="소송대라상 현장"/>
      <sheetName val="경영비율_2"/>
      <sheetName val="현지법인_대손설정2"/>
      <sheetName val="완성차_미수금4"/>
      <sheetName val="산업은행_경영지표2"/>
      <sheetName val="#2_BSPL2"/>
      <sheetName val="CC_Down_load_07161"/>
      <sheetName val="퇴직충당금(3_31)(국문)2"/>
      <sheetName val="Packaging_cost_Back_Data1"/>
      <sheetName val="sap`04_7_141"/>
      <sheetName val="매출액(명)_2"/>
      <sheetName val="매출_물동명세4"/>
      <sheetName val="13_보증금(전신전화가입권)1"/>
      <sheetName val="원료_CODE1"/>
      <sheetName val="참고__카본단가_비교1"/>
      <sheetName val="년간_자금계획(90일_적용)1"/>
      <sheetName val="score_sheet4"/>
      <sheetName val="공제사업score_sheet4"/>
      <sheetName val="법인세비용_계산4"/>
      <sheetName val="정관_및_회계규정4"/>
      <sheetName val="주요ISSUE_사항4"/>
      <sheetName val="2006_과표및세액조정계산서4"/>
      <sheetName val="10_314"/>
      <sheetName val="업무분장_3"/>
      <sheetName val="YTD_Sales(0411)4"/>
      <sheetName val="3_판관비명세서3"/>
      <sheetName val="외상매출금현황-수정분_A24"/>
      <sheetName val="계수원본(99_2_28)4"/>
      <sheetName val="Net_PL(세분류)3"/>
      <sheetName val="받을어음할인및_융통어음3"/>
      <sheetName val="Cash_Flow3"/>
      <sheetName val="아파트_기성내역서3"/>
      <sheetName val="11_17-11_233"/>
      <sheetName val="11_24-11_303"/>
      <sheetName val="2_상각보정명세3"/>
      <sheetName val="2_대외공문3"/>
      <sheetName val="1공장_재공품생산현황3"/>
      <sheetName val="장할생활_(2)3"/>
      <sheetName val="증감분석_및_연결조정3"/>
      <sheetName val="비교원가제출_고3"/>
      <sheetName val="의뢰건_(2)3"/>
      <sheetName val="5_소재3"/>
      <sheetName val="매출채권_및_담보비율_변동3"/>
      <sheetName val="1월실적_(2)3"/>
      <sheetName val="화섬_MDP3"/>
      <sheetName val="25_보증금(임차보증금외)3"/>
      <sheetName val="24_보증금(전신전화가입권)3"/>
      <sheetName val="퇴직급여충당금12_313"/>
      <sheetName val="대차대조표12_013"/>
      <sheetName val="4-1__매출원가_손익계획_집계표3"/>
      <sheetName val="1_MDF1공장3"/>
      <sheetName val="Dólar_Observado3"/>
      <sheetName val="입력_판매2"/>
      <sheetName val="입력_인원2"/>
      <sheetName val="4_2유효폭의_계산3"/>
      <sheetName val="비용_배부후3"/>
      <sheetName val="118_세금과공과2"/>
      <sheetName val="POS_(2)2"/>
      <sheetName val="05_1Q2"/>
      <sheetName val="아울렛_농산벤더2"/>
      <sheetName val="Reference_(변경)3"/>
      <sheetName val="unit_42"/>
      <sheetName val="내역서_(2)2"/>
      <sheetName val="control_sheet2"/>
      <sheetName val="CT_재공품생산현황3"/>
      <sheetName val="INCOME_STATEMENT2"/>
      <sheetName val="관계회사거래내역및_채권채무잔액_992"/>
      <sheetName val="Team_종합2"/>
      <sheetName val="2_Critical_Component_Estimatio2"/>
      <sheetName val="경영계획_수립_참고자료_▶▶▶3"/>
      <sheetName val="사업부서_작성자료_▶▶▶3"/>
      <sheetName val="15년_손익_(GS신규Vision)_요약-연간비교장3"/>
      <sheetName val="15년_손익_(GS신규Vision)_요약-(간접비_포함3"/>
      <sheetName val="15년_손익-GS신규Vision3"/>
      <sheetName val="매출_계획3"/>
      <sheetName val="매출계획_산출근거3"/>
      <sheetName val="재료비(율)_계획3"/>
      <sheetName val="재료비(율)_산출근거3"/>
      <sheetName val="인원인건비&amp;간접비_계획3"/>
      <sheetName val="감가상각비_계산3"/>
      <sheetName val="간접비_계획3"/>
      <sheetName val="Reference_(기존)3"/>
      <sheetName val="2014년_손익3"/>
      <sheetName val="15년_손익_(GDR_Rental사업)_요약-연간비교장3"/>
      <sheetName val="15년_손익_(GDR_Rent사업)_요약-(간접비_포함3"/>
      <sheetName val="15년_손익-GDR_Rental사업3"/>
      <sheetName val="매출&amp;재료비&amp;비용&amp;투자_산출근거3"/>
      <sheetName val="현금_및_예치금Lead2"/>
      <sheetName val="현금및예치금_명세서2"/>
      <sheetName val="General_Inputs1"/>
      <sheetName val="CGC_Inputs1"/>
      <sheetName val="VB_1"/>
      <sheetName val="중장기_외화자금_보정명세(PBC)1"/>
      <sheetName val="00_08계정1"/>
      <sheetName val="에뛰드_내부관리가1"/>
      <sheetName val="업체손실공수_xls1"/>
      <sheetName val="원가계산_(2)1"/>
      <sheetName val="유첨3_적용기준1"/>
      <sheetName val="노방제,촉진제_단가추이1"/>
      <sheetName val="LOT_이상품_조치_이력"/>
      <sheetName val="공항,제주_판매율_분석"/>
      <sheetName val="차체부품_INS_REPORT(갑)"/>
      <sheetName val="날개수량1_5"/>
      <sheetName val="GEN_Inputs"/>
      <sheetName val="현금흐름표_근거자료"/>
      <sheetName val="01_12月_Lot별_판매실적_xls"/>
      <sheetName val="Industry_Indices"/>
      <sheetName val="99_7월_당월회수_실적"/>
      <sheetName val="7__2_"/>
      <sheetName val="Bank_charge"/>
      <sheetName val="US_Revenue_(2)"/>
      <sheetName val="2_지분법적용주식Leadsheet(회사제시)"/>
      <sheetName val="FY00_OP3rdPrty"/>
      <sheetName val="Q3_actuals"/>
      <sheetName val="0307_Q3Update"/>
      <sheetName val="설_계"/>
      <sheetName val="소송대라상_현장"/>
      <sheetName val="사업계획(97년)"/>
      <sheetName val="0226"/>
      <sheetName val="98년매출액및매출원가"/>
      <sheetName val="손익계산서(가로)"/>
      <sheetName val="연돌일위집계"/>
      <sheetName val="Links"/>
      <sheetName val="Cons.Total company"/>
      <sheetName val="월별수입"/>
      <sheetName val="WBS98"/>
      <sheetName val="FL'G WT."/>
      <sheetName val="고정자산"/>
      <sheetName val="매출원가추정"/>
      <sheetName val="매출추정"/>
      <sheetName val="수금 "/>
      <sheetName val="12월정산수금현황"/>
      <sheetName val="매출"/>
      <sheetName val="견적과실행예산"/>
      <sheetName val="合成単価作成表-BLDG"/>
      <sheetName val="원가비용"/>
      <sheetName val="이연법인세(2007)"/>
      <sheetName val="China"/>
      <sheetName val="7상품수"/>
      <sheetName val="VXXXXX"/>
      <sheetName val="상조회"/>
      <sheetName val="소득세"/>
      <sheetName val="SALTAB97"/>
      <sheetName val="의보"/>
      <sheetName val="생산직잔업"/>
      <sheetName val="0412BS보고서"/>
      <sheetName val="TOEIC기준점수"/>
      <sheetName val="FAB4생산"/>
      <sheetName val="FAB별"/>
      <sheetName val="상제품매출(원가)1~10월"/>
      <sheetName val="5층_건축물대장_등기_예정"/>
      <sheetName val="층별면적표-060411-5층_통합"/>
      <sheetName val="부서"/>
      <sheetName val="PJT"/>
      <sheetName val="2월"/>
      <sheetName val="기존처_식"/>
      <sheetName val="AU"/>
      <sheetName val="12월급여"/>
      <sheetName val="11월급여"/>
      <sheetName val="2009년6월부터"/>
      <sheetName val="매출액(제품)"/>
      <sheetName val="고합"/>
      <sheetName val="220 (2)"/>
      <sheetName val="1급갑"/>
      <sheetName val="3.일반사상"/>
      <sheetName val="CF_RE type"/>
      <sheetName val="CASH"/>
      <sheetName val="0103"/>
      <sheetName val="TOWER 12TON"/>
      <sheetName val="TOWER 10TON"/>
      <sheetName val="JIB CRANE,HOIST"/>
      <sheetName val="개산공사비"/>
      <sheetName val="과장"/>
      <sheetName val="외출포항"/>
      <sheetName val="FA-LISTING"/>
      <sheetName val="Ref Filed"/>
      <sheetName val="Setup"/>
      <sheetName val="2010년2Q"/>
      <sheetName val="화서상가SA"/>
      <sheetName val="종합현황"/>
      <sheetName val="중간보고서"/>
      <sheetName val="권선상가AC"/>
      <sheetName val="권선아파트AC"/>
      <sheetName val="마라톤AC"/>
      <sheetName val="매탄AC"/>
      <sheetName val="인계동코아AC"/>
      <sheetName val="인계-년도별"/>
      <sheetName val="입금대조"/>
      <sheetName val="인계-미확인"/>
      <sheetName val="인계지주분"/>
      <sheetName val="인계동코아SA"/>
      <sheetName val="정자동코아AC"/>
      <sheetName val="1991"/>
      <sheetName val="정자동코아SA"/>
      <sheetName val="마라톤빌딩SA"/>
      <sheetName val="매탄상가SA"/>
      <sheetName val="매탄연립SA"/>
      <sheetName val="매탄빌라SA"/>
      <sheetName val="지동아파트SA"/>
      <sheetName val="지동상가SA"/>
      <sheetName val="권선아파트SA"/>
      <sheetName val="권선상가SA"/>
      <sheetName val="Sheet"/>
      <sheetName val="SUB (N)"/>
      <sheetName val="절감항_x0000_"/>
      <sheetName val="절감항밀"/>
      <sheetName val="1안98Billing"/>
      <sheetName val="Purchasing"/>
      <sheetName val="Business Plan"/>
      <sheetName val="첨부5"/>
      <sheetName val="Voreinstellungen"/>
      <sheetName val="2181.91(Ex-pat)"/>
      <sheetName val="2150.2(Equip-oth)"/>
      <sheetName val="원가"/>
      <sheetName val="보유어음"/>
      <sheetName val="정산내역"/>
      <sheetName val="CCC"/>
      <sheetName val="원가투입계획('15.06~12)_봉"/>
      <sheetName val="商品"/>
      <sheetName val="PI"/>
      <sheetName val="1-6(반품내역)"/>
      <sheetName val="자금실적(신발)"/>
      <sheetName val="Ctrl"/>
      <sheetName val="기간부서"/>
      <sheetName val="JT3.0견적-구1"/>
      <sheetName val="환수금계산_총괄"/>
      <sheetName val="환수금계산_주관"/>
      <sheetName val="환수금계산_참여(1)"/>
      <sheetName val="환수금계산_참여(2)"/>
      <sheetName val="환수금계산_참여(3)"/>
      <sheetName val="환수금계산_참여(4)"/>
      <sheetName val="환수금계산_참여(5)"/>
      <sheetName val="재원별지출내역_수행기관제출용"/>
      <sheetName val="집행내역별"/>
      <sheetName val="집행내역_피벗(1)"/>
      <sheetName val="IM0711"/>
      <sheetName val="아파트진행률"/>
      <sheetName val="경영지표"/>
      <sheetName val="표지"/>
      <sheetName val="실사"/>
      <sheetName val="저속"/>
      <sheetName val="현금및현금등가물"/>
      <sheetName val="Drop down 참고"/>
      <sheetName val="040430"/>
      <sheetName val="信息"/>
      <sheetName val="表6-1wuhan（住宅）进度计划"/>
      <sheetName val="건재양식"/>
      <sheetName val="Main Assumptions"/>
      <sheetName val="Revenue Assumptions"/>
      <sheetName val="company operations"/>
      <sheetName val="hangzhou2"/>
      <sheetName val="工资表"/>
      <sheetName val="测算明细表(0+1+1)"/>
      <sheetName val="명단-피평가자명단(전체)"/>
      <sheetName val="계"/>
      <sheetName val="hierarchy"/>
      <sheetName val="财务费用"/>
      <sheetName val="管理费用"/>
      <sheetName val="其他业务成本"/>
      <sheetName val="其他业务收入"/>
      <sheetName val="其他应付款"/>
      <sheetName val="其他应收款"/>
      <sheetName val="销售费用"/>
      <sheetName val="序时账"/>
      <sheetName val="营业外收入"/>
      <sheetName val="营业外支出"/>
      <sheetName val="应付账款"/>
      <sheetName val="应付账款账龄分析"/>
      <sheetName val="应收账款内销"/>
      <sheetName val="应收账款外销"/>
      <sheetName val="应收账款账龄分析"/>
      <sheetName val="预付账款"/>
      <sheetName val="制造费用"/>
      <sheetName val="E1"/>
      <sheetName val="所有者权益(股东权益)变动表(本期)(未审)"/>
      <sheetName val="참고"/>
      <sheetName val="8.월별판관비"/>
      <sheetName val="0.1keyAssumption"/>
      <sheetName val="손익합산"/>
      <sheetName val="치약_v011؃栳蠀"/>
      <sheetName val="판가반영"/>
      <sheetName val="예금현황"/>
      <sheetName val="Margins"/>
      <sheetName val="2000년 충당금자료"/>
      <sheetName val="OtherKPI"/>
      <sheetName val="매  출"/>
      <sheetName val="채권 현황"/>
      <sheetName val="U"/>
      <sheetName val="금관"/>
      <sheetName val="경주"/>
      <sheetName val="백화"/>
      <sheetName val="보관문서목록표 기획"/>
      <sheetName val="TNC"/>
      <sheetName val="99종합"/>
      <sheetName val="유통조직현황"/>
      <sheetName val="목록"/>
      <sheetName val="선택지"/>
      <sheetName val="횡배수관집현황(2공구)"/>
      <sheetName val="2002년 교육출장비"/>
      <sheetName val="GEN"/>
      <sheetName val="총수율"/>
      <sheetName val="99계획대비실적"/>
      <sheetName val="갈현동"/>
      <sheetName val="구미2월"/>
      <sheetName val="안양2월"/>
      <sheetName val="경비"/>
      <sheetName val="2001Org"/>
      <sheetName val="BS(4)"/>
      <sheetName val="경제성분석"/>
      <sheetName val="文字"/>
      <sheetName val="Summary - Budget"/>
      <sheetName val="Chi tiet"/>
      <sheetName val="1월실적"/>
      <sheetName val="잉여금처분"/>
      <sheetName val="CFS"/>
      <sheetName val="C1551-1"/>
      <sheetName val="SHP100S"/>
      <sheetName val="HMS(고)"/>
      <sheetName val="HMB-21"/>
      <sheetName val="HMB-H"/>
      <sheetName val="HMB"/>
      <sheetName val="DMNB"/>
      <sheetName val="SHK157"/>
      <sheetName val="AM48-7"/>
      <sheetName val="SHBK200"/>
      <sheetName val="SHB110"/>
      <sheetName val="SHB106"/>
      <sheetName val="GTB"/>
      <sheetName val="SAMPLE"/>
      <sheetName val="제조판관요약"/>
      <sheetName val="제조경비-간접(추가)"/>
      <sheetName val="가동시간"/>
      <sheetName val="기계경비"/>
      <sheetName val="재료비-경비"/>
      <sheetName val="건물 상각비"/>
      <sheetName val="전력 연료"/>
      <sheetName val="인건비&amp;임율"/>
      <sheetName val="CT 190527"/>
      <sheetName val="Sheet10"/>
      <sheetName val="DMAW 유상샘플"/>
      <sheetName val="DMAW"/>
      <sheetName val="DMAB"/>
      <sheetName val="DMNB 20F"/>
      <sheetName val="YS1004 2700DE"/>
      <sheetName val="GA0519A2"/>
      <sheetName val="GA0519A1"/>
      <sheetName val="GA1024A2"/>
      <sheetName val="GA1024A1"/>
      <sheetName val="방오사3DE(STB) 유상샘플"/>
      <sheetName val="방오사3DE(STB) CIF"/>
      <sheetName val="방오사3DE(STB) DDP"/>
      <sheetName val="방오사6DE(STB) CIF"/>
      <sheetName val="방오사6DE(STB) DDP"/>
      <sheetName val="HMB-21S"/>
      <sheetName val="HMB(6D)"/>
      <sheetName val="HMB(3D)"/>
      <sheetName val="STB(15D)"/>
      <sheetName val="STB 20F"/>
      <sheetName val="STB"/>
      <sheetName val="식음료"/>
      <sheetName val="INDIA-ML"/>
      <sheetName val="YOUNGSU"/>
      <sheetName val="제조경비"/>
      <sheetName val="총"/>
      <sheetName val="윤영환"/>
      <sheetName val="경비분류(1)"/>
      <sheetName val="Revised PEGS98"/>
      <sheetName val="3_부점발견재산"/>
      <sheetName val="6_공사부점손익"/>
      <sheetName val="5_공사손익실적"/>
      <sheetName val="to_do"/>
      <sheetName val="식초"/>
      <sheetName val="년도별매출손익"/>
      <sheetName val="97품목별"/>
      <sheetName val="카라멜"/>
      <sheetName val="물엿"/>
      <sheetName val="쌀엿"/>
      <sheetName val="당면"/>
      <sheetName val="장비가동"/>
      <sheetName val="5"/>
      <sheetName val="Set-up"/>
      <sheetName val="전용선 (2)"/>
      <sheetName val="기준"/>
      <sheetName val="参数表"/>
      <sheetName val="MNT 개발계획_최종"/>
      <sheetName val="master"/>
      <sheetName val="short term loan"/>
      <sheetName val="Tax Category"/>
      <sheetName val="Acct Group"/>
      <sheetName val="기본정보입력"/>
      <sheetName val="1월실적屨ʨ§"/>
      <sheetName val="고정희"/>
      <sheetName val="가격합의서"/>
      <sheetName val="2013년12월~2014년4월 수불내역"/>
      <sheetName val="Input"/>
      <sheetName val="Comps"/>
      <sheetName val="1. Exercised"/>
      <sheetName val="Pref B"/>
      <sheetName val="Rollforward to Final"/>
      <sheetName val="Tickmarks"/>
      <sheetName val="VB_2"/>
      <sheetName val="108_수선비2"/>
      <sheetName val="원가계산_(2)2"/>
      <sheetName val="붙임2-1__지급조서명세서(2001년분)1"/>
      <sheetName val="중부사업담당_1-11월_원가3"/>
      <sheetName val="Office_only_Letup1"/>
      <sheetName val="0_0ControlSheet1"/>
      <sheetName val="공항,제주_판매율_분석1"/>
      <sheetName val="2_지분법적용주식Leadsheet(회사제시)1"/>
      <sheetName val="US_Revenue_(2)1"/>
      <sheetName val="01_12月_Lot별_판매실적_xls1"/>
      <sheetName val="Industry_Indices1"/>
      <sheetName val="현금흐름표_근거자료1"/>
      <sheetName val="Sheet1_(2)"/>
      <sheetName val="Item_LIST"/>
      <sheetName val="Volume_LIST"/>
      <sheetName val="값목록(Do_not_touch)"/>
      <sheetName val="5층_건축물대장_등기_예정1"/>
      <sheetName val="층별면적표-060411-5층_통합1"/>
      <sheetName val="45,46"/>
      <sheetName val="보험료"/>
      <sheetName val="상반기손익차2총괄"/>
      <sheetName val="Baby일위대가"/>
      <sheetName val="5.공종별예산내역서"/>
      <sheetName val="수지예산"/>
      <sheetName val="배수공"/>
      <sheetName val="부대공"/>
      <sheetName val="토공"/>
      <sheetName val="포장공"/>
      <sheetName val="설계명세서"/>
      <sheetName val="SH.R설치"/>
      <sheetName val="시험물량산출"/>
      <sheetName val="수원공사비"/>
      <sheetName val="세부"/>
      <sheetName val="종합판"/>
      <sheetName val="제조원가종합"/>
      <sheetName val="분당연립분양원가A"/>
      <sheetName val="95하U$가격"/>
      <sheetName val="코드정보"/>
      <sheetName val="결재용"/>
      <sheetName val="회수내역"/>
      <sheetName val="1995 Option Plan"/>
      <sheetName val="1997 Option Plan"/>
      <sheetName val="1996 Option Plan"/>
      <sheetName val="SERIES A"/>
      <sheetName val="SERIES B"/>
      <sheetName val="SERIES C"/>
      <sheetName val="COMMON STOCK"/>
      <sheetName val="SERIES D"/>
      <sheetName val="SERIES E"/>
      <sheetName val="Series F"/>
      <sheetName val="Warrants"/>
      <sheetName val="清單選項"/>
      <sheetName val="第17-1頁(輸入)"/>
      <sheetName val="第21頁(申報書)(不適用)"/>
      <sheetName val="Opening Balance Sheet Adj.{A}"/>
      <sheetName val="Warrants - Series A"/>
      <sheetName val="Rates"/>
      <sheetName val="판매파열품비"/>
      <sheetName val="Forecast"/>
      <sheetName val="GADJETGURU"/>
      <sheetName val="Feeds"/>
      <sheetName val="PetaSite"/>
      <sheetName val="Hardware"/>
      <sheetName val="Controls"/>
      <sheetName val="업무연락"/>
      <sheetName val="오음명부"/>
      <sheetName val="모델별"/>
      <sheetName val="주소작성"/>
      <sheetName val="기본"/>
      <sheetName val="ASALTOTA"/>
      <sheetName val="수불명세서"/>
      <sheetName val="재무상태변동표"/>
      <sheetName val="調整"/>
      <sheetName val="火災保険契約明細"/>
      <sheetName val="Index(변경금지)"/>
      <sheetName val="입력값(공통)"/>
      <sheetName val="datasht"/>
      <sheetName val="0.Data"/>
      <sheetName val="13역무손익"/>
      <sheetName val="적시입고율"/>
      <sheetName val="부재료Aging"/>
      <sheetName val="0408물류수불부"/>
      <sheetName val="SSMITM"/>
      <sheetName val="General"/>
      <sheetName val="Target3_1912"/>
      <sheetName val="RECON"/>
      <sheetName val="주요재무비율"/>
      <sheetName val="전산품의"/>
      <sheetName val="비교대차(완)"/>
      <sheetName val="144"/>
      <sheetName val="시산표(창원)"/>
      <sheetName val="dc"/>
      <sheetName val="보증금_전신전화가입권_"/>
      <sheetName val="1-7(재가공내역)"/>
      <sheetName val="temp_TranSum"/>
      <sheetName val="BKREC"/>
      <sheetName val="TAX"/>
      <sheetName val="Id"/>
      <sheetName val="Intro2"/>
      <sheetName val="TCTTOC"/>
      <sheetName val="경락률"/>
      <sheetName val="법원비용"/>
      <sheetName val="잔존년수"/>
      <sheetName val="항고구분"/>
      <sheetName val="경매회차하락률"/>
      <sheetName val="ADL Val"/>
      <sheetName val="ADL2 Val"/>
      <sheetName val="ADL3 Val"/>
      <sheetName val="ADL4 Val"/>
      <sheetName val="ADL5 Val"/>
      <sheetName val="ASO II Val"/>
      <sheetName val="ASO I Val"/>
      <sheetName val="ASO I Delaware Val"/>
      <sheetName val="GS CK"/>
      <sheetName val="ASO I Mauritius Val"/>
      <sheetName val="MDL Val"/>
      <sheetName val="Main_Assumptions"/>
      <sheetName val="Revenue_Assumptions"/>
      <sheetName val="Исходная база сентябрь"/>
      <sheetName val="5- МЫ"/>
      <sheetName val="10매출"/>
      <sheetName val="입장객세부추정,계획안"/>
      <sheetName val="1월실적Ř⒠_x0000__x0000_"/>
      <sheetName val="구분정보"/>
      <sheetName val="LEAD_SHEET_(K상각후회수율)"/>
      <sheetName val="DATA_입력란"/>
      <sheetName val="1__설계조건_2_단면가정_3__하중계산"/>
      <sheetName val="감사보고서_(날인X)_KEIT"/>
      <sheetName val="감사보고서_(날인X)_KIAT"/>
      <sheetName val="감사보고서_(날인X)_KETEP"/>
      <sheetName val="재원별지출내역_(2)"/>
      <sheetName val="연구시설·장비_및_재료비"/>
      <sheetName val="세목별_사용내역조회"/>
      <sheetName val="인건비_소요_명세"/>
      <sheetName val="AQL(0_65)"/>
      <sheetName val="수입검사현황_Rev1"/>
      <sheetName val="7_3_DY팀"/>
      <sheetName val="U3_1"/>
      <sheetName val="表03_"/>
      <sheetName val="DIVP_L_1998"/>
      <sheetName val="CF_RE_type"/>
      <sheetName val="제품L_D_"/>
      <sheetName val="220_(2)"/>
      <sheetName val="3_일반사상"/>
      <sheetName val="2181_91(Ex-pat)"/>
      <sheetName val="2150_2(Equip-oth)"/>
      <sheetName val="Business_Plan"/>
      <sheetName val="Cons_Total_company"/>
      <sheetName val="FL'G_WT_"/>
      <sheetName val="수금_"/>
      <sheetName val="1_능률현황"/>
      <sheetName val="2_호선별예상실적"/>
      <sheetName val="Korea_Sign-Internal"/>
      <sheetName val="IS"/>
      <sheetName val="97사업"/>
      <sheetName val="리드14"/>
      <sheetName val="95감가상각"/>
      <sheetName val="사할차금"/>
      <sheetName val="10월일보"/>
      <sheetName val="SIMULATION"/>
      <sheetName val="할인율"/>
      <sheetName val="支社"/>
      <sheetName val="検針結果"/>
      <sheetName val="자금동향"/>
      <sheetName val="Validation"/>
      <sheetName val="装"/>
      <sheetName val="TB_R3"/>
      <sheetName val="예수금"/>
      <sheetName val="Site Expenses"/>
      <sheetName val="PD-기여도"/>
      <sheetName val="for 회수"/>
      <sheetName val="调整分录"/>
      <sheetName val="환율"/>
      <sheetName val="제조원가계산서 (2)"/>
      <sheetName val="7.예수금이자,연체자금투입비용"/>
      <sheetName val="누계"/>
      <sheetName val="명부"/>
      <sheetName val="지정"/>
      <sheetName val="원가기준정보"/>
      <sheetName val="기계장치 (2)"/>
      <sheetName val="대차합동"/>
      <sheetName val="10월 급여"/>
      <sheetName val="변제"/>
      <sheetName val="상환대상"/>
      <sheetName val="광주"/>
      <sheetName val="2000제조1"/>
      <sheetName val="TABLE01"/>
      <sheetName val="신용카드(상각 고재균 활동 고재균)"/>
      <sheetName val="대환론(수정)"/>
      <sheetName val="일반론(수정)"/>
      <sheetName val="신용카드(상각 이상인 활동 이상인)"/>
      <sheetName val="대환론(상각 이상인 활동 이상인)"/>
      <sheetName val="일반론(상각 이상인 활동 이상인)"/>
      <sheetName val="1995년 섹터별 매출"/>
      <sheetName val="department"/>
      <sheetName val="적격심사표"/>
      <sheetName val="노무비"/>
      <sheetName val="손익집계(공장별)"/>
      <sheetName val="통합지보건전성(0201)"/>
      <sheetName val="합동별(기표용)"/>
      <sheetName val="기타예금_신탁예금_일별잔액"/>
      <sheetName val="[_x0000__x0000__x0000__x0000__x0000__x0000__x0000__x0000__x0000__x0000__x0000__x0000__x0000__x0000_"/>
      <sheetName val="(9차)(본드합포)"/>
      <sheetName val="주요품목수불(반기)"/>
      <sheetName val="매출원가"/>
      <sheetName val="반도체요약"/>
      <sheetName val="품셈표"/>
      <sheetName val="손익계산서(SJ)"/>
      <sheetName val="선비명세2"/>
      <sheetName val="등록정보"/>
      <sheetName val="A 8-7-1 중요계정파악"/>
      <sheetName val="품목별 판매량"/>
      <sheetName val="시산9812"/>
      <sheetName val="카테고리별 상세"/>
      <sheetName val="1월 1주차 PV"/>
      <sheetName val="Raw"/>
      <sheetName val="2019년_세부자료_(입력할_시트)"/>
      <sheetName val="2019년보험요율_(입력할_시트)"/>
      <sheetName val="별표 "/>
      <sheetName val="mwo원자재"/>
      <sheetName val="분당임차변경"/>
      <sheetName val="기본사항"/>
      <sheetName val="제품코드"/>
      <sheetName val="병"/>
      <sheetName val="분석적검토 BS"/>
      <sheetName val="dev"/>
      <sheetName val="인상안"/>
      <sheetName val="參數-勿刪除"/>
      <sheetName val="公債轉出帳戶"/>
      <sheetName val="會計師姓名"/>
      <sheetName val="품목별LOT"/>
      <sheetName val="정비활동_수선비 절감"/>
      <sheetName val="3.5 Inch 가동 효율"/>
      <sheetName val="2.5 Inch 가동 효율"/>
      <sheetName val="문제점"/>
      <sheetName val="미비용95"/>
      <sheetName val="선급법인세"/>
      <sheetName val="부문99-2"/>
      <sheetName val="비교99-00"/>
      <sheetName val="장부"/>
      <sheetName val="지불방법"/>
      <sheetName val="BPCARD"/>
      <sheetName val="Sheet1 (11)"/>
      <sheetName val="9709관리노무비"/>
      <sheetName val="9710기능가대장"/>
      <sheetName val="관리직 (2)"/>
      <sheetName val="배부후(1차)"/>
      <sheetName val="재료비집계표"/>
      <sheetName val="관리직"/>
      <sheetName val="COMP매출(원가)"/>
      <sheetName val="Checking"/>
      <sheetName val="설계명세"/>
      <sheetName val="미생뭘(전의)-11월"/>
      <sheetName val="1차 내역서"/>
      <sheetName val="도급FORM"/>
      <sheetName val="을지"/>
      <sheetName val="APT"/>
      <sheetName val="총괄갑 "/>
      <sheetName val="해외출자현황(원본틀)"/>
      <sheetName val="LUK."/>
      <sheetName val="정비활동_수선비_절감"/>
      <sheetName val="3_5_Inch_가동_효율"/>
      <sheetName val="2_5_Inch_가동_효율"/>
      <sheetName val="Allo"/>
      <sheetName val="정산내역서"/>
      <sheetName val="계통도"/>
      <sheetName val="자재"/>
      <sheetName val="개선안2"/>
      <sheetName val="개선안4"/>
      <sheetName val="배경"/>
      <sheetName val="목적"/>
      <sheetName val="시실누(모) "/>
      <sheetName val="기말참고사항"/>
      <sheetName val="Dialog1"/>
      <sheetName val="Module1"/>
      <sheetName val="作成年月指定"/>
      <sheetName val="【OBIC7】運用費用配分内訳"/>
      <sheetName val="3.운반"/>
      <sheetName val="0. 간접공사비"/>
      <sheetName val="3.공통공사대비"/>
      <sheetName val="ROYALTY"/>
      <sheetName val="업체별"/>
      <sheetName val="Æo°¡±aAØ"/>
      <sheetName val="구성비"/>
      <sheetName val="980731"/>
      <sheetName val="부서매칭(210809)"/>
      <sheetName val="토목본부"/>
      <sheetName val="타본부토목직"/>
      <sheetName val="토목직서열순"/>
      <sheetName val="M1master"/>
      <sheetName val="AGR070총누계"/>
      <sheetName val="사업소득자세수추계"/>
      <sheetName val="A翼写字楼"/>
      <sheetName val="Repayment Summary"/>
      <sheetName val="明细表"/>
      <sheetName val="选择报表"/>
      <sheetName val="储藏室"/>
      <sheetName val="核算项目余额表"/>
      <sheetName val="데이타"/>
      <sheetName val="主要规划指标"/>
      <sheetName val="敏感参数"/>
      <sheetName val="写字楼B"/>
      <sheetName val="#REF!"/>
      <sheetName val="average price"/>
      <sheetName val="05年预售率"/>
      <sheetName val="2006年宏观调控对绿城的影响"/>
      <sheetName val="Source"/>
      <sheetName val="F汇总"/>
      <sheetName val="敏感详细分析"/>
      <sheetName val="资产负债表"/>
      <sheetName val="面积指标"/>
      <sheetName val="PS-1995"/>
      <sheetName val="1공장_재공품생_x0000_ˣ렠"/>
      <sheetName val="(주)LG화학_99교보회신"/>
      <sheetName val="DropDownList"/>
      <sheetName val="(주)한국메티슨특수가스"/>
      <sheetName val="Dropdown"/>
      <sheetName val="금액내역서"/>
      <sheetName val="조직별 인원현황"/>
      <sheetName val="부서_계정"/>
      <sheetName val="기초정보"/>
      <sheetName val="절대지우지말것"/>
      <sheetName val="F456"/>
      <sheetName val="처분TEST"/>
      <sheetName val="1.외주공사"/>
      <sheetName val="2.직영공사"/>
      <sheetName val="캡쳐2"/>
      <sheetName val="성과급"/>
      <sheetName val="선급비용내역서"/>
      <sheetName val="공용"/>
      <sheetName val="안산기계장치"/>
      <sheetName val="Drop_down_참고"/>
      <sheetName val="JT3_0견적-구1"/>
      <sheetName val="기타선비"/>
      <sheetName val="치적유지비"/>
      <sheetName val="Dev Request"/>
      <sheetName val="HK share calculation"/>
      <sheetName val="WInter Alpine TBD"/>
      <sheetName val="EBP price calc"/>
      <sheetName val="HK LCV share R16"/>
      <sheetName val="Prices"/>
      <sheetName val="Sweeden registration CAR"/>
      <sheetName val="RUS LCV registration"/>
      <sheetName val="Scandinavia market (POOL)"/>
      <sheetName val="Baltic market (POOL)"/>
      <sheetName val="Russia (POOL_CIS)"/>
      <sheetName val="보관문서목록표_기획"/>
      <sheetName val="Dev_Request"/>
      <sheetName val="HK_share_calculation"/>
      <sheetName val="WInter_Alpine_TBD"/>
      <sheetName val="EBP_price_calc"/>
      <sheetName val="HK_LCV_share_R16"/>
      <sheetName val="Sweeden_registration_CAR"/>
      <sheetName val="RUS_LCV_registration"/>
      <sheetName val="Scandinavia_market_(POOL)"/>
      <sheetName val="Baltic_market_(POOL)"/>
      <sheetName val="Russia_(POOL_CIS)"/>
      <sheetName val="VPC"/>
      <sheetName val="Parameter"/>
      <sheetName val="1)101-E"/>
      <sheetName val="원본(약정외-비율외)"/>
      <sheetName val="정비활동_수선비_절감1"/>
      <sheetName val="3_5_Inch_가동_효율1"/>
      <sheetName val="2_5_Inch_가동_효율1"/>
      <sheetName val="정비활동_수선비_절감2"/>
      <sheetName val="3_5_Inch_가동_효율2"/>
      <sheetName val="2_5_Inch_가동_효율2"/>
      <sheetName val="정비활동_수선비_절감3"/>
      <sheetName val="3_5_Inch_가동_효율3"/>
      <sheetName val="2_5_Inch_가동_효율3"/>
      <sheetName val="00_08계정2"/>
      <sheetName val="중장기_외화자금_보정명세(PBC)2"/>
      <sheetName val="score_sheet5"/>
      <sheetName val="공제사업score_sheet5"/>
      <sheetName val="법인세비용_계산5"/>
      <sheetName val="정관_및_회계규정5"/>
      <sheetName val="주요ISSUE_사항5"/>
      <sheetName val="2006_과표및세액조정계산서5"/>
      <sheetName val="완성차_미수금5"/>
      <sheetName val="10_315"/>
      <sheetName val="정비활동_수선비_절감4"/>
      <sheetName val="3_5_Inch_가동_효율4"/>
      <sheetName val="2_5_Inch_가동_효율4"/>
      <sheetName val="외상매출금현황-수정분_A25"/>
      <sheetName val="계수원본(99_2_28)5"/>
      <sheetName val="YTD_Sales(0411)5"/>
      <sheetName val="매출_물동명세5"/>
      <sheetName val="Net_PL(세분류)4"/>
      <sheetName val="Cash_Flow4"/>
      <sheetName val="3_판관비명세서4"/>
      <sheetName val="1월실적_(2)4"/>
      <sheetName val="장할생활_(2)4"/>
      <sheetName val="아파트_기성내역서4"/>
      <sheetName val="증감분석_및_연결조정4"/>
      <sheetName val="2_대외공문4"/>
      <sheetName val="업무분장_4"/>
      <sheetName val="매출채권_및_담보비율_변동4"/>
      <sheetName val="1공장_재공품생산현황4"/>
      <sheetName val="11_17-11_234"/>
      <sheetName val="11_24-11_304"/>
      <sheetName val="2_상각보정명세4"/>
      <sheetName val="받을어음할인및_융통어음4"/>
      <sheetName val="비교원가제출_고4"/>
      <sheetName val="퇴직급여충당금12_314"/>
      <sheetName val="화섬_MDP4"/>
      <sheetName val="입력_판매3"/>
      <sheetName val="입력_인원3"/>
      <sheetName val="2_Critical_Component_Estimatio3"/>
      <sheetName val="아울렛_농산벤더3"/>
      <sheetName val="00_08계정3"/>
      <sheetName val="경영비율_3"/>
      <sheetName val="#2_BSPL3"/>
      <sheetName val="퇴직충당금(3_31)(국문)3"/>
      <sheetName val="매출액(명)_3"/>
      <sheetName val="118_세금과공과3"/>
      <sheetName val="control_sheet3"/>
      <sheetName val="VB_3"/>
      <sheetName val="중장기_외화자금_보정명세(PBC)3"/>
      <sheetName val="POS_(2)3"/>
      <sheetName val="05_1Q3"/>
      <sheetName val="산업은행_경영지표3"/>
      <sheetName val="unit_43"/>
      <sheetName val="내역서_(2)3"/>
      <sheetName val="INCOME_STATEMENT3"/>
      <sheetName val="Ref_Filed"/>
      <sheetName val="score_sheet7"/>
      <sheetName val="공제사업score_sheet7"/>
      <sheetName val="법인세비용_계산7"/>
      <sheetName val="정관_및_회계규정7"/>
      <sheetName val="주요ISSUE_사항7"/>
      <sheetName val="2006_과표및세액조정계산서7"/>
      <sheetName val="완성차_미수금7"/>
      <sheetName val="10_317"/>
      <sheetName val="정비활동_수선비_절감6"/>
      <sheetName val="3_5_Inch_가동_효율6"/>
      <sheetName val="2_5_Inch_가동_효율6"/>
      <sheetName val="외상매출금현황-수정분_A27"/>
      <sheetName val="계수원본(99_2_28)7"/>
      <sheetName val="YTD_Sales(0411)7"/>
      <sheetName val="매출_물동명세7"/>
      <sheetName val="Net_PL(세분류)6"/>
      <sheetName val="Cash_Flow6"/>
      <sheetName val="3_판관비명세서6"/>
      <sheetName val="1월실적_(2)6"/>
      <sheetName val="장할생활_(2)6"/>
      <sheetName val="아파트_기성내역서6"/>
      <sheetName val="증감분석_및_연결조정6"/>
      <sheetName val="2_대외공문6"/>
      <sheetName val="업무분장_6"/>
      <sheetName val="매출채권_및_담보비율_변동6"/>
      <sheetName val="1공장_재공품생산현황6"/>
      <sheetName val="11_17-11_236"/>
      <sheetName val="11_24-11_306"/>
      <sheetName val="2_상각보정명세6"/>
      <sheetName val="받을어음할인및_융통어음6"/>
      <sheetName val="비교원가제출_고6"/>
      <sheetName val="의뢰건_(2)5"/>
      <sheetName val="5_소재5"/>
      <sheetName val="Dólar_Observado5"/>
      <sheetName val="대차대조표12_015"/>
      <sheetName val="4-1__매출원가_손익계획_집계표5"/>
      <sheetName val="퇴직급여충당금12_316"/>
      <sheetName val="4_2유효폭의_계산5"/>
      <sheetName val="1_MDF1공장5"/>
      <sheetName val="CT_재공품생산현황5"/>
      <sheetName val="화섬_MDP6"/>
      <sheetName val="25_보증금(임차보증금외)5"/>
      <sheetName val="24_보증금(전신전화가입권)5"/>
      <sheetName val="비용_배부후5"/>
      <sheetName val="입력_판매5"/>
      <sheetName val="입력_인원5"/>
      <sheetName val="2_Critical_Component_Estimatio5"/>
      <sheetName val="Reference_(변경)5"/>
      <sheetName val="경영계획_수립_참고자료_▶▶▶5"/>
      <sheetName val="사업부서_작성자료_▶▶▶5"/>
      <sheetName val="15년_손익_(GS신규Vision)_요약-연간비교장5"/>
      <sheetName val="15년_손익_(GS신규Vision)_요약-(간접비_포함5"/>
      <sheetName val="15년_손익-GS신규Vision5"/>
      <sheetName val="매출_계획5"/>
      <sheetName val="매출계획_산출근거5"/>
      <sheetName val="재료비(율)_계획5"/>
      <sheetName val="재료비(율)_산출근거5"/>
      <sheetName val="인원인건비&amp;간접비_계획5"/>
      <sheetName val="감가상각비_계산5"/>
      <sheetName val="간접비_계획5"/>
      <sheetName val="Reference_(기존)5"/>
      <sheetName val="2014년_손익5"/>
      <sheetName val="15년_손익_(GDR_Rental사업)_요약-연간비교장5"/>
      <sheetName val="15년_손익_(GDR_Rent사업)_요약-(간접비_포함5"/>
      <sheetName val="15년_손익-GDR_Rental사업5"/>
      <sheetName val="매출&amp;재료비&amp;비용&amp;투자_산출근거5"/>
      <sheetName val="아울렛_농산벤더5"/>
      <sheetName val="00_08계정5"/>
      <sheetName val="경영비율_5"/>
      <sheetName val="#2_BSPL5"/>
      <sheetName val="퇴직충당금(3_31)(국문)5"/>
      <sheetName val="매출액(명)_5"/>
      <sheetName val="118_세금과공과5"/>
      <sheetName val="control_sheet5"/>
      <sheetName val="VB_5"/>
      <sheetName val="중장기_외화자금_보정명세(PBC)5"/>
      <sheetName val="POS_(2)5"/>
      <sheetName val="05_1Q5"/>
      <sheetName val="산업은행_경영지표5"/>
      <sheetName val="unit_45"/>
      <sheetName val="내역서_(2)5"/>
      <sheetName val="INCOME_STATEMENT5"/>
      <sheetName val="관계회사거래내역및_채권채무잔액_993"/>
      <sheetName val="Team_종합3"/>
      <sheetName val="에뛰드_내부관리가3"/>
      <sheetName val="Packaging_cost_Back_Data3"/>
      <sheetName val="현지법인_대손설정3"/>
      <sheetName val="원가계산_(2)4"/>
      <sheetName val="현금_및_예치금Lead3"/>
      <sheetName val="현금및예치금_명세서3"/>
      <sheetName val="유첨3_적용기준3"/>
      <sheetName val="업체손실공수_xls3"/>
      <sheetName val="108_수선비4"/>
      <sheetName val="General_Inputs3"/>
      <sheetName val="CGC_Inputs3"/>
      <sheetName val="Office_only_Letup3"/>
      <sheetName val="sap`04_7_143"/>
      <sheetName val="13_보증금(전신전화가입권)3"/>
      <sheetName val="붙임2-1__지급조서명세서(2001년분)3"/>
      <sheetName val="중부사업담당_1-11월_원가5"/>
      <sheetName val="0_0ControlSheet3"/>
      <sheetName val="현금흐름표_근거자료3"/>
      <sheetName val="01_12月_Lot별_판매실적_xls3"/>
      <sheetName val="Industry_Indices3"/>
      <sheetName val="공항,제주_판매율_분석3"/>
      <sheetName val="값목록(Do_not_touch)2"/>
      <sheetName val="Item_LIST2"/>
      <sheetName val="Volume_LIST2"/>
      <sheetName val="99_7월_당월회수_실적2"/>
      <sheetName val="US_Revenue_(2)3"/>
      <sheetName val="LEAD_SHEET_(K상각후회수율)2"/>
      <sheetName val="2_지분법적용주식Leadsheet(회사제시)2"/>
      <sheetName val="년간_자금계획(90일_적용)2"/>
      <sheetName val="서비스별_매출추이2"/>
      <sheetName val="참고__카본단가_비교2"/>
      <sheetName val="수입검사현황_Rev12"/>
      <sheetName val="7_3_DY팀2"/>
      <sheetName val="감사보고서_(날인X)_KEIT2"/>
      <sheetName val="감사보고서_(날인X)_KIAT2"/>
      <sheetName val="감사보고서_(날인X)_KETEP2"/>
      <sheetName val="재원별지출내역_(2)2"/>
      <sheetName val="연구시설·장비_및_재료비2"/>
      <sheetName val="세목별_사용내역조회2"/>
      <sheetName val="인건비_소요_명세2"/>
      <sheetName val="Sheet1_(2)2"/>
      <sheetName val="DATA_입력란2"/>
      <sheetName val="1__설계조건_2_단면가정_3__하중계산2"/>
      <sheetName val="7__2_2"/>
      <sheetName val="Bank_charge2"/>
      <sheetName val="AQL(0_65)2"/>
      <sheetName val="U3_12"/>
      <sheetName val="GEN_Inputs2"/>
      <sheetName val="表03_2"/>
      <sheetName val="DIVP_L_19982"/>
      <sheetName val="제품L_D_2"/>
      <sheetName val="TO_DO2"/>
      <sheetName val="CC_Down_load_07162"/>
      <sheetName val="CF_RE_type2"/>
      <sheetName val="Ref_Filed2"/>
      <sheetName val="220_(2)2"/>
      <sheetName val="3_일반사상2"/>
      <sheetName val="S1_1총괄2"/>
      <sheetName val="1_능률현황2"/>
      <sheetName val="2_호선별예상실적2"/>
      <sheetName val="score_sheet6"/>
      <sheetName val="공제사업score_sheet6"/>
      <sheetName val="법인세비용_계산6"/>
      <sheetName val="정관_및_회계규정6"/>
      <sheetName val="주요ISSUE_사항6"/>
      <sheetName val="2006_과표및세액조정계산서6"/>
      <sheetName val="완성차_미수금6"/>
      <sheetName val="10_316"/>
      <sheetName val="정비활동_수선비_절감5"/>
      <sheetName val="3_5_Inch_가동_효율5"/>
      <sheetName val="2_5_Inch_가동_효율5"/>
      <sheetName val="외상매출금현황-수정분_A26"/>
      <sheetName val="계수원본(99_2_28)6"/>
      <sheetName val="YTD_Sales(0411)6"/>
      <sheetName val="매출_물동명세6"/>
      <sheetName val="Net_PL(세분류)5"/>
      <sheetName val="Cash_Flow5"/>
      <sheetName val="3_판관비명세서5"/>
      <sheetName val="1월실적_(2)5"/>
      <sheetName val="장할생활_(2)5"/>
      <sheetName val="아파트_기성내역서5"/>
      <sheetName val="증감분석_및_연결조정5"/>
      <sheetName val="2_대외공문5"/>
      <sheetName val="업무분장_5"/>
      <sheetName val="매출채권_및_담보비율_변동5"/>
      <sheetName val="1공장_재공품생산현황5"/>
      <sheetName val="11_17-11_235"/>
      <sheetName val="11_24-11_305"/>
      <sheetName val="2_상각보정명세5"/>
      <sheetName val="받을어음할인및_융통어음5"/>
      <sheetName val="비교원가제출_고5"/>
      <sheetName val="의뢰건_(2)4"/>
      <sheetName val="5_소재4"/>
      <sheetName val="Dólar_Observado4"/>
      <sheetName val="대차대조표12_014"/>
      <sheetName val="4-1__매출원가_손익계획_집계표4"/>
      <sheetName val="퇴직급여충당금12_315"/>
      <sheetName val="4_2유효폭의_계산4"/>
      <sheetName val="1_MDF1공장4"/>
      <sheetName val="CT_재공품생산현황4"/>
      <sheetName val="화섬_MDP5"/>
      <sheetName val="25_보증금(임차보증금외)4"/>
      <sheetName val="24_보증금(전신전화가입권)4"/>
      <sheetName val="비용_배부후4"/>
      <sheetName val="입력_판매4"/>
      <sheetName val="입력_인원4"/>
      <sheetName val="2_Critical_Component_Estimatio4"/>
      <sheetName val="Reference_(변경)4"/>
      <sheetName val="경영계획_수립_참고자료_▶▶▶4"/>
      <sheetName val="사업부서_작성자료_▶▶▶4"/>
      <sheetName val="15년_손익_(GS신규Vision)_요약-연간비교장4"/>
      <sheetName val="15년_손익_(GS신규Vision)_요약-(간접비_포함4"/>
      <sheetName val="15년_손익-GS신규Vision4"/>
      <sheetName val="매출_계획4"/>
      <sheetName val="매출계획_산출근거4"/>
      <sheetName val="재료비(율)_계획4"/>
      <sheetName val="재료비(율)_산출근거4"/>
      <sheetName val="인원인건비&amp;간접비_계획4"/>
      <sheetName val="감가상각비_계산4"/>
      <sheetName val="간접비_계획4"/>
      <sheetName val="Reference_(기존)4"/>
      <sheetName val="2014년_손익4"/>
      <sheetName val="15년_손익_(GDR_Rental사업)_요약-연간비교장4"/>
      <sheetName val="15년_손익_(GDR_Rent사업)_요약-(간접비_포함4"/>
      <sheetName val="15년_손익-GDR_Rental사업4"/>
      <sheetName val="매출&amp;재료비&amp;비용&amp;투자_산출근거4"/>
      <sheetName val="아울렛_농산벤더4"/>
      <sheetName val="00_08계정4"/>
      <sheetName val="경영비율_4"/>
      <sheetName val="#2_BSPL4"/>
      <sheetName val="퇴직충당금(3_31)(국문)4"/>
      <sheetName val="매출액(명)_4"/>
      <sheetName val="118_세금과공과4"/>
      <sheetName val="control_sheet4"/>
      <sheetName val="VB_4"/>
      <sheetName val="중장기_외화자금_보정명세(PBC)4"/>
      <sheetName val="POS_(2)4"/>
      <sheetName val="05_1Q4"/>
      <sheetName val="산업은행_경영지표4"/>
      <sheetName val="unit_44"/>
      <sheetName val="내역서_(2)4"/>
      <sheetName val="INCOME_STATEMENT4"/>
      <sheetName val="에뛰드_내부관리가2"/>
      <sheetName val="Packaging_cost_Back_Data2"/>
      <sheetName val="원가계산_(2)3"/>
      <sheetName val="유첨3_적용기준2"/>
      <sheetName val="업체손실공수_xls2"/>
      <sheetName val="108_수선비3"/>
      <sheetName val="General_Inputs2"/>
      <sheetName val="CGC_Inputs2"/>
      <sheetName val="Office_only_Letup2"/>
      <sheetName val="sap`04_7_142"/>
      <sheetName val="13_보증금(전신전화가입권)2"/>
      <sheetName val="붙임2-1__지급조서명세서(2001년분)2"/>
      <sheetName val="중부사업담당_1-11월_원가4"/>
      <sheetName val="0_0ControlSheet2"/>
      <sheetName val="현금흐름표_근거자료2"/>
      <sheetName val="01_12月_Lot별_판매실적_xls2"/>
      <sheetName val="Industry_Indices2"/>
      <sheetName val="공항,제주_판매율_분석2"/>
      <sheetName val="값목록(Do_not_touch)1"/>
      <sheetName val="Item_LIST1"/>
      <sheetName val="Volume_LIST1"/>
      <sheetName val="99_7월_당월회수_실적1"/>
      <sheetName val="US_Revenue_(2)2"/>
      <sheetName val="LEAD_SHEET_(K상각후회수율)1"/>
      <sheetName val="서비스별_매출추이1"/>
      <sheetName val="수입검사현황_Rev11"/>
      <sheetName val="7_3_DY팀1"/>
      <sheetName val="감사보고서_(날인X)_KEIT1"/>
      <sheetName val="감사보고서_(날인X)_KIAT1"/>
      <sheetName val="감사보고서_(날인X)_KETEP1"/>
      <sheetName val="재원별지출내역_(2)1"/>
      <sheetName val="연구시설·장비_및_재료비1"/>
      <sheetName val="세목별_사용내역조회1"/>
      <sheetName val="인건비_소요_명세1"/>
      <sheetName val="Sheet1_(2)1"/>
      <sheetName val="DATA_입력란1"/>
      <sheetName val="1__설계조건_2_단면가정_3__하중계산1"/>
      <sheetName val="7__2_1"/>
      <sheetName val="Bank_charge1"/>
      <sheetName val="AQL(0_65)1"/>
      <sheetName val="U3_11"/>
      <sheetName val="GEN_Inputs1"/>
      <sheetName val="表03_1"/>
      <sheetName val="DIVP_L_19981"/>
      <sheetName val="제품L_D_1"/>
      <sheetName val="TO_DO1"/>
      <sheetName val="CF_RE_type1"/>
      <sheetName val="Ref_Filed1"/>
      <sheetName val="220_(2)1"/>
      <sheetName val="3_일반사상1"/>
      <sheetName val="S1_1총괄1"/>
      <sheetName val="1_능률현황1"/>
      <sheetName val="2_호선별예상실적1"/>
      <sheetName val="score_sheet8"/>
      <sheetName val="공제사업score_sheet8"/>
      <sheetName val="법인세비용_계산8"/>
      <sheetName val="정관_및_회계규정8"/>
      <sheetName val="주요ISSUE_사항8"/>
      <sheetName val="2006_과표및세액조정계산서8"/>
      <sheetName val="완성차_미수금8"/>
      <sheetName val="10_318"/>
      <sheetName val="정비활동_수선비_절감7"/>
      <sheetName val="3_5_Inch_가동_효율7"/>
      <sheetName val="2_5_Inch_가동_효율7"/>
      <sheetName val="외상매출금현황-수정분_A28"/>
      <sheetName val="계수원본(99_2_28)8"/>
      <sheetName val="YTD_Sales(0411)8"/>
      <sheetName val="매출_물동명세8"/>
      <sheetName val="Net_PL(세분류)7"/>
      <sheetName val="Cash_Flow7"/>
      <sheetName val="3_판관비명세서7"/>
      <sheetName val="1월실적_(2)7"/>
      <sheetName val="장할생활_(2)7"/>
      <sheetName val="아파트_기성내역서7"/>
      <sheetName val="증감분석_및_연결조정7"/>
      <sheetName val="2_대외공문7"/>
      <sheetName val="업무분장_7"/>
      <sheetName val="매출채권_및_담보비율_변동7"/>
      <sheetName val="1공장_재공품생산현황7"/>
      <sheetName val="11_17-11_237"/>
      <sheetName val="11_24-11_307"/>
      <sheetName val="2_상각보정명세7"/>
      <sheetName val="받을어음할인및_융통어음7"/>
      <sheetName val="비교원가제출_고7"/>
      <sheetName val="의뢰건_(2)6"/>
      <sheetName val="5_소재6"/>
      <sheetName val="Dólar_Observado6"/>
      <sheetName val="대차대조표12_016"/>
      <sheetName val="4-1__매출원가_손익계획_집계표6"/>
      <sheetName val="퇴직급여충당금12_317"/>
      <sheetName val="4_2유효폭의_계산6"/>
      <sheetName val="1_MDF1공장6"/>
      <sheetName val="CT_재공품생산현황6"/>
      <sheetName val="화섬_MDP7"/>
      <sheetName val="25_보증금(임차보증금외)6"/>
      <sheetName val="24_보증금(전신전화가입권)6"/>
      <sheetName val="비용_배부후6"/>
      <sheetName val="입력_판매6"/>
      <sheetName val="입력_인원6"/>
      <sheetName val="2_Critical_Component_Estimatio6"/>
      <sheetName val="Reference_(변경)6"/>
      <sheetName val="경영계획_수립_참고자료_▶▶▶6"/>
      <sheetName val="사업부서_작성자료_▶▶▶6"/>
      <sheetName val="15년_손익_(GS신규Vision)_요약-연간비교장6"/>
      <sheetName val="15년_손익_(GS신규Vision)_요약-(간접비_포함6"/>
      <sheetName val="15년_손익-GS신규Vision6"/>
      <sheetName val="매출_계획6"/>
      <sheetName val="매출계획_산출근거6"/>
      <sheetName val="재료비(율)_계획6"/>
      <sheetName val="재료비(율)_산출근거6"/>
      <sheetName val="인원인건비&amp;간접비_계획6"/>
      <sheetName val="감가상각비_계산6"/>
      <sheetName val="간접비_계획6"/>
      <sheetName val="Reference_(기존)6"/>
      <sheetName val="2014년_손익6"/>
      <sheetName val="15년_손익_(GDR_Rental사업)_요약-연간비교장6"/>
      <sheetName val="15년_손익_(GDR_Rent사업)_요약-(간접비_포함6"/>
      <sheetName val="15년_손익-GDR_Rental사업6"/>
      <sheetName val="매출&amp;재료비&amp;비용&amp;투자_산출근거6"/>
      <sheetName val="아울렛_농산벤더6"/>
      <sheetName val="00_08계정6"/>
      <sheetName val="경영비율_6"/>
      <sheetName val="#2_BSPL6"/>
      <sheetName val="퇴직충당금(3_31)(국문)6"/>
      <sheetName val="매출액(명)_6"/>
      <sheetName val="118_세금과공과6"/>
      <sheetName val="control_sheet6"/>
      <sheetName val="VB_6"/>
      <sheetName val="중장기_외화자금_보정명세(PBC)6"/>
      <sheetName val="POS_(2)6"/>
      <sheetName val="05_1Q6"/>
      <sheetName val="산업은행_경영지표6"/>
      <sheetName val="unit_46"/>
      <sheetName val="내역서_(2)6"/>
      <sheetName val="INCOME_STATEMENT6"/>
      <sheetName val="관계회사거래내역및_채권채무잔액_994"/>
      <sheetName val="Team_종합4"/>
      <sheetName val="에뛰드_내부관리가4"/>
      <sheetName val="Packaging_cost_Back_Data4"/>
      <sheetName val="현지법인_대손설정4"/>
      <sheetName val="원가계산_(2)5"/>
      <sheetName val="현금_및_예치금Lead4"/>
      <sheetName val="현금및예치금_명세서4"/>
      <sheetName val="유첨3_적용기준4"/>
      <sheetName val="업체손실공수_xls4"/>
      <sheetName val="108_수선비5"/>
      <sheetName val="General_Inputs4"/>
      <sheetName val="CGC_Inputs4"/>
      <sheetName val="Office_only_Letup4"/>
      <sheetName val="sap`04_7_144"/>
      <sheetName val="13_보증금(전신전화가입권)4"/>
      <sheetName val="붙임2-1__지급조서명세서(2001년분)4"/>
      <sheetName val="중부사업담당_1-11월_원가6"/>
      <sheetName val="0_0ControlSheet4"/>
      <sheetName val="현금흐름표_근거자료4"/>
      <sheetName val="01_12月_Lot별_판매실적_xls4"/>
      <sheetName val="Industry_Indices4"/>
      <sheetName val="공항,제주_판매율_분석4"/>
      <sheetName val="값목록(Do_not_touch)3"/>
      <sheetName val="Item_LIST3"/>
      <sheetName val="Volume_LIST3"/>
      <sheetName val="99_7월_당월회수_실적3"/>
      <sheetName val="US_Revenue_(2)4"/>
      <sheetName val="LEAD_SHEET_(K상각후회수율)3"/>
      <sheetName val="2_지분법적용주식Leadsheet(회사제시)3"/>
      <sheetName val="년간_자금계획(90일_적용)3"/>
      <sheetName val="서비스별_매출추이3"/>
      <sheetName val="참고__카본단가_비교3"/>
      <sheetName val="수입검사현황_Rev13"/>
      <sheetName val="7_3_DY팀3"/>
      <sheetName val="감사보고서_(날인X)_KEIT3"/>
      <sheetName val="감사보고서_(날인X)_KIAT3"/>
      <sheetName val="감사보고서_(날인X)_KETEP3"/>
      <sheetName val="재원별지출내역_(2)3"/>
      <sheetName val="연구시설·장비_및_재료비3"/>
      <sheetName val="세목별_사용내역조회3"/>
      <sheetName val="인건비_소요_명세3"/>
      <sheetName val="Sheet1_(2)3"/>
      <sheetName val="DATA_입력란3"/>
      <sheetName val="1__설계조건_2_단면가정_3__하중계산3"/>
      <sheetName val="7__2_3"/>
      <sheetName val="Bank_charge3"/>
      <sheetName val="AQL(0_65)3"/>
      <sheetName val="U3_13"/>
      <sheetName val="GEN_Inputs3"/>
      <sheetName val="表03_3"/>
      <sheetName val="DIVP_L_19983"/>
      <sheetName val="제품L_D_3"/>
      <sheetName val="TO_DO3"/>
      <sheetName val="CC_Down_load_07163"/>
      <sheetName val="CF_RE_type3"/>
      <sheetName val="Ref_Filed3"/>
      <sheetName val="220_(2)3"/>
      <sheetName val="3_일반사상3"/>
      <sheetName val="S1_1총괄3"/>
      <sheetName val="1_능률현황3"/>
      <sheetName val="2_호선별예상실적3"/>
      <sheetName val="7_(2)"/>
      <sheetName val="5_공종별예산내역서"/>
      <sheetName val="SH_R설치"/>
      <sheetName val="score_sheet9"/>
      <sheetName val="공제사업score_sheet9"/>
      <sheetName val="법인세비용_계산9"/>
      <sheetName val="정관_및_회계규정9"/>
      <sheetName val="주요ISSUE_사항9"/>
      <sheetName val="2006_과표및세액조정계산서9"/>
      <sheetName val="완성차_미수금9"/>
      <sheetName val="10_319"/>
      <sheetName val="정비활동_수선비_절감8"/>
      <sheetName val="3_5_Inch_가동_효율8"/>
      <sheetName val="2_5_Inch_가동_효율8"/>
      <sheetName val="외상매출금현황-수정분_A29"/>
      <sheetName val="계수원본(99_2_28)9"/>
      <sheetName val="YTD_Sales(0411)9"/>
      <sheetName val="매출_물동명세9"/>
      <sheetName val="Net_PL(세분류)8"/>
      <sheetName val="Cash_Flow8"/>
      <sheetName val="3_판관비명세서8"/>
      <sheetName val="1월실적_(2)8"/>
      <sheetName val="장할생활_(2)8"/>
      <sheetName val="아파트_기성내역서8"/>
      <sheetName val="증감분석_및_연결조정8"/>
      <sheetName val="2_대외공문8"/>
      <sheetName val="업무분장_8"/>
      <sheetName val="매출채권_및_담보비율_변동8"/>
      <sheetName val="1공장_재공품생산현황8"/>
      <sheetName val="11_17-11_238"/>
      <sheetName val="11_24-11_308"/>
      <sheetName val="2_상각보정명세8"/>
      <sheetName val="받을어음할인및_융통어음8"/>
      <sheetName val="비교원가제출_고8"/>
      <sheetName val="의뢰건_(2)7"/>
      <sheetName val="5_소재7"/>
      <sheetName val="Dólar_Observado7"/>
      <sheetName val="대차대조표12_017"/>
      <sheetName val="4-1__매출원가_손익계획_집계표7"/>
      <sheetName val="퇴직급여충당금12_318"/>
      <sheetName val="4_2유효폭의_계산7"/>
      <sheetName val="1_MDF1공장7"/>
      <sheetName val="CT_재공품생산현황7"/>
      <sheetName val="화섬_MDP8"/>
      <sheetName val="25_보증금(임차보증금외)7"/>
      <sheetName val="24_보증금(전신전화가입권)7"/>
      <sheetName val="비용_배부후7"/>
      <sheetName val="입력_판매7"/>
      <sheetName val="입력_인원7"/>
      <sheetName val="2_Critical_Component_Estimatio7"/>
      <sheetName val="Reference_(변경)7"/>
      <sheetName val="경영계획_수립_참고자료_▶▶▶7"/>
      <sheetName val="사업부서_작성자료_▶▶▶7"/>
      <sheetName val="15년_손익_(GS신규Vision)_요약-연간비교장7"/>
      <sheetName val="15년_손익_(GS신규Vision)_요약-(간접비_포함7"/>
      <sheetName val="15년_손익-GS신규Vision7"/>
      <sheetName val="매출_계획7"/>
      <sheetName val="매출계획_산출근거7"/>
      <sheetName val="재료비(율)_계획7"/>
      <sheetName val="재료비(율)_산출근거7"/>
      <sheetName val="인원인건비&amp;간접비_계획7"/>
      <sheetName val="감가상각비_계산7"/>
      <sheetName val="간접비_계획7"/>
      <sheetName val="Reference_(기존)7"/>
      <sheetName val="2014년_손익7"/>
      <sheetName val="15년_손익_(GDR_Rental사업)_요약-연간비교장7"/>
      <sheetName val="15년_손익_(GDR_Rent사업)_요약-(간접비_포함7"/>
      <sheetName val="15년_손익-GDR_Rental사업7"/>
      <sheetName val="매출&amp;재료비&amp;비용&amp;투자_산출근거7"/>
      <sheetName val="아울렛_농산벤더7"/>
      <sheetName val="00_08계정7"/>
      <sheetName val="경영비율_7"/>
      <sheetName val="#2_BSPL7"/>
      <sheetName val="퇴직충당금(3_31)(국문)7"/>
      <sheetName val="매출액(명)_7"/>
      <sheetName val="118_세금과공과7"/>
      <sheetName val="control_sheet7"/>
      <sheetName val="VB_7"/>
      <sheetName val="중장기_외화자금_보정명세(PBC)7"/>
      <sheetName val="POS_(2)7"/>
      <sheetName val="05_1Q7"/>
      <sheetName val="산업은행_경영지표7"/>
      <sheetName val="unit_47"/>
      <sheetName val="내역서_(2)7"/>
      <sheetName val="INCOME_STATEMENT7"/>
      <sheetName val="관계회사거래내역및_채권채무잔액_995"/>
      <sheetName val="Team_종합5"/>
      <sheetName val="에뛰드_내부관리가5"/>
      <sheetName val="Packaging_cost_Back_Data5"/>
      <sheetName val="현지법인_대손설정5"/>
      <sheetName val="원가계산_(2)6"/>
      <sheetName val="현금_및_예치금Lead5"/>
      <sheetName val="현금및예치금_명세서5"/>
      <sheetName val="유첨3_적용기준5"/>
      <sheetName val="업체손실공수_xls5"/>
      <sheetName val="108_수선비6"/>
      <sheetName val="General_Inputs5"/>
      <sheetName val="CGC_Inputs5"/>
      <sheetName val="Office_only_Letup5"/>
      <sheetName val="sap`04_7_145"/>
      <sheetName val="13_보증금(전신전화가입권)5"/>
      <sheetName val="붙임2-1__지급조서명세서(2001년분)5"/>
      <sheetName val="중부사업담당_1-11월_원가7"/>
      <sheetName val="0_0ControlSheet5"/>
      <sheetName val="현금흐름표_근거자료5"/>
      <sheetName val="01_12月_Lot별_판매실적_xls5"/>
      <sheetName val="Industry_Indices5"/>
      <sheetName val="공항,제주_판매율_분석5"/>
      <sheetName val="값목록(Do_not_touch)4"/>
      <sheetName val="Item_LIST4"/>
      <sheetName val="Volume_LIST4"/>
      <sheetName val="99_7월_당월회수_실적4"/>
      <sheetName val="US_Revenue_(2)5"/>
      <sheetName val="LEAD_SHEET_(K상각후회수율)4"/>
      <sheetName val="2_지분법적용주식Leadsheet(회사제시)4"/>
      <sheetName val="년간_자금계획(90일_적용)4"/>
      <sheetName val="서비스별_매출추이4"/>
      <sheetName val="참고__카본단가_비교4"/>
      <sheetName val="수입검사현황_Rev14"/>
      <sheetName val="7_3_DY팀4"/>
      <sheetName val="감사보고서_(날인X)_KEIT4"/>
      <sheetName val="감사보고서_(날인X)_KIAT4"/>
      <sheetName val="감사보고서_(날인X)_KETEP4"/>
      <sheetName val="재원별지출내역_(2)4"/>
      <sheetName val="연구시설·장비_및_재료비4"/>
      <sheetName val="세목별_사용내역조회4"/>
      <sheetName val="인건비_소요_명세4"/>
      <sheetName val="Sheet1_(2)4"/>
      <sheetName val="DATA_입력란4"/>
      <sheetName val="1__설계조건_2_단면가정_3__하중계산4"/>
      <sheetName val="7__2_4"/>
      <sheetName val="Bank_charge4"/>
      <sheetName val="AQL(0_65)4"/>
      <sheetName val="U3_14"/>
      <sheetName val="GEN_Inputs4"/>
      <sheetName val="表03_4"/>
      <sheetName val="DIVP_L_19984"/>
      <sheetName val="제품L_D_4"/>
      <sheetName val="TO_DO4"/>
      <sheetName val="CC_Down_load_07164"/>
      <sheetName val="CF_RE_type4"/>
      <sheetName val="Ref_Filed4"/>
      <sheetName val="220_(2)4"/>
      <sheetName val="3_일반사상4"/>
      <sheetName val="S1_1총괄4"/>
      <sheetName val="1_능률현황4"/>
      <sheetName val="2_호선별예상실적4"/>
      <sheetName val="7_(2)1"/>
      <sheetName val="2181_91(Ex-pat)1"/>
      <sheetName val="2150_2(Equip-oth)1"/>
      <sheetName val="5_공종별예산내역서1"/>
      <sheetName val="SH_R설치1"/>
      <sheetName val="Business_Plan1"/>
      <sheetName val="Korea_Sign-Internal1"/>
      <sheetName val="FY00_OP3rdPrty1"/>
      <sheetName val="Q3_actuals1"/>
      <sheetName val="0307_Q3Update1"/>
      <sheetName val="3_부점발견재산1"/>
      <sheetName val="6_공사부점손익1"/>
      <sheetName val="5_공사손익실적1"/>
      <sheetName val="Cons_Total_company1"/>
      <sheetName val="FL'G_WT_1"/>
      <sheetName val="수금_1"/>
      <sheetName val="이익처분"/>
      <sheetName val="대비표(토공1안)"/>
      <sheetName val="관리"/>
      <sheetName val="1,2공구원가계산서"/>
      <sheetName val="1공구산출내역서"/>
      <sheetName val="식재인부"/>
      <sheetName val="가공"/>
      <sheetName val="영업2"/>
      <sheetName val="협조전"/>
      <sheetName val="감가상각비(2002)"/>
      <sheetName val="조회총괄"/>
      <sheetName val="장외on2"/>
      <sheetName val="Gen Assumptions"/>
      <sheetName val="Admin(Acqusition) 2009 GMC"/>
      <sheetName val="NPV - New Plant"/>
      <sheetName val="NPV"/>
      <sheetName val="company_operations"/>
      <sheetName val="Summary_-_Budget"/>
      <sheetName val="Chi_tiet"/>
      <sheetName val="5客诉对比_(2)"/>
      <sheetName val="比较_(2)"/>
      <sheetName val="원가투입계획('15_06~12)_봉"/>
      <sheetName val="2002년_교육출장비"/>
      <sheetName val="8_월별판관비"/>
      <sheetName val="0_1keyAssumption"/>
      <sheetName val="재고_"/>
      <sheetName val="2000년_충당금자료"/>
      <sheetName val="매__출"/>
      <sheetName val="채권_현황"/>
      <sheetName val="기성및원가"/>
      <sheetName val="03A104KQ"/>
      <sheetName val="拉伸强度"/>
      <sheetName val="수원 RAW BT03(M292C)"/>
      <sheetName val="온도cycle"/>
      <sheetName val="8100"/>
      <sheetName val="숨기기"/>
      <sheetName val="수원_RAW_BT03(M292C)"/>
      <sheetName val="원료_CODE3"/>
      <sheetName val="노방제,촉진제_단가추이3"/>
      <sheetName val="FY00_OP3rdPrty2"/>
      <sheetName val="Q3_actuals2"/>
      <sheetName val="0307_Q3Update2"/>
      <sheetName val="5客诉对比_(2)1"/>
      <sheetName val="比较_(2)1"/>
      <sheetName val="LOT_이상품_조치_이력2"/>
      <sheetName val="재고_1"/>
      <sheetName val="7월_생산,자공정_불량_현황1"/>
      <sheetName val="8월_매출수주1"/>
      <sheetName val="2019년_세부자료_(입력할_시트)1"/>
      <sheetName val="2019년보험요율_(입력할_시트)1"/>
      <sheetName val="차체부품_INS_REPORT(갑)2"/>
      <sheetName val="날개수량1_52"/>
      <sheetName val="설_계2"/>
      <sheetName val="소송대라상_현장2"/>
      <sheetName val="원료_CODE2"/>
      <sheetName val="노방제,촉진제_단가추이2"/>
      <sheetName val="LOT_이상품_조치_이력1"/>
      <sheetName val="7월_생산,자공정_불량_현황"/>
      <sheetName val="8월_매출수주"/>
      <sheetName val="차체부품_INS_REPORT(갑)1"/>
      <sheetName val="날개수량1_51"/>
      <sheetName val="설_계1"/>
      <sheetName val="소송대라상_현장1"/>
      <sheetName val="코드관리"/>
      <sheetName val="LA(INVENTORY)"/>
      <sheetName val="감가상각비"/>
      <sheetName val="HISTORY REPORT-ARMOR ALL &amp; STP"/>
      <sheetName val="대차총괄"/>
      <sheetName val="기준정보"/>
      <sheetName val="Cover"/>
      <sheetName val="Indoor Disposer"/>
      <sheetName val="재고현황(Unit)"/>
      <sheetName val="폼관조직"/>
      <sheetName val="Cash_xdfcc_­藘☯̀"/>
      <sheetName val="Cash_xdf98_1嘈Ɐ跀"/>
      <sheetName val="Cash糑s둘⑥뛀"/>
      <sheetName val="Revenues"/>
      <sheetName val="영업외손"/>
      <sheetName val="일반관리"/>
      <sheetName val="특별손익"/>
      <sheetName val="VXXXXXX"/>
      <sheetName val="개발"/>
      <sheetName val="이천유선"/>
      <sheetName val="안성유선"/>
      <sheetName val="현예금등"/>
      <sheetName val="现金和银行"/>
      <sheetName val="P9"/>
      <sheetName val="CQFMA"/>
      <sheetName val="Variables"/>
      <sheetName val="피벗테이블"/>
      <sheetName val="Container항차정리"/>
      <sheetName val="전환분개"/>
      <sheetName val="목표대비실적(R)"/>
      <sheetName val="기초급"/>
      <sheetName val="직능급"/>
      <sheetName val="감가상각명세서(1)"/>
      <sheetName val="결산용"/>
      <sheetName val="유가증권"/>
      <sheetName val="JT3_0견적-구11"/>
      <sheetName val="원가투입계획('15_06~12)_봉1"/>
      <sheetName val="3_부점발견재산2"/>
      <sheetName val="6_공사부점손익2"/>
      <sheetName val="5_공사손익실적2"/>
      <sheetName val="5층_건축물대장_등기_예정2"/>
      <sheetName val="층별면적표-060411-5층_통합2"/>
      <sheetName val="Исходная_база_сентябрь1"/>
      <sheetName val="5-_МЫ1"/>
      <sheetName val="Main_Assumptions2"/>
      <sheetName val="Revenue_Assumptions2"/>
      <sheetName val="ADL_Val1"/>
      <sheetName val="ADL2_Val1"/>
      <sheetName val="ADL3_Val1"/>
      <sheetName val="ADL4_Val1"/>
      <sheetName val="ADL5_Val1"/>
      <sheetName val="ASO_II_Val1"/>
      <sheetName val="ASO_I_Val1"/>
      <sheetName val="ASO_I_Delaware_Val1"/>
      <sheetName val="GS_CK1"/>
      <sheetName val="ASO_I_Mauritius_Val1"/>
      <sheetName val="MDL_Val1"/>
      <sheetName val="Drop_down_참고1"/>
      <sheetName val="8_월별판관비1"/>
      <sheetName val="0_1keyAssumption1"/>
      <sheetName val="보관문서목록표_기획1"/>
      <sheetName val="2002년_교육출장비1"/>
      <sheetName val="company_operations1"/>
      <sheetName val="Summary_-_Budget1"/>
      <sheetName val="Chi_tiet1"/>
      <sheetName val="2000년_충당금자료1"/>
      <sheetName val="매__출1"/>
      <sheetName val="채권_현황1"/>
      <sheetName val="TOWER_12TON1"/>
      <sheetName val="TOWER_10TON1"/>
      <sheetName val="JIB_CRANE,HOIST1"/>
      <sheetName val="SUB_(N)1"/>
      <sheetName val="MNT_개발계획_최종1"/>
      <sheetName val="short_term_loan1"/>
      <sheetName val="Tax_Category1"/>
      <sheetName val="Acct_Group1"/>
      <sheetName val="Revised_PEGS981"/>
      <sheetName val="Исходная_база_сентябрь"/>
      <sheetName val="5-_МЫ"/>
      <sheetName val="Main_Assumptions1"/>
      <sheetName val="Revenue_Assumptions1"/>
      <sheetName val="ADL_Val"/>
      <sheetName val="ADL2_Val"/>
      <sheetName val="ADL3_Val"/>
      <sheetName val="ADL4_Val"/>
      <sheetName val="ADL5_Val"/>
      <sheetName val="ASO_II_Val"/>
      <sheetName val="ASO_I_Val"/>
      <sheetName val="ASO_I_Delaware_Val"/>
      <sheetName val="GS_CK"/>
      <sheetName val="ASO_I_Mauritius_Val"/>
      <sheetName val="MDL_Val"/>
      <sheetName val="TOWER_12TON"/>
      <sheetName val="TOWER_10TON"/>
      <sheetName val="JIB_CRANE,HOIST"/>
      <sheetName val="SUB_(N)"/>
      <sheetName val="MNT_개발계획_최종"/>
      <sheetName val="short_term_loan"/>
      <sheetName val="Tax_Category"/>
      <sheetName val="Acct_Group"/>
      <sheetName val="Revised_PEGS98"/>
      <sheetName val="XLR_NoRangeSheet"/>
      <sheetName val="Detail"/>
      <sheetName val="LUK_"/>
      <sheetName val="통계자료"/>
      <sheetName val="comp."/>
      <sheetName val="구분목록"/>
      <sheetName val="8340"/>
      <sheetName val="기준원단위"/>
      <sheetName val="score_sheet10"/>
      <sheetName val="공제사업score_sheet10"/>
      <sheetName val="법인세비용_계산10"/>
      <sheetName val="정관_및_회계규정10"/>
      <sheetName val="주요ISSUE_사항10"/>
      <sheetName val="2006_과표및세액조정계산서10"/>
      <sheetName val="완성차_미수금10"/>
      <sheetName val="10_3110"/>
      <sheetName val="정비활동_수선비_절감9"/>
      <sheetName val="3_5_Inch_가동_효율9"/>
      <sheetName val="2_5_Inch_가동_효율9"/>
      <sheetName val="외상매출금현황-수정분_A210"/>
      <sheetName val="계수원본(99_2_28)10"/>
      <sheetName val="YTD_Sales(0411)10"/>
      <sheetName val="매출_물동명세10"/>
      <sheetName val="Net_PL(세분류)9"/>
      <sheetName val="Cash_Flow9"/>
      <sheetName val="3_판관비명세서9"/>
      <sheetName val="1월실적_(2)9"/>
      <sheetName val="장할생활_(2)9"/>
      <sheetName val="아파트_기성내역서9"/>
      <sheetName val="증감분석_및_연결조정9"/>
      <sheetName val="2_대외공문9"/>
      <sheetName val="업무분장_9"/>
      <sheetName val="매출채권_및_담보비율_변동9"/>
      <sheetName val="1공장_재공품생산현황9"/>
      <sheetName val="11_17-11_239"/>
      <sheetName val="11_24-11_309"/>
      <sheetName val="2_상각보정명세9"/>
      <sheetName val="받을어음할인및_융통어음9"/>
      <sheetName val="비교원가제출_고9"/>
      <sheetName val="의뢰건_(2)8"/>
      <sheetName val="5_소재8"/>
      <sheetName val="Dólar_Observado8"/>
      <sheetName val="대차대조표12_018"/>
      <sheetName val="4-1__매출원가_손익계획_집계표8"/>
      <sheetName val="퇴직급여충당금12_319"/>
      <sheetName val="4_2유효폭의_계산8"/>
      <sheetName val="1_MDF1공장8"/>
      <sheetName val="CT_재공품생산현황8"/>
      <sheetName val="화섬_MDP9"/>
      <sheetName val="25_보증금(임차보증금외)8"/>
      <sheetName val="24_보증금(전신전화가입권)8"/>
      <sheetName val="비용_배부후8"/>
      <sheetName val="입력_판매8"/>
      <sheetName val="입력_인원8"/>
      <sheetName val="2_Critical_Component_Estimatio8"/>
      <sheetName val="Reference_(변경)8"/>
      <sheetName val="경영계획_수립_참고자료_▶▶▶8"/>
      <sheetName val="사업부서_작성자료_▶▶▶8"/>
      <sheetName val="15년_손익_(GS신규Vision)_요약-연간비교장8"/>
      <sheetName val="15년_손익_(GS신규Vision)_요약-(간접비_포함8"/>
      <sheetName val="15년_손익-GS신규Vision8"/>
      <sheetName val="매출_계획8"/>
      <sheetName val="매출계획_산출근거8"/>
      <sheetName val="재료비(율)_계획8"/>
      <sheetName val="재료비(율)_산출근거8"/>
      <sheetName val="인원인건비&amp;간접비_계획8"/>
      <sheetName val="감가상각비_계산8"/>
      <sheetName val="간접비_계획8"/>
      <sheetName val="Reference_(기존)8"/>
      <sheetName val="2014년_손익8"/>
      <sheetName val="15년_손익_(GDR_Rental사업)_요약-연간비교장8"/>
      <sheetName val="15년_손익_(GDR_Rent사업)_요약-(간접비_포함8"/>
      <sheetName val="15년_손익-GDR_Rental사업8"/>
      <sheetName val="매출&amp;재료비&amp;비용&amp;투자_산출근거8"/>
      <sheetName val="아울렛_농산벤더8"/>
      <sheetName val="00_08계정8"/>
      <sheetName val="경영비율_8"/>
      <sheetName val="#2_BSPL8"/>
      <sheetName val="퇴직충당금(3_31)(국문)8"/>
      <sheetName val="매출액(명)_8"/>
      <sheetName val="118_세금과공과8"/>
      <sheetName val="control_sheet8"/>
      <sheetName val="VB_8"/>
      <sheetName val="중장기_외화자금_보정명세(PBC)8"/>
      <sheetName val="POS_(2)8"/>
      <sheetName val="05_1Q8"/>
      <sheetName val="산업은행_경영지표8"/>
      <sheetName val="unit_48"/>
      <sheetName val="내역서_(2)8"/>
      <sheetName val="INCOME_STATEMENT8"/>
      <sheetName val="관계회사거래내역및_채권채무잔액_996"/>
      <sheetName val="Team_종합6"/>
      <sheetName val="에뛰드_내부관리가6"/>
      <sheetName val="Packaging_cost_Back_Data6"/>
      <sheetName val="현지법인_대손설정6"/>
      <sheetName val="원가계산_(2)7"/>
      <sheetName val="현금_및_예치금Lead6"/>
      <sheetName val="현금및예치금_명세서6"/>
      <sheetName val="유첨3_적용기준6"/>
      <sheetName val="업체손실공수_xls6"/>
      <sheetName val="108_수선비7"/>
      <sheetName val="General_Inputs6"/>
      <sheetName val="CGC_Inputs6"/>
      <sheetName val="Office_only_Letup6"/>
      <sheetName val="sap`04_7_146"/>
      <sheetName val="13_보증금(전신전화가입권)6"/>
      <sheetName val="붙임2-1__지급조서명세서(2001년분)6"/>
      <sheetName val="중부사업담당_1-11월_원가8"/>
      <sheetName val="0_0ControlSheet6"/>
      <sheetName val="현금흐름표_근거자료6"/>
      <sheetName val="01_12月_Lot별_판매실적_xls6"/>
      <sheetName val="Industry_Indices6"/>
      <sheetName val="공항,제주_판매율_분석6"/>
      <sheetName val="값목록(Do_not_touch)5"/>
      <sheetName val="Item_LIST5"/>
      <sheetName val="Volume_LIST5"/>
      <sheetName val="99_7월_당월회수_실적5"/>
      <sheetName val="US_Revenue_(2)6"/>
      <sheetName val="LEAD_SHEET_(K상각후회수율)5"/>
      <sheetName val="2_지분법적용주식Leadsheet(회사제시)5"/>
      <sheetName val="년간_자금계획(90일_적용)5"/>
      <sheetName val="서비스별_매출추이5"/>
      <sheetName val="참고__카본단가_비교5"/>
      <sheetName val="수입검사현황_Rev15"/>
      <sheetName val="7_3_DY팀5"/>
      <sheetName val="감사보고서_(날인X)_KEIT5"/>
      <sheetName val="감사보고서_(날인X)_KIAT5"/>
      <sheetName val="감사보고서_(날인X)_KETEP5"/>
      <sheetName val="재원별지출내역_(2)5"/>
      <sheetName val="연구시설·장비_및_재료비5"/>
      <sheetName val="세목별_사용내역조회5"/>
      <sheetName val="인건비_소요_명세5"/>
      <sheetName val="Sheet1_(2)5"/>
      <sheetName val="DATA_입력란5"/>
      <sheetName val="1__설계조건_2_단면가정_3__하중계산5"/>
      <sheetName val="7__2_5"/>
      <sheetName val="Bank_charge5"/>
      <sheetName val="AQL(0_65)5"/>
      <sheetName val="U3_15"/>
      <sheetName val="GEN_Inputs5"/>
      <sheetName val="表03_5"/>
      <sheetName val="DIVP_L_19985"/>
      <sheetName val="제품L_D_5"/>
      <sheetName val="TO_DO5"/>
      <sheetName val="CC_Down_load_07165"/>
      <sheetName val="CF_RE_type5"/>
      <sheetName val="Ref_Filed5"/>
      <sheetName val="220_(2)5"/>
      <sheetName val="3_일반사상5"/>
      <sheetName val="S1_1총괄5"/>
      <sheetName val="1_능률현황5"/>
      <sheetName val="2_호선별예상실적5"/>
      <sheetName val="7_(2)2"/>
      <sheetName val="2181_91(Ex-pat)2"/>
      <sheetName val="2150_2(Equip-oth)2"/>
      <sheetName val="5_공종별예산내역서2"/>
      <sheetName val="SH_R설치2"/>
      <sheetName val="Business_Plan2"/>
      <sheetName val="Korea_Sign-Internal2"/>
      <sheetName val="Cons_Total_company2"/>
      <sheetName val="FL'G_WT_2"/>
      <sheetName val="수금_2"/>
      <sheetName val="score_sheet11"/>
      <sheetName val="공제사업score_sheet11"/>
      <sheetName val="법인세비용_계산11"/>
      <sheetName val="정관_및_회계규정11"/>
      <sheetName val="주요ISSUE_사항11"/>
      <sheetName val="2006_과표및세액조정계산서11"/>
      <sheetName val="완성차_미수금11"/>
      <sheetName val="10_3111"/>
      <sheetName val="정비활동_수선비_절감10"/>
      <sheetName val="3_5_Inch_가동_효율10"/>
      <sheetName val="2_5_Inch_가동_효율10"/>
      <sheetName val="외상매출금현황-수정분_A211"/>
      <sheetName val="계수원본(99_2_28)11"/>
      <sheetName val="YTD_Sales(0411)11"/>
      <sheetName val="매출_물동명세11"/>
      <sheetName val="Net_PL(세분류)10"/>
      <sheetName val="Cash_Flow10"/>
      <sheetName val="3_판관비명세서10"/>
      <sheetName val="1월실적_(2)10"/>
      <sheetName val="장할생활_(2)10"/>
      <sheetName val="아파트_기성내역서10"/>
      <sheetName val="증감분석_및_연결조정10"/>
      <sheetName val="2_대외공문10"/>
      <sheetName val="업무분장_10"/>
      <sheetName val="매출채권_및_담보비율_변동10"/>
      <sheetName val="1공장_재공품생산현황10"/>
      <sheetName val="11_17-11_2310"/>
      <sheetName val="11_24-11_3010"/>
      <sheetName val="2_상각보정명세10"/>
      <sheetName val="받을어음할인및_융통어음10"/>
      <sheetName val="비교원가제출_고10"/>
      <sheetName val="의뢰건_(2)9"/>
      <sheetName val="5_소재9"/>
      <sheetName val="Dólar_Observado9"/>
      <sheetName val="대차대조표12_019"/>
      <sheetName val="4-1__매출원가_손익계획_집계표9"/>
      <sheetName val="퇴직급여충당금12_3110"/>
      <sheetName val="4_2유효폭의_계산9"/>
      <sheetName val="1_MDF1공장9"/>
      <sheetName val="CT_재공품생산현황9"/>
      <sheetName val="화섬_MDP10"/>
      <sheetName val="25_보증금(임차보증금외)9"/>
      <sheetName val="24_보증금(전신전화가입권)9"/>
      <sheetName val="비용_배부후9"/>
      <sheetName val="입력_판매9"/>
      <sheetName val="입력_인원9"/>
      <sheetName val="2_Critical_Component_Estimatio9"/>
      <sheetName val="Reference_(변경)9"/>
      <sheetName val="경영계획_수립_참고자료_▶▶▶9"/>
      <sheetName val="사업부서_작성자료_▶▶▶9"/>
      <sheetName val="15년_손익_(GS신규Vision)_요약-연간비교장9"/>
      <sheetName val="15년_손익_(GS신규Vision)_요약-(간접비_포함9"/>
      <sheetName val="15년_손익-GS신규Vision9"/>
      <sheetName val="매출_계획9"/>
      <sheetName val="매출계획_산출근거9"/>
      <sheetName val="재료비(율)_계획9"/>
      <sheetName val="재료비(율)_산출근거9"/>
      <sheetName val="인원인건비&amp;간접비_계획9"/>
      <sheetName val="감가상각비_계산9"/>
      <sheetName val="간접비_계획9"/>
      <sheetName val="Reference_(기존)9"/>
      <sheetName val="2014년_손익9"/>
      <sheetName val="15년_손익_(GDR_Rental사업)_요약-연간비교장9"/>
      <sheetName val="15년_손익_(GDR_Rent사업)_요약-(간접비_포함9"/>
      <sheetName val="15년_손익-GDR_Rental사업9"/>
      <sheetName val="매출&amp;재료비&amp;비용&amp;투자_산출근거9"/>
      <sheetName val="아울렛_농산벤더9"/>
      <sheetName val="00_08계정9"/>
      <sheetName val="경영비율_9"/>
      <sheetName val="#2_BSPL9"/>
      <sheetName val="퇴직충당금(3_31)(국문)9"/>
      <sheetName val="매출액(명)_9"/>
      <sheetName val="118_세금과공과9"/>
      <sheetName val="control_sheet9"/>
      <sheetName val="VB_9"/>
      <sheetName val="중장기_외화자금_보정명세(PBC)9"/>
      <sheetName val="POS_(2)9"/>
      <sheetName val="05_1Q9"/>
      <sheetName val="산업은행_경영지표9"/>
      <sheetName val="unit_49"/>
      <sheetName val="내역서_(2)9"/>
      <sheetName val="INCOME_STATEMENT9"/>
      <sheetName val="관계회사거래내역및_채권채무잔액_997"/>
      <sheetName val="Team_종합7"/>
      <sheetName val="에뛰드_내부관리가7"/>
      <sheetName val="Packaging_cost_Back_Data7"/>
      <sheetName val="현지법인_대손설정7"/>
      <sheetName val="원가계산_(2)8"/>
      <sheetName val="현금_및_예치금Lead7"/>
      <sheetName val="현금및예치금_명세서7"/>
      <sheetName val="유첨3_적용기준7"/>
      <sheetName val="업체손실공수_xls7"/>
      <sheetName val="108_수선비8"/>
      <sheetName val="General_Inputs7"/>
      <sheetName val="CGC_Inputs7"/>
      <sheetName val="Office_only_Letup7"/>
      <sheetName val="sap`04_7_147"/>
      <sheetName val="13_보증금(전신전화가입권)7"/>
      <sheetName val="붙임2-1__지급조서명세서(2001년분)7"/>
      <sheetName val="중부사업담당_1-11월_원가9"/>
      <sheetName val="0_0ControlSheet7"/>
      <sheetName val="현금흐름표_근거자료7"/>
      <sheetName val="01_12月_Lot별_판매실적_xls7"/>
      <sheetName val="Industry_Indices7"/>
      <sheetName val="공항,제주_판매율_분석7"/>
      <sheetName val="값목록(Do_not_touch)6"/>
      <sheetName val="Item_LIST6"/>
      <sheetName val="Volume_LIST6"/>
      <sheetName val="99_7월_당월회수_실적6"/>
      <sheetName val="US_Revenue_(2)7"/>
      <sheetName val="LEAD_SHEET_(K상각후회수율)6"/>
      <sheetName val="2_지분법적용주식Leadsheet(회사제시)6"/>
      <sheetName val="년간_자금계획(90일_적용)6"/>
      <sheetName val="서비스별_매출추이6"/>
      <sheetName val="참고__카본단가_비교6"/>
      <sheetName val="수입검사현황_Rev16"/>
      <sheetName val="7_3_DY팀6"/>
      <sheetName val="감사보고서_(날인X)_KEIT6"/>
      <sheetName val="감사보고서_(날인X)_KIAT6"/>
      <sheetName val="감사보고서_(날인X)_KETEP6"/>
      <sheetName val="재원별지출내역_(2)6"/>
      <sheetName val="연구시설·장비_및_재료비6"/>
      <sheetName val="세목별_사용내역조회6"/>
      <sheetName val="인건비_소요_명세6"/>
      <sheetName val="Sheet1_(2)6"/>
      <sheetName val="DATA_입력란6"/>
      <sheetName val="1__설계조건_2_단면가정_3__하중계산6"/>
      <sheetName val="7__2_6"/>
      <sheetName val="Bank_charge6"/>
      <sheetName val="AQL(0_65)6"/>
      <sheetName val="U3_16"/>
      <sheetName val="GEN_Inputs6"/>
      <sheetName val="表03_6"/>
      <sheetName val="DIVP_L_19986"/>
      <sheetName val="제품L_D_6"/>
      <sheetName val="TO_DO6"/>
      <sheetName val="CC_Down_load_07166"/>
      <sheetName val="CF_RE_type6"/>
      <sheetName val="Ref_Filed6"/>
      <sheetName val="220_(2)6"/>
      <sheetName val="3_일반사상6"/>
      <sheetName val="S1_1총괄6"/>
      <sheetName val="1_능률현황6"/>
      <sheetName val="2_호선별예상실적6"/>
      <sheetName val="7_(2)3"/>
      <sheetName val="2181_91(Ex-pat)3"/>
      <sheetName val="2150_2(Equip-oth)3"/>
      <sheetName val="5_공종별예산내역서3"/>
      <sheetName val="SH_R설치3"/>
      <sheetName val="Business_Plan3"/>
      <sheetName val="Korea_Sign-Internal3"/>
      <sheetName val="FY00_OP3rdPrty3"/>
      <sheetName val="Q3_actuals3"/>
      <sheetName val="0307_Q3Update3"/>
      <sheetName val="3_부점발견재산3"/>
      <sheetName val="6_공사부점손익3"/>
      <sheetName val="5_공사손익실적3"/>
      <sheetName val="Cons_Total_company3"/>
      <sheetName val="FL'G_WT_3"/>
      <sheetName val="수금_3"/>
      <sheetName val="score_sheet13"/>
      <sheetName val="공제사업score_sheet13"/>
      <sheetName val="법인세비용_계산13"/>
      <sheetName val="정관_및_회계규정13"/>
      <sheetName val="주요ISSUE_사항13"/>
      <sheetName val="2006_과표및세액조정계산서13"/>
      <sheetName val="완성차_미수금13"/>
      <sheetName val="10_3113"/>
      <sheetName val="정비활동_수선비_절감12"/>
      <sheetName val="3_5_Inch_가동_효율12"/>
      <sheetName val="2_5_Inch_가동_효율12"/>
      <sheetName val="외상매출금현황-수정분_A213"/>
      <sheetName val="계수원본(99_2_28)13"/>
      <sheetName val="YTD_Sales(0411)13"/>
      <sheetName val="매출_물동명세13"/>
      <sheetName val="Net_PL(세분류)12"/>
      <sheetName val="Cash_Flow12"/>
      <sheetName val="3_판관비명세서12"/>
      <sheetName val="1월실적_(2)12"/>
      <sheetName val="장할생활_(2)12"/>
      <sheetName val="아파트_기성내역서12"/>
      <sheetName val="증감분석_및_연결조정12"/>
      <sheetName val="2_대외공문12"/>
      <sheetName val="업무분장_12"/>
      <sheetName val="매출채권_및_담보비율_변동12"/>
      <sheetName val="1공장_재공품생산현황12"/>
      <sheetName val="11_17-11_2312"/>
      <sheetName val="11_24-11_3012"/>
      <sheetName val="2_상각보정명세12"/>
      <sheetName val="받을어음할인및_융통어음12"/>
      <sheetName val="비교원가제출_고12"/>
      <sheetName val="의뢰건_(2)11"/>
      <sheetName val="5_소재11"/>
      <sheetName val="Dólar_Observado11"/>
      <sheetName val="대차대조표12_0111"/>
      <sheetName val="4-1__매출원가_손익계획_집계표11"/>
      <sheetName val="퇴직급여충당금12_3112"/>
      <sheetName val="4_2유효폭의_계산11"/>
      <sheetName val="1_MDF1공장11"/>
      <sheetName val="CT_재공품생산현황11"/>
      <sheetName val="화섬_MDP12"/>
      <sheetName val="25_보증금(임차보증금외)11"/>
      <sheetName val="24_보증금(전신전화가입권)11"/>
      <sheetName val="비용_배부후11"/>
      <sheetName val="입력_판매11"/>
      <sheetName val="입력_인원11"/>
      <sheetName val="2_Critical_Component_Estimati11"/>
      <sheetName val="Reference_(변경)11"/>
      <sheetName val="경영계획_수립_참고자료_▶▶▶11"/>
      <sheetName val="사업부서_작성자료_▶▶▶11"/>
      <sheetName val="15년_손익_(GS신규Vision)_요약-연간비교장11"/>
      <sheetName val="15년_손익_(GS신규Vision)_요약-(간접비_포11"/>
      <sheetName val="15년_손익-GS신규Vision11"/>
      <sheetName val="매출_계획11"/>
      <sheetName val="매출계획_산출근거11"/>
      <sheetName val="재료비(율)_계획11"/>
      <sheetName val="재료비(율)_산출근거11"/>
      <sheetName val="인원인건비&amp;간접비_계획11"/>
      <sheetName val="감가상각비_계산11"/>
      <sheetName val="간접비_계획11"/>
      <sheetName val="Reference_(기존)11"/>
      <sheetName val="2014년_손익11"/>
      <sheetName val="15년_손익_(GDR_Rental사업)_요약-연간비교11"/>
      <sheetName val="15년_손익_(GDR_Rent사업)_요약-(간접비_포11"/>
      <sheetName val="15년_손익-GDR_Rental사업11"/>
      <sheetName val="매출&amp;재료비&amp;비용&amp;투자_산출근거11"/>
      <sheetName val="아울렛_농산벤더11"/>
      <sheetName val="00_08계정11"/>
      <sheetName val="경영비율_11"/>
      <sheetName val="#2_BSPL11"/>
      <sheetName val="퇴직충당금(3_31)(국문)11"/>
      <sheetName val="매출액(명)_11"/>
      <sheetName val="118_세금과공과11"/>
      <sheetName val="control_sheet11"/>
      <sheetName val="VB_11"/>
      <sheetName val="중장기_외화자금_보정명세(PBC)11"/>
      <sheetName val="POS_(2)11"/>
      <sheetName val="05_1Q11"/>
      <sheetName val="산업은행_경영지표11"/>
      <sheetName val="unit_411"/>
      <sheetName val="내역서_(2)11"/>
      <sheetName val="INCOME_STATEMENT11"/>
      <sheetName val="관계회사거래내역및_채권채무잔액_999"/>
      <sheetName val="Team_종합9"/>
      <sheetName val="에뛰드_내부관리가9"/>
      <sheetName val="Packaging_cost_Back_Data9"/>
      <sheetName val="현지법인_대손설정9"/>
      <sheetName val="원가계산_(2)10"/>
      <sheetName val="현금_및_예치금Lead9"/>
      <sheetName val="현금및예치금_명세서9"/>
      <sheetName val="유첨3_적용기준9"/>
      <sheetName val="업체손실공수_xls9"/>
      <sheetName val="108_수선비10"/>
      <sheetName val="General_Inputs9"/>
      <sheetName val="CGC_Inputs9"/>
      <sheetName val="Office_only_Letup9"/>
      <sheetName val="sap`04_7_149"/>
      <sheetName val="13_보증금(전신전화가입권)9"/>
      <sheetName val="붙임2-1__지급조서명세서(2001년분)9"/>
      <sheetName val="중부사업담당_1-11월_원가11"/>
      <sheetName val="0_0ControlSheet9"/>
      <sheetName val="현금흐름표_근거자료9"/>
      <sheetName val="01_12月_Lot별_판매실적_xls9"/>
      <sheetName val="Industry_Indices9"/>
      <sheetName val="공항,제주_판매율_분석9"/>
      <sheetName val="값목록(Do_not_touch)8"/>
      <sheetName val="Item_LIST8"/>
      <sheetName val="Volume_LIST8"/>
      <sheetName val="99_7월_당월회수_실적8"/>
      <sheetName val="US_Revenue_(2)9"/>
      <sheetName val="LEAD_SHEET_(K상각후회수율)8"/>
      <sheetName val="2_지분법적용주식Leadsheet(회사제시)8"/>
      <sheetName val="년간_자금계획(90일_적용)8"/>
      <sheetName val="서비스별_매출추이8"/>
      <sheetName val="참고__카본단가_비교8"/>
      <sheetName val="수입검사현황_Rev18"/>
      <sheetName val="7_3_DY팀8"/>
      <sheetName val="감사보고서_(날인X)_KEIT8"/>
      <sheetName val="감사보고서_(날인X)_KIAT8"/>
      <sheetName val="감사보고서_(날인X)_KETEP8"/>
      <sheetName val="재원별지출내역_(2)8"/>
      <sheetName val="연구시설·장비_및_재료비8"/>
      <sheetName val="세목별_사용내역조회8"/>
      <sheetName val="인건비_소요_명세8"/>
      <sheetName val="Sheet1_(2)8"/>
      <sheetName val="DATA_입력란8"/>
      <sheetName val="1__설계조건_2_단면가정_3__하중계산8"/>
      <sheetName val="7__2_8"/>
      <sheetName val="Bank_charge8"/>
      <sheetName val="AQL(0_65)8"/>
      <sheetName val="U3_18"/>
      <sheetName val="GEN_Inputs8"/>
      <sheetName val="表03_8"/>
      <sheetName val="DIVP_L_19988"/>
      <sheetName val="제품L_D_8"/>
      <sheetName val="TO_DO8"/>
      <sheetName val="CC_Down_load_07168"/>
      <sheetName val="CF_RE_type8"/>
      <sheetName val="Ref_Filed8"/>
      <sheetName val="220_(2)8"/>
      <sheetName val="3_일반사상8"/>
      <sheetName val="S1_1총괄8"/>
      <sheetName val="1_능률현황8"/>
      <sheetName val="2_호선별예상실적8"/>
      <sheetName val="7_(2)5"/>
      <sheetName val="2181_91(Ex-pat)5"/>
      <sheetName val="2150_2(Equip-oth)5"/>
      <sheetName val="5_공종별예산내역서5"/>
      <sheetName val="SH_R설치5"/>
      <sheetName val="Business_Plan5"/>
      <sheetName val="Korea_Sign-Internal5"/>
      <sheetName val="FY00_OP3rdPrty5"/>
      <sheetName val="Q3_actuals5"/>
      <sheetName val="0307_Q3Update5"/>
      <sheetName val="3_부점발견재산5"/>
      <sheetName val="6_공사부점손익5"/>
      <sheetName val="5_공사손익실적5"/>
      <sheetName val="Cons_Total_company5"/>
      <sheetName val="FL'G_WT_5"/>
      <sheetName val="수금_5"/>
      <sheetName val="score_sheet12"/>
      <sheetName val="공제사업score_sheet12"/>
      <sheetName val="법인세비용_계산12"/>
      <sheetName val="정관_및_회계규정12"/>
      <sheetName val="주요ISSUE_사항12"/>
      <sheetName val="2006_과표및세액조정계산서12"/>
      <sheetName val="완성차_미수금12"/>
      <sheetName val="10_3112"/>
      <sheetName val="정비활동_수선비_절감11"/>
      <sheetName val="3_5_Inch_가동_효율11"/>
      <sheetName val="2_5_Inch_가동_효율11"/>
      <sheetName val="외상매출금현황-수정분_A212"/>
      <sheetName val="계수원본(99_2_28)12"/>
      <sheetName val="YTD_Sales(0411)12"/>
      <sheetName val="매출_물동명세12"/>
      <sheetName val="Net_PL(세분류)11"/>
      <sheetName val="Cash_Flow11"/>
      <sheetName val="3_판관비명세서11"/>
      <sheetName val="1월실적_(2)11"/>
      <sheetName val="장할생활_(2)11"/>
      <sheetName val="아파트_기성내역서11"/>
      <sheetName val="증감분석_및_연결조정11"/>
      <sheetName val="2_대외공문11"/>
      <sheetName val="업무분장_11"/>
      <sheetName val="매출채권_및_담보비율_변동11"/>
      <sheetName val="1공장_재공품생산현황11"/>
      <sheetName val="11_17-11_2311"/>
      <sheetName val="11_24-11_3011"/>
      <sheetName val="2_상각보정명세11"/>
      <sheetName val="받을어음할인및_융통어음11"/>
      <sheetName val="비교원가제출_고11"/>
      <sheetName val="의뢰건_(2)10"/>
      <sheetName val="5_소재10"/>
      <sheetName val="Dólar_Observado10"/>
      <sheetName val="대차대조표12_0110"/>
      <sheetName val="4-1__매출원가_손익계획_집계표10"/>
      <sheetName val="퇴직급여충당금12_3111"/>
      <sheetName val="4_2유효폭의_계산10"/>
      <sheetName val="1_MDF1공장10"/>
      <sheetName val="CT_재공품생산현황10"/>
      <sheetName val="화섬_MDP11"/>
      <sheetName val="25_보증금(임차보증금외)10"/>
      <sheetName val="24_보증금(전신전화가입권)10"/>
      <sheetName val="비용_배부후10"/>
      <sheetName val="입력_판매10"/>
      <sheetName val="입력_인원10"/>
      <sheetName val="2_Critical_Component_Estimati10"/>
      <sheetName val="Reference_(변경)10"/>
      <sheetName val="경영계획_수립_참고자료_▶▶▶10"/>
      <sheetName val="사업부서_작성자료_▶▶▶10"/>
      <sheetName val="15년_손익_(GS신규Vision)_요약-연간비교장10"/>
      <sheetName val="15년_손익_(GS신규Vision)_요약-(간접비_포10"/>
      <sheetName val="15년_손익-GS신규Vision10"/>
      <sheetName val="매출_계획10"/>
      <sheetName val="매출계획_산출근거10"/>
      <sheetName val="재료비(율)_계획10"/>
      <sheetName val="재료비(율)_산출근거10"/>
      <sheetName val="인원인건비&amp;간접비_계획10"/>
      <sheetName val="감가상각비_계산10"/>
      <sheetName val="간접비_계획10"/>
      <sheetName val="Reference_(기존)10"/>
      <sheetName val="2014년_손익10"/>
      <sheetName val="15년_손익_(GDR_Rental사업)_요약-연간비교10"/>
      <sheetName val="15년_손익_(GDR_Rent사업)_요약-(간접비_포10"/>
      <sheetName val="15년_손익-GDR_Rental사업10"/>
      <sheetName val="매출&amp;재료비&amp;비용&amp;투자_산출근거10"/>
      <sheetName val="아울렛_농산벤더10"/>
      <sheetName val="00_08계정10"/>
      <sheetName val="경영비율_10"/>
      <sheetName val="#2_BSPL10"/>
      <sheetName val="퇴직충당금(3_31)(국문)10"/>
      <sheetName val="매출액(명)_10"/>
      <sheetName val="118_세금과공과10"/>
      <sheetName val="control_sheet10"/>
      <sheetName val="VB_10"/>
      <sheetName val="중장기_외화자금_보정명세(PBC)10"/>
      <sheetName val="POS_(2)10"/>
      <sheetName val="05_1Q10"/>
      <sheetName val="산업은행_경영지표10"/>
      <sheetName val="unit_410"/>
      <sheetName val="내역서_(2)10"/>
      <sheetName val="INCOME_STATEMENT10"/>
      <sheetName val="관계회사거래내역및_채권채무잔액_998"/>
      <sheetName val="Team_종합8"/>
      <sheetName val="에뛰드_내부관리가8"/>
      <sheetName val="Packaging_cost_Back_Data8"/>
      <sheetName val="현지법인_대손설정8"/>
      <sheetName val="원가계산_(2)9"/>
      <sheetName val="현금_및_예치금Lead8"/>
      <sheetName val="현금및예치금_명세서8"/>
      <sheetName val="유첨3_적용기준8"/>
      <sheetName val="업체손실공수_xls8"/>
      <sheetName val="108_수선비9"/>
      <sheetName val="General_Inputs8"/>
      <sheetName val="CGC_Inputs8"/>
      <sheetName val="Office_only_Letup8"/>
      <sheetName val="sap`04_7_148"/>
      <sheetName val="13_보증금(전신전화가입권)8"/>
      <sheetName val="붙임2-1__지급조서명세서(2001년분)8"/>
      <sheetName val="중부사업담당_1-11월_원가10"/>
      <sheetName val="0_0ControlSheet8"/>
      <sheetName val="현금흐름표_근거자료8"/>
      <sheetName val="01_12月_Lot별_판매실적_xls8"/>
      <sheetName val="Industry_Indices8"/>
      <sheetName val="공항,제주_판매율_분석8"/>
      <sheetName val="값목록(Do_not_touch)7"/>
      <sheetName val="Item_LIST7"/>
      <sheetName val="Volume_LIST7"/>
      <sheetName val="99_7월_당월회수_실적7"/>
      <sheetName val="US_Revenue_(2)8"/>
      <sheetName val="LEAD_SHEET_(K상각후회수율)7"/>
      <sheetName val="2_지분법적용주식Leadsheet(회사제시)7"/>
      <sheetName val="년간_자금계획(90일_적용)7"/>
      <sheetName val="서비스별_매출추이7"/>
      <sheetName val="참고__카본단가_비교7"/>
      <sheetName val="수입검사현황_Rev17"/>
      <sheetName val="7_3_DY팀7"/>
      <sheetName val="감사보고서_(날인X)_KEIT7"/>
      <sheetName val="감사보고서_(날인X)_KIAT7"/>
      <sheetName val="감사보고서_(날인X)_KETEP7"/>
      <sheetName val="재원별지출내역_(2)7"/>
      <sheetName val="연구시설·장비_및_재료비7"/>
      <sheetName val="세목별_사용내역조회7"/>
      <sheetName val="인건비_소요_명세7"/>
      <sheetName val="Sheet1_(2)7"/>
      <sheetName val="DATA_입력란7"/>
      <sheetName val="1__설계조건_2_단면가정_3__하중계산7"/>
      <sheetName val="7__2_7"/>
      <sheetName val="Bank_charge7"/>
      <sheetName val="AQL(0_65)7"/>
      <sheetName val="U3_17"/>
      <sheetName val="GEN_Inputs7"/>
      <sheetName val="表03_7"/>
      <sheetName val="DIVP_L_19987"/>
      <sheetName val="제품L_D_7"/>
      <sheetName val="TO_DO7"/>
      <sheetName val="CC_Down_load_07167"/>
      <sheetName val="CF_RE_type7"/>
      <sheetName val="Ref_Filed7"/>
      <sheetName val="220_(2)7"/>
      <sheetName val="3_일반사상7"/>
      <sheetName val="S1_1총괄7"/>
      <sheetName val="1_능률현황7"/>
      <sheetName val="2_호선별예상실적7"/>
      <sheetName val="7_(2)4"/>
      <sheetName val="2181_91(Ex-pat)4"/>
      <sheetName val="2150_2(Equip-oth)4"/>
      <sheetName val="5_공종별예산내역서4"/>
      <sheetName val="SH_R설치4"/>
      <sheetName val="Business_Plan4"/>
      <sheetName val="Korea_Sign-Internal4"/>
      <sheetName val="FY00_OP3rdPrty4"/>
      <sheetName val="Q3_actuals4"/>
      <sheetName val="0307_Q3Update4"/>
      <sheetName val="3_부점발견재산4"/>
      <sheetName val="6_공사부점손익4"/>
      <sheetName val="5_공사손익실적4"/>
      <sheetName val="Cons_Total_company4"/>
      <sheetName val="FL'G_WT_4"/>
      <sheetName val="수금_4"/>
      <sheetName val="score_sheet14"/>
      <sheetName val="공제사업score_sheet14"/>
      <sheetName val="법인세비용_계산14"/>
      <sheetName val="정관_및_회계규정14"/>
      <sheetName val="주요ISSUE_사항14"/>
      <sheetName val="2006_과표및세액조정계산서14"/>
      <sheetName val="완성차_미수금14"/>
      <sheetName val="10_3114"/>
      <sheetName val="정비활동_수선비_절감13"/>
      <sheetName val="3_5_Inch_가동_효율13"/>
      <sheetName val="2_5_Inch_가동_효율13"/>
      <sheetName val="외상매출금현황-수정분_A214"/>
      <sheetName val="계수원본(99_2_28)14"/>
      <sheetName val="YTD_Sales(0411)14"/>
      <sheetName val="매출_물동명세14"/>
      <sheetName val="Net_PL(세분류)13"/>
      <sheetName val="Cash_Flow13"/>
      <sheetName val="3_판관비명세서13"/>
      <sheetName val="1월실적_(2)13"/>
      <sheetName val="장할생활_(2)13"/>
      <sheetName val="아파트_기성내역서13"/>
      <sheetName val="증감분석_및_연결조정13"/>
      <sheetName val="2_대외공문13"/>
      <sheetName val="업무분장_13"/>
      <sheetName val="매출채권_및_담보비율_변동13"/>
      <sheetName val="1공장_재공품생산현황13"/>
      <sheetName val="11_17-11_2313"/>
      <sheetName val="11_24-11_3013"/>
      <sheetName val="2_상각보정명세13"/>
      <sheetName val="받을어음할인및_융통어음13"/>
      <sheetName val="비교원가제출_고13"/>
      <sheetName val="의뢰건_(2)12"/>
      <sheetName val="5_소재12"/>
      <sheetName val="Dólar_Observado12"/>
      <sheetName val="대차대조표12_0112"/>
      <sheetName val="4-1__매출원가_손익계획_집계표12"/>
      <sheetName val="퇴직급여충당금12_3113"/>
      <sheetName val="4_2유효폭의_계산12"/>
      <sheetName val="1_MDF1공장12"/>
      <sheetName val="CT_재공품생산현황12"/>
      <sheetName val="화섬_MDP13"/>
      <sheetName val="25_보증금(임차보증금외)12"/>
      <sheetName val="24_보증금(전신전화가입권)12"/>
      <sheetName val="비용_배부후12"/>
      <sheetName val="입력_판매12"/>
      <sheetName val="입력_인원12"/>
      <sheetName val="2_Critical_Component_Estimati12"/>
      <sheetName val="Reference_(변경)12"/>
      <sheetName val="경영계획_수립_참고자료_▶▶▶12"/>
      <sheetName val="사업부서_작성자료_▶▶▶12"/>
      <sheetName val="15년_손익_(GS신규Vision)_요약-연간비교장12"/>
      <sheetName val="15년_손익_(GS신규Vision)_요약-(간접비_포12"/>
      <sheetName val="15년_손익-GS신규Vision12"/>
      <sheetName val="매출_계획12"/>
      <sheetName val="매출계획_산출근거12"/>
      <sheetName val="재료비(율)_계획12"/>
      <sheetName val="재료비(율)_산출근거12"/>
      <sheetName val="인원인건비&amp;간접비_계획12"/>
      <sheetName val="감가상각비_계산12"/>
      <sheetName val="간접비_계획12"/>
      <sheetName val="Reference_(기존)12"/>
      <sheetName val="2014년_손익12"/>
      <sheetName val="15년_손익_(GDR_Rental사업)_요약-연간비교12"/>
      <sheetName val="15년_손익_(GDR_Rent사업)_요약-(간접비_포12"/>
      <sheetName val="15년_손익-GDR_Rental사업12"/>
      <sheetName val="매출&amp;재료비&amp;비용&amp;투자_산출근거12"/>
      <sheetName val="아울렛_농산벤더12"/>
      <sheetName val="00_08계정12"/>
      <sheetName val="경영비율_12"/>
      <sheetName val="#2_BSPL12"/>
      <sheetName val="퇴직충당금(3_31)(국문)12"/>
      <sheetName val="매출액(명)_12"/>
      <sheetName val="118_세금과공과12"/>
      <sheetName val="control_sheet12"/>
      <sheetName val="VB_12"/>
      <sheetName val="중장기_외화자금_보정명세(PBC)12"/>
      <sheetName val="POS_(2)12"/>
      <sheetName val="05_1Q12"/>
      <sheetName val="산업은행_경영지표12"/>
      <sheetName val="unit_412"/>
      <sheetName val="내역서_(2)12"/>
      <sheetName val="INCOME_STATEMENT12"/>
      <sheetName val="관계회사거래내역및_채권채무잔액_9910"/>
      <sheetName val="Team_종합10"/>
      <sheetName val="에뛰드_내부관리가10"/>
      <sheetName val="Packaging_cost_Back_Data10"/>
      <sheetName val="현지법인_대손설정10"/>
      <sheetName val="원가계산_(2)11"/>
      <sheetName val="현금_및_예치금Lead10"/>
      <sheetName val="현금및예치금_명세서10"/>
      <sheetName val="유첨3_적용기준10"/>
      <sheetName val="업체손실공수_xls10"/>
      <sheetName val="108_수선비11"/>
      <sheetName val="General_Inputs10"/>
      <sheetName val="CGC_Inputs10"/>
      <sheetName val="Office_only_Letup10"/>
      <sheetName val="sap`04_7_1410"/>
      <sheetName val="13_보증금(전신전화가입권)10"/>
      <sheetName val="붙임2-1__지급조서명세서(2001년분)10"/>
      <sheetName val="중부사업담당_1-11월_원가12"/>
      <sheetName val="0_0ControlSheet10"/>
      <sheetName val="현금흐름표_근거자료10"/>
      <sheetName val="01_12月_Lot별_판매실적_xls10"/>
      <sheetName val="Industry_Indices10"/>
      <sheetName val="공항,제주_판매율_분석10"/>
      <sheetName val="값목록(Do_not_touch)9"/>
      <sheetName val="Item_LIST9"/>
      <sheetName val="Volume_LIST9"/>
      <sheetName val="99_7월_당월회수_실적9"/>
      <sheetName val="US_Revenue_(2)10"/>
      <sheetName val="LEAD_SHEET_(K상각후회수율)9"/>
      <sheetName val="2_지분법적용주식Leadsheet(회사제시)9"/>
      <sheetName val="년간_자금계획(90일_적용)9"/>
      <sheetName val="서비스별_매출추이9"/>
      <sheetName val="참고__카본단가_비교9"/>
      <sheetName val="수입검사현황_Rev19"/>
      <sheetName val="7_3_DY팀9"/>
      <sheetName val="감사보고서_(날인X)_KEIT9"/>
      <sheetName val="감사보고서_(날인X)_KIAT9"/>
      <sheetName val="감사보고서_(날인X)_KETEP9"/>
      <sheetName val="재원별지출내역_(2)9"/>
      <sheetName val="연구시설·장비_및_재료비9"/>
      <sheetName val="세목별_사용내역조회9"/>
      <sheetName val="인건비_소요_명세9"/>
      <sheetName val="Sheet1_(2)9"/>
      <sheetName val="DATA_입력란9"/>
      <sheetName val="1__설계조건_2_단면가정_3__하중계산9"/>
      <sheetName val="7__2_9"/>
      <sheetName val="Bank_charge9"/>
      <sheetName val="AQL(0_65)9"/>
      <sheetName val="U3_19"/>
      <sheetName val="GEN_Inputs9"/>
      <sheetName val="表03_9"/>
      <sheetName val="DIVP_L_19989"/>
      <sheetName val="제품L_D_9"/>
      <sheetName val="TO_DO9"/>
      <sheetName val="CC_Down_load_07169"/>
      <sheetName val="CF_RE_type9"/>
      <sheetName val="Ref_Filed9"/>
      <sheetName val="220_(2)9"/>
      <sheetName val="3_일반사상9"/>
      <sheetName val="S1_1총괄9"/>
      <sheetName val="1_능률현황9"/>
      <sheetName val="2_호선별예상실적9"/>
      <sheetName val="7_(2)6"/>
      <sheetName val="2181_91(Ex-pat)6"/>
      <sheetName val="2150_2(Equip-oth)6"/>
      <sheetName val="5_공종별예산내역서6"/>
      <sheetName val="SH_R설치6"/>
      <sheetName val="Business_Plan6"/>
      <sheetName val="Korea_Sign-Internal6"/>
      <sheetName val="FY00_OP3rdPrty6"/>
      <sheetName val="Q3_actuals6"/>
      <sheetName val="0307_Q3Update6"/>
      <sheetName val="3_부점발견재산6"/>
      <sheetName val="6_공사부점손익6"/>
      <sheetName val="5_공사손익실적6"/>
      <sheetName val="Cons_Total_company6"/>
      <sheetName val="FL'G_WT_6"/>
      <sheetName val="수금_6"/>
      <sheetName val="score_sheet15"/>
      <sheetName val="공제사업score_sheet15"/>
      <sheetName val="법인세비용_계산15"/>
      <sheetName val="정관_및_회계규정15"/>
      <sheetName val="주요ISSUE_사항15"/>
      <sheetName val="2006_과표및세액조정계산서15"/>
      <sheetName val="완성차_미수금15"/>
      <sheetName val="10_3115"/>
      <sheetName val="정비활동_수선비_절감14"/>
      <sheetName val="3_5_Inch_가동_효율14"/>
      <sheetName val="2_5_Inch_가동_효율14"/>
      <sheetName val="외상매출금현황-수정분_A215"/>
      <sheetName val="계수원본(99_2_28)15"/>
      <sheetName val="YTD_Sales(0411)15"/>
      <sheetName val="매출_물동명세15"/>
      <sheetName val="Net_PL(세분류)14"/>
      <sheetName val="Cash_Flow14"/>
      <sheetName val="3_판관비명세서14"/>
      <sheetName val="1월실적_(2)14"/>
      <sheetName val="장할생활_(2)14"/>
      <sheetName val="아파트_기성내역서14"/>
      <sheetName val="증감분석_및_연결조정14"/>
      <sheetName val="2_대외공문14"/>
      <sheetName val="업무분장_14"/>
      <sheetName val="매출채권_및_담보비율_변동14"/>
      <sheetName val="1공장_재공품생산현황14"/>
      <sheetName val="11_17-11_2314"/>
      <sheetName val="11_24-11_3014"/>
      <sheetName val="2_상각보정명세14"/>
      <sheetName val="받을어음할인및_융통어음14"/>
      <sheetName val="비교원가제출_고14"/>
      <sheetName val="의뢰건_(2)13"/>
      <sheetName val="5_소재13"/>
      <sheetName val="Dólar_Observado13"/>
      <sheetName val="대차대조표12_0113"/>
      <sheetName val="4-1__매출원가_손익계획_집계표13"/>
      <sheetName val="퇴직급여충당금12_3114"/>
      <sheetName val="4_2유효폭의_계산13"/>
      <sheetName val="1_MDF1공장13"/>
      <sheetName val="CT_재공품생산현황13"/>
      <sheetName val="화섬_MDP14"/>
      <sheetName val="25_보증금(임차보증금외)13"/>
      <sheetName val="24_보증금(전신전화가입권)13"/>
      <sheetName val="비용_배부후13"/>
      <sheetName val="입력_판매13"/>
      <sheetName val="입력_인원13"/>
      <sheetName val="2_Critical_Component_Estimati13"/>
      <sheetName val="Reference_(변경)13"/>
      <sheetName val="경영계획_수립_참고자료_▶▶▶13"/>
      <sheetName val="사업부서_작성자료_▶▶▶13"/>
      <sheetName val="15년_손익_(GS신규Vision)_요약-연간비교장13"/>
      <sheetName val="15년_손익_(GS신규Vision)_요약-(간접비_포13"/>
      <sheetName val="15년_손익-GS신규Vision13"/>
      <sheetName val="매출_계획13"/>
      <sheetName val="매출계획_산출근거13"/>
      <sheetName val="재료비(율)_계획13"/>
      <sheetName val="재료비(율)_산출근거13"/>
      <sheetName val="인원인건비&amp;간접비_계획13"/>
      <sheetName val="감가상각비_계산13"/>
      <sheetName val="간접비_계획13"/>
      <sheetName val="Reference_(기존)13"/>
      <sheetName val="2014년_손익13"/>
      <sheetName val="15년_손익_(GDR_Rental사업)_요약-연간비교13"/>
      <sheetName val="15년_손익_(GDR_Rent사업)_요약-(간접비_포13"/>
      <sheetName val="15년_손익-GDR_Rental사업13"/>
      <sheetName val="매출&amp;재료비&amp;비용&amp;투자_산출근거13"/>
      <sheetName val="아울렛_농산벤더13"/>
      <sheetName val="00_08계정13"/>
      <sheetName val="경영비율_13"/>
      <sheetName val="#2_BSPL13"/>
      <sheetName val="퇴직충당금(3_31)(국문)13"/>
      <sheetName val="매출액(명)_13"/>
      <sheetName val="118_세금과공과13"/>
      <sheetName val="control_sheet13"/>
      <sheetName val="VB_13"/>
      <sheetName val="중장기_외화자금_보정명세(PBC)13"/>
      <sheetName val="POS_(2)13"/>
      <sheetName val="05_1Q13"/>
      <sheetName val="산업은행_경영지표13"/>
      <sheetName val="unit_413"/>
      <sheetName val="내역서_(2)13"/>
      <sheetName val="INCOME_STATEMENT13"/>
      <sheetName val="관계회사거래내역및_채권채무잔액_9911"/>
      <sheetName val="Team_종합11"/>
      <sheetName val="에뛰드_내부관리가11"/>
      <sheetName val="Packaging_cost_Back_Data11"/>
      <sheetName val="현지법인_대손설정11"/>
      <sheetName val="원가계산_(2)12"/>
      <sheetName val="현금_및_예치금Lead11"/>
      <sheetName val="현금및예치금_명세서11"/>
      <sheetName val="유첨3_적용기준11"/>
      <sheetName val="업체손실공수_xls11"/>
      <sheetName val="108_수선비12"/>
      <sheetName val="General_Inputs11"/>
      <sheetName val="CGC_Inputs11"/>
      <sheetName val="Office_only_Letup11"/>
      <sheetName val="sap`04_7_1411"/>
      <sheetName val="13_보증금(전신전화가입권)11"/>
      <sheetName val="붙임2-1__지급조서명세서(2001년분)11"/>
      <sheetName val="중부사업담당_1-11월_원가13"/>
      <sheetName val="0_0ControlSheet11"/>
      <sheetName val="현금흐름표_근거자료11"/>
      <sheetName val="01_12月_Lot별_판매실적_xls11"/>
      <sheetName val="Industry_Indices11"/>
      <sheetName val="공항,제주_판매율_분석11"/>
      <sheetName val="값목록(Do_not_touch)10"/>
      <sheetName val="Item_LIST10"/>
      <sheetName val="Volume_LIST10"/>
      <sheetName val="99_7월_당월회수_실적10"/>
      <sheetName val="US_Revenue_(2)11"/>
      <sheetName val="LEAD_SHEET_(K상각후회수율)10"/>
      <sheetName val="2_지분법적용주식Leadsheet(회사제시)10"/>
      <sheetName val="년간_자금계획(90일_적용)10"/>
      <sheetName val="서비스별_매출추이10"/>
      <sheetName val="참고__카본단가_비교10"/>
      <sheetName val="수입검사현황_Rev110"/>
      <sheetName val="7_3_DY팀10"/>
      <sheetName val="감사보고서_(날인X)_KEIT10"/>
      <sheetName val="감사보고서_(날인X)_KIAT10"/>
      <sheetName val="감사보고서_(날인X)_KETEP10"/>
      <sheetName val="재원별지출내역_(2)10"/>
      <sheetName val="연구시설·장비_및_재료비10"/>
      <sheetName val="세목별_사용내역조회10"/>
      <sheetName val="인건비_소요_명세10"/>
      <sheetName val="Sheet1_(2)10"/>
      <sheetName val="DATA_입력란10"/>
      <sheetName val="1__설계조건_2_단면가정_3__하중계산10"/>
      <sheetName val="7__2_10"/>
      <sheetName val="Bank_charge10"/>
      <sheetName val="AQL(0_65)10"/>
      <sheetName val="U3_110"/>
      <sheetName val="GEN_Inputs10"/>
      <sheetName val="表03_10"/>
      <sheetName val="DIVP_L_199810"/>
      <sheetName val="제품L_D_10"/>
      <sheetName val="TO_DO10"/>
      <sheetName val="CC_Down_load_071610"/>
      <sheetName val="CF_RE_type10"/>
      <sheetName val="Ref_Filed10"/>
      <sheetName val="220_(2)10"/>
      <sheetName val="3_일반사상10"/>
      <sheetName val="S1_1총괄10"/>
      <sheetName val="1_능률현황10"/>
      <sheetName val="2_호선별예상실적10"/>
      <sheetName val="7_(2)7"/>
      <sheetName val="2181_91(Ex-pat)7"/>
      <sheetName val="2150_2(Equip-oth)7"/>
      <sheetName val="5_공종별예산내역서7"/>
      <sheetName val="SH_R설치7"/>
      <sheetName val="Business_Plan7"/>
      <sheetName val="Korea_Sign-Internal7"/>
      <sheetName val="FY00_OP3rdPrty7"/>
      <sheetName val="Q3_actuals7"/>
      <sheetName val="0307_Q3Update7"/>
      <sheetName val="3_부점발견재산7"/>
      <sheetName val="6_공사부점손익7"/>
      <sheetName val="5_공사손익실적7"/>
      <sheetName val="Cons_Total_company7"/>
      <sheetName val="FL'G_WT_7"/>
      <sheetName val="수금_7"/>
      <sheetName val="score_sheet16"/>
      <sheetName val="공제사업score_sheet16"/>
      <sheetName val="법인세비용_계산16"/>
      <sheetName val="정관_및_회계규정16"/>
      <sheetName val="주요ISSUE_사항16"/>
      <sheetName val="2006_과표및세액조정계산서16"/>
      <sheetName val="완성차_미수금16"/>
      <sheetName val="10_3116"/>
      <sheetName val="정비활동_수선비_절감15"/>
      <sheetName val="3_5_Inch_가동_효율15"/>
      <sheetName val="2_5_Inch_가동_효율15"/>
      <sheetName val="외상매출금현황-수정분_A216"/>
      <sheetName val="계수원본(99_2_28)16"/>
      <sheetName val="YTD_Sales(0411)16"/>
      <sheetName val="매출_물동명세16"/>
      <sheetName val="Net_PL(세분류)15"/>
      <sheetName val="Cash_Flow15"/>
      <sheetName val="3_판관비명세서15"/>
      <sheetName val="1월실적_(2)15"/>
      <sheetName val="장할생활_(2)15"/>
      <sheetName val="아파트_기성내역서15"/>
      <sheetName val="증감분석_및_연결조정15"/>
      <sheetName val="2_대외공문15"/>
      <sheetName val="업무분장_15"/>
      <sheetName val="매출채권_및_담보비율_변동15"/>
      <sheetName val="1공장_재공품생산현황15"/>
      <sheetName val="11_17-11_2315"/>
      <sheetName val="11_24-11_3015"/>
      <sheetName val="2_상각보정명세15"/>
      <sheetName val="받을어음할인및_융통어음15"/>
      <sheetName val="비교원가제출_고15"/>
      <sheetName val="의뢰건_(2)14"/>
      <sheetName val="5_소재14"/>
      <sheetName val="Dólar_Observado14"/>
      <sheetName val="대차대조표12_0114"/>
      <sheetName val="4-1__매출원가_손익계획_집계표14"/>
      <sheetName val="퇴직급여충당금12_3115"/>
      <sheetName val="4_2유효폭의_계산14"/>
      <sheetName val="1_MDF1공장14"/>
      <sheetName val="CT_재공품생산현황14"/>
      <sheetName val="화섬_MDP15"/>
      <sheetName val="25_보증금(임차보증금외)14"/>
      <sheetName val="24_보증금(전신전화가입권)14"/>
      <sheetName val="비용_배부후14"/>
      <sheetName val="입력_판매14"/>
      <sheetName val="입력_인원14"/>
      <sheetName val="2_Critical_Component_Estimati14"/>
      <sheetName val="Reference_(변경)14"/>
      <sheetName val="경영계획_수립_참고자료_▶▶▶14"/>
      <sheetName val="사업부서_작성자료_▶▶▶14"/>
      <sheetName val="15년_손익_(GS신규Vision)_요약-연간비교장14"/>
      <sheetName val="15년_손익_(GS신규Vision)_요약-(간접비_포14"/>
      <sheetName val="15년_손익-GS신규Vision14"/>
      <sheetName val="매출_계획14"/>
      <sheetName val="매출계획_산출근거14"/>
      <sheetName val="재료비(율)_계획14"/>
      <sheetName val="재료비(율)_산출근거14"/>
      <sheetName val="인원인건비&amp;간접비_계획14"/>
      <sheetName val="감가상각비_계산14"/>
      <sheetName val="간접비_계획14"/>
      <sheetName val="Reference_(기존)14"/>
      <sheetName val="2014년_손익14"/>
      <sheetName val="15년_손익_(GDR_Rental사업)_요약-연간비교14"/>
      <sheetName val="15년_손익_(GDR_Rent사업)_요약-(간접비_포14"/>
      <sheetName val="15년_손익-GDR_Rental사업14"/>
      <sheetName val="매출&amp;재료비&amp;비용&amp;투자_산출근거14"/>
      <sheetName val="아울렛_농산벤더14"/>
      <sheetName val="00_08계정14"/>
      <sheetName val="경영비율_14"/>
      <sheetName val="#2_BSPL14"/>
      <sheetName val="퇴직충당금(3_31)(국문)14"/>
      <sheetName val="매출액(명)_14"/>
      <sheetName val="118_세금과공과14"/>
      <sheetName val="control_sheet14"/>
      <sheetName val="VB_14"/>
      <sheetName val="중장기_외화자금_보정명세(PBC)14"/>
      <sheetName val="POS_(2)14"/>
      <sheetName val="05_1Q14"/>
      <sheetName val="산업은행_경영지표14"/>
      <sheetName val="unit_414"/>
      <sheetName val="내역서_(2)14"/>
      <sheetName val="INCOME_STATEMENT14"/>
      <sheetName val="관계회사거래내역및_채권채무잔액_9912"/>
      <sheetName val="Team_종합12"/>
      <sheetName val="에뛰드_내부관리가12"/>
      <sheetName val="Packaging_cost_Back_Data12"/>
      <sheetName val="현지법인_대손설정12"/>
      <sheetName val="원가계산_(2)13"/>
      <sheetName val="현금_및_예치금Lead12"/>
      <sheetName val="현금및예치금_명세서12"/>
      <sheetName val="유첨3_적용기준12"/>
      <sheetName val="업체손실공수_xls12"/>
      <sheetName val="108_수선비13"/>
      <sheetName val="General_Inputs12"/>
      <sheetName val="CGC_Inputs12"/>
      <sheetName val="Office_only_Letup12"/>
      <sheetName val="sap`04_7_1412"/>
      <sheetName val="13_보증금(전신전화가입권)12"/>
      <sheetName val="붙임2-1__지급조서명세서(2001년분)12"/>
      <sheetName val="중부사업담당_1-11월_원가14"/>
      <sheetName val="0_0ControlSheet12"/>
      <sheetName val="현금흐름표_근거자료12"/>
      <sheetName val="01_12月_Lot별_판매실적_xls12"/>
      <sheetName val="Industry_Indices12"/>
      <sheetName val="공항,제주_판매율_분석12"/>
      <sheetName val="값목록(Do_not_touch)11"/>
      <sheetName val="Item_LIST11"/>
      <sheetName val="Volume_LIST11"/>
      <sheetName val="99_7월_당월회수_실적11"/>
      <sheetName val="US_Revenue_(2)12"/>
      <sheetName val="LEAD_SHEET_(K상각후회수율)11"/>
      <sheetName val="2_지분법적용주식Leadsheet(회사제시)11"/>
      <sheetName val="년간_자금계획(90일_적용)11"/>
      <sheetName val="서비스별_매출추이11"/>
      <sheetName val="참고__카본단가_비교11"/>
      <sheetName val="수입검사현황_Rev111"/>
      <sheetName val="7_3_DY팀11"/>
      <sheetName val="감사보고서_(날인X)_KEIT11"/>
      <sheetName val="감사보고서_(날인X)_KIAT11"/>
      <sheetName val="감사보고서_(날인X)_KETEP11"/>
      <sheetName val="재원별지출내역_(2)11"/>
      <sheetName val="연구시설·장비_및_재료비11"/>
      <sheetName val="세목별_사용내역조회11"/>
      <sheetName val="인건비_소요_명세11"/>
      <sheetName val="Sheet1_(2)11"/>
      <sheetName val="DATA_입력란11"/>
      <sheetName val="1__설계조건_2_단면가정_3__하중계산11"/>
      <sheetName val="7__2_11"/>
      <sheetName val="Bank_charge11"/>
      <sheetName val="AQL(0_65)11"/>
      <sheetName val="U3_111"/>
      <sheetName val="GEN_Inputs11"/>
      <sheetName val="表03_11"/>
      <sheetName val="DIVP_L_199811"/>
      <sheetName val="제품L_D_11"/>
      <sheetName val="TO_DO11"/>
      <sheetName val="CC_Down_load_071611"/>
      <sheetName val="CF_RE_type11"/>
      <sheetName val="Ref_Filed11"/>
      <sheetName val="220_(2)11"/>
      <sheetName val="3_일반사상11"/>
      <sheetName val="S1_1총괄11"/>
      <sheetName val="1_능률현황11"/>
      <sheetName val="2_호선별예상실적11"/>
      <sheetName val="7_(2)8"/>
      <sheetName val="2181_91(Ex-pat)8"/>
      <sheetName val="2150_2(Equip-oth)8"/>
      <sheetName val="5_공종별예산내역서8"/>
      <sheetName val="SH_R설치8"/>
      <sheetName val="Business_Plan8"/>
      <sheetName val="Korea_Sign-Internal8"/>
      <sheetName val="FY00_OP3rdPrty8"/>
      <sheetName val="Q3_actuals8"/>
      <sheetName val="0307_Q3Update8"/>
      <sheetName val="3_부점발견재산8"/>
      <sheetName val="6_공사부점손익8"/>
      <sheetName val="5_공사손익실적8"/>
      <sheetName val="Cons_Total_company8"/>
      <sheetName val="FL'G_WT_8"/>
      <sheetName val="수금_8"/>
      <sheetName val="score_sheet17"/>
      <sheetName val="공제사업score_sheet17"/>
      <sheetName val="법인세비용_계산17"/>
      <sheetName val="정관_및_회계규정17"/>
      <sheetName val="주요ISSUE_사항17"/>
      <sheetName val="2006_과표및세액조정계산서17"/>
      <sheetName val="완성차_미수금17"/>
      <sheetName val="10_3117"/>
      <sheetName val="정비활동_수선비_절감16"/>
      <sheetName val="3_5_Inch_가동_효율16"/>
      <sheetName val="2_5_Inch_가동_효율16"/>
      <sheetName val="외상매출금현황-수정분_A217"/>
      <sheetName val="계수원본(99_2_28)17"/>
      <sheetName val="YTD_Sales(0411)17"/>
      <sheetName val="매출_물동명세17"/>
      <sheetName val="Net_PL(세분류)16"/>
      <sheetName val="Cash_Flow16"/>
      <sheetName val="3_판관비명세서16"/>
      <sheetName val="1월실적_(2)16"/>
      <sheetName val="장할생활_(2)16"/>
      <sheetName val="아파트_기성내역서16"/>
      <sheetName val="증감분석_및_연결조정16"/>
      <sheetName val="2_대외공문16"/>
      <sheetName val="업무분장_16"/>
      <sheetName val="매출채권_및_담보비율_변동16"/>
      <sheetName val="1공장_재공품생산현황16"/>
      <sheetName val="11_17-11_2316"/>
      <sheetName val="11_24-11_3016"/>
      <sheetName val="2_상각보정명세16"/>
      <sheetName val="받을어음할인및_융통어음16"/>
      <sheetName val="비교원가제출_고16"/>
      <sheetName val="의뢰건_(2)15"/>
      <sheetName val="5_소재15"/>
      <sheetName val="Dólar_Observado15"/>
      <sheetName val="대차대조표12_0115"/>
      <sheetName val="4-1__매출원가_손익계획_집계표15"/>
      <sheetName val="퇴직급여충당금12_3116"/>
      <sheetName val="4_2유효폭의_계산15"/>
      <sheetName val="1_MDF1공장15"/>
      <sheetName val="CT_재공품생산현황15"/>
      <sheetName val="화섬_MDP16"/>
      <sheetName val="25_보증금(임차보증금외)15"/>
      <sheetName val="24_보증금(전신전화가입권)15"/>
      <sheetName val="비용_배부후15"/>
      <sheetName val="입력_판매15"/>
      <sheetName val="입력_인원15"/>
      <sheetName val="2_Critical_Component_Estimati15"/>
      <sheetName val="Reference_(변경)15"/>
      <sheetName val="경영계획_수립_참고자료_▶▶▶15"/>
      <sheetName val="사업부서_작성자료_▶▶▶15"/>
      <sheetName val="15년_손익_(GS신규Vision)_요약-연간비교장15"/>
      <sheetName val="15년_손익_(GS신규Vision)_요약-(간접비_포15"/>
      <sheetName val="15년_손익-GS신규Vision15"/>
      <sheetName val="매출_계획15"/>
      <sheetName val="매출계획_산출근거15"/>
      <sheetName val="재료비(율)_계획15"/>
      <sheetName val="재료비(율)_산출근거15"/>
      <sheetName val="인원인건비&amp;간접비_계획15"/>
      <sheetName val="감가상각비_계산15"/>
      <sheetName val="간접비_계획15"/>
      <sheetName val="Reference_(기존)15"/>
      <sheetName val="2014년_손익15"/>
      <sheetName val="15년_손익_(GDR_Rental사업)_요약-연간비교15"/>
      <sheetName val="15년_손익_(GDR_Rent사업)_요약-(간접비_포15"/>
      <sheetName val="15년_손익-GDR_Rental사업15"/>
      <sheetName val="매출&amp;재료비&amp;비용&amp;투자_산출근거15"/>
      <sheetName val="아울렛_농산벤더15"/>
      <sheetName val="00_08계정15"/>
      <sheetName val="경영비율_15"/>
      <sheetName val="#2_BSPL15"/>
      <sheetName val="퇴직충당금(3_31)(국문)15"/>
      <sheetName val="매출액(명)_15"/>
      <sheetName val="118_세금과공과15"/>
      <sheetName val="control_sheet15"/>
      <sheetName val="VB_15"/>
      <sheetName val="중장기_외화자금_보정명세(PBC)15"/>
      <sheetName val="POS_(2)15"/>
      <sheetName val="05_1Q15"/>
      <sheetName val="산업은행_경영지표15"/>
      <sheetName val="unit_415"/>
      <sheetName val="내역서_(2)15"/>
      <sheetName val="INCOME_STATEMENT15"/>
      <sheetName val="관계회사거래내역및_채권채무잔액_9913"/>
      <sheetName val="Team_종합13"/>
      <sheetName val="에뛰드_내부관리가13"/>
      <sheetName val="Packaging_cost_Back_Data13"/>
      <sheetName val="현지법인_대손설정13"/>
      <sheetName val="원가계산_(2)14"/>
      <sheetName val="현금_및_예치금Lead13"/>
      <sheetName val="현금및예치금_명세서13"/>
      <sheetName val="유첨3_적용기준13"/>
      <sheetName val="업체손실공수_xls13"/>
      <sheetName val="108_수선비14"/>
      <sheetName val="General_Inputs13"/>
      <sheetName val="CGC_Inputs13"/>
      <sheetName val="Office_only_Letup13"/>
      <sheetName val="sap`04_7_1413"/>
      <sheetName val="13_보증금(전신전화가입권)13"/>
      <sheetName val="붙임2-1__지급조서명세서(2001년분)13"/>
      <sheetName val="중부사업담당_1-11월_원가15"/>
      <sheetName val="0_0ControlSheet13"/>
      <sheetName val="현금흐름표_근거자료13"/>
      <sheetName val="01_12月_Lot별_판매실적_xls13"/>
      <sheetName val="Industry_Indices13"/>
      <sheetName val="공항,제주_판매율_분석13"/>
      <sheetName val="값목록(Do_not_touch)12"/>
      <sheetName val="Item_LIST12"/>
      <sheetName val="Volume_LIST12"/>
      <sheetName val="99_7월_당월회수_실적12"/>
      <sheetName val="US_Revenue_(2)13"/>
      <sheetName val="LEAD_SHEET_(K상각후회수율)12"/>
      <sheetName val="2_지분법적용주식Leadsheet(회사제시)12"/>
      <sheetName val="년간_자금계획(90일_적용)12"/>
      <sheetName val="서비스별_매출추이12"/>
      <sheetName val="참고__카본단가_비교12"/>
      <sheetName val="수입검사현황_Rev112"/>
      <sheetName val="7_3_DY팀12"/>
      <sheetName val="감사보고서_(날인X)_KEIT12"/>
      <sheetName val="감사보고서_(날인X)_KIAT12"/>
      <sheetName val="감사보고서_(날인X)_KETEP12"/>
      <sheetName val="재원별지출내역_(2)12"/>
      <sheetName val="연구시설·장비_및_재료비12"/>
      <sheetName val="세목별_사용내역조회12"/>
      <sheetName val="인건비_소요_명세12"/>
      <sheetName val="Sheet1_(2)12"/>
      <sheetName val="DATA_입력란12"/>
      <sheetName val="1__설계조건_2_단면가정_3__하중계산12"/>
      <sheetName val="7__2_12"/>
      <sheetName val="Bank_charge12"/>
      <sheetName val="AQL(0_65)12"/>
      <sheetName val="U3_112"/>
      <sheetName val="GEN_Inputs12"/>
      <sheetName val="表03_12"/>
      <sheetName val="DIVP_L_199812"/>
      <sheetName val="제품L_D_12"/>
      <sheetName val="TO_DO12"/>
      <sheetName val="CC_Down_load_071612"/>
      <sheetName val="CF_RE_type12"/>
      <sheetName val="Ref_Filed12"/>
      <sheetName val="220_(2)12"/>
      <sheetName val="3_일반사상12"/>
      <sheetName val="S1_1총괄12"/>
      <sheetName val="1_능률현황12"/>
      <sheetName val="2_호선별예상실적12"/>
      <sheetName val="7_(2)9"/>
      <sheetName val="2181_91(Ex-pat)9"/>
      <sheetName val="2150_2(Equip-oth)9"/>
      <sheetName val="5_공종별예산내역서9"/>
      <sheetName val="SH_R설치9"/>
      <sheetName val="Business_Plan9"/>
      <sheetName val="Korea_Sign-Internal9"/>
      <sheetName val="FY00_OP3rdPrty9"/>
      <sheetName val="Q3_actuals9"/>
      <sheetName val="0307_Q3Update9"/>
      <sheetName val="3_부점발견재산9"/>
      <sheetName val="6_공사부점손익9"/>
      <sheetName val="5_공사손익실적9"/>
      <sheetName val="Cons_Total_company9"/>
      <sheetName val="FL'G_WT_9"/>
      <sheetName val="수금_9"/>
      <sheetName val="score_sheet18"/>
      <sheetName val="공제사업score_sheet18"/>
      <sheetName val="법인세비용_계산18"/>
      <sheetName val="정관_및_회계규정18"/>
      <sheetName val="주요ISSUE_사항18"/>
      <sheetName val="2006_과표및세액조정계산서18"/>
      <sheetName val="완성차_미수금18"/>
      <sheetName val="10_3118"/>
      <sheetName val="정비활동_수선비_절감17"/>
      <sheetName val="3_5_Inch_가동_효율17"/>
      <sheetName val="2_5_Inch_가동_효율17"/>
      <sheetName val="외상매출금현황-수정분_A218"/>
      <sheetName val="계수원본(99_2_28)18"/>
      <sheetName val="YTD_Sales(0411)18"/>
      <sheetName val="매출_물동명세18"/>
      <sheetName val="Net_PL(세분류)17"/>
      <sheetName val="Cash_Flow17"/>
      <sheetName val="3_판관비명세서17"/>
      <sheetName val="1월실적_(2)17"/>
      <sheetName val="장할생활_(2)17"/>
      <sheetName val="아파트_기성내역서17"/>
      <sheetName val="증감분석_및_연결조정17"/>
      <sheetName val="2_대외공문17"/>
      <sheetName val="업무분장_17"/>
      <sheetName val="매출채권_및_담보비율_변동17"/>
      <sheetName val="1공장_재공품생산현황17"/>
      <sheetName val="11_17-11_2317"/>
      <sheetName val="11_24-11_3017"/>
      <sheetName val="2_상각보정명세17"/>
      <sheetName val="받을어음할인및_융통어음17"/>
      <sheetName val="비교원가제출_고17"/>
      <sheetName val="의뢰건_(2)16"/>
      <sheetName val="5_소재16"/>
      <sheetName val="Dólar_Observado16"/>
      <sheetName val="대차대조표12_0116"/>
      <sheetName val="4-1__매출원가_손익계획_집계표16"/>
      <sheetName val="퇴직급여충당금12_3117"/>
      <sheetName val="4_2유효폭의_계산16"/>
      <sheetName val="1_MDF1공장16"/>
      <sheetName val="CT_재공품생산현황16"/>
      <sheetName val="화섬_MDP17"/>
      <sheetName val="25_보증금(임차보증금외)16"/>
      <sheetName val="24_보증금(전신전화가입권)16"/>
      <sheetName val="비용_배부후16"/>
      <sheetName val="입력_판매16"/>
      <sheetName val="입력_인원16"/>
      <sheetName val="2_Critical_Component_Estimati16"/>
      <sheetName val="Reference_(변경)16"/>
      <sheetName val="경영계획_수립_참고자료_▶▶▶16"/>
      <sheetName val="사업부서_작성자료_▶▶▶16"/>
      <sheetName val="15년_손익_(GS신규Vision)_요약-연간비교장16"/>
      <sheetName val="15년_손익_(GS신규Vision)_요약-(간접비_포16"/>
      <sheetName val="15년_손익-GS신규Vision16"/>
      <sheetName val="매출_계획16"/>
      <sheetName val="매출계획_산출근거16"/>
      <sheetName val="재료비(율)_계획16"/>
      <sheetName val="재료비(율)_산출근거16"/>
      <sheetName val="인원인건비&amp;간접비_계획16"/>
      <sheetName val="감가상각비_계산16"/>
      <sheetName val="간접비_계획16"/>
      <sheetName val="Reference_(기존)16"/>
      <sheetName val="2014년_손익16"/>
      <sheetName val="15년_손익_(GDR_Rental사업)_요약-연간비교16"/>
      <sheetName val="15년_손익_(GDR_Rent사업)_요약-(간접비_포16"/>
      <sheetName val="15년_손익-GDR_Rental사업16"/>
      <sheetName val="매출&amp;재료비&amp;비용&amp;투자_산출근거16"/>
      <sheetName val="아울렛_농산벤더16"/>
      <sheetName val="00_08계정16"/>
      <sheetName val="경영비율_16"/>
      <sheetName val="#2_BSPL16"/>
      <sheetName val="퇴직충당금(3_31)(국문)16"/>
      <sheetName val="매출액(명)_16"/>
      <sheetName val="118_세금과공과16"/>
      <sheetName val="control_sheet16"/>
      <sheetName val="VB_16"/>
      <sheetName val="중장기_외화자금_보정명세(PBC)16"/>
      <sheetName val="POS_(2)16"/>
      <sheetName val="05_1Q16"/>
      <sheetName val="산업은행_경영지표16"/>
      <sheetName val="unit_416"/>
      <sheetName val="내역서_(2)16"/>
      <sheetName val="INCOME_STATEMENT16"/>
      <sheetName val="관계회사거래내역및_채권채무잔액_9914"/>
      <sheetName val="Team_종합14"/>
      <sheetName val="에뛰드_내부관리가14"/>
      <sheetName val="Packaging_cost_Back_Data14"/>
      <sheetName val="현지법인_대손설정14"/>
      <sheetName val="원가계산_(2)15"/>
      <sheetName val="현금_및_예치금Lead14"/>
      <sheetName val="현금및예치금_명세서14"/>
      <sheetName val="유첨3_적용기준14"/>
      <sheetName val="업체손실공수_xls14"/>
      <sheetName val="108_수선비15"/>
      <sheetName val="General_Inputs14"/>
      <sheetName val="CGC_Inputs14"/>
      <sheetName val="Office_only_Letup14"/>
      <sheetName val="sap`04_7_1414"/>
      <sheetName val="13_보증금(전신전화가입권)14"/>
      <sheetName val="붙임2-1__지급조서명세서(2001년분)14"/>
      <sheetName val="중부사업담당_1-11월_원가16"/>
      <sheetName val="0_0ControlSheet14"/>
      <sheetName val="현금흐름표_근거자료14"/>
      <sheetName val="01_12月_Lot별_판매실적_xls14"/>
      <sheetName val="Industry_Indices14"/>
      <sheetName val="공항,제주_판매율_분석14"/>
      <sheetName val="값목록(Do_not_touch)13"/>
      <sheetName val="Item_LIST13"/>
      <sheetName val="Volume_LIST13"/>
      <sheetName val="99_7월_당월회수_실적13"/>
      <sheetName val="US_Revenue_(2)14"/>
      <sheetName val="LEAD_SHEET_(K상각후회수율)13"/>
      <sheetName val="2_지분법적용주식Leadsheet(회사제시)13"/>
      <sheetName val="년간_자금계획(90일_적용)13"/>
      <sheetName val="서비스별_매출추이13"/>
      <sheetName val="참고__카본단가_비교13"/>
      <sheetName val="수입검사현황_Rev113"/>
      <sheetName val="7_3_DY팀13"/>
      <sheetName val="감사보고서_(날인X)_KEIT13"/>
      <sheetName val="감사보고서_(날인X)_KIAT13"/>
      <sheetName val="감사보고서_(날인X)_KETEP13"/>
      <sheetName val="재원별지출내역_(2)13"/>
      <sheetName val="연구시설·장비_및_재료비13"/>
      <sheetName val="세목별_사용내역조회13"/>
      <sheetName val="인건비_소요_명세13"/>
      <sheetName val="Sheet1_(2)13"/>
      <sheetName val="DATA_입력란13"/>
      <sheetName val="1__설계조건_2_단면가정_3__하중계산13"/>
      <sheetName val="7__2_13"/>
      <sheetName val="Bank_charge13"/>
      <sheetName val="AQL(0_65)13"/>
      <sheetName val="U3_113"/>
      <sheetName val="GEN_Inputs13"/>
      <sheetName val="表03_13"/>
      <sheetName val="DIVP_L_199813"/>
      <sheetName val="제품L_D_13"/>
      <sheetName val="TO_DO13"/>
      <sheetName val="CC_Down_load_071613"/>
      <sheetName val="CF_RE_type13"/>
      <sheetName val="Ref_Filed13"/>
      <sheetName val="220_(2)13"/>
      <sheetName val="3_일반사상13"/>
      <sheetName val="S1_1총괄13"/>
      <sheetName val="1_능률현황13"/>
      <sheetName val="2_호선별예상실적13"/>
      <sheetName val="7_(2)10"/>
      <sheetName val="2181_91(Ex-pat)10"/>
      <sheetName val="2150_2(Equip-oth)10"/>
      <sheetName val="5_공종별예산내역서10"/>
      <sheetName val="SH_R설치10"/>
      <sheetName val="Business_Plan10"/>
      <sheetName val="Korea_Sign-Internal10"/>
      <sheetName val="FY00_OP3rdPrty10"/>
      <sheetName val="Q3_actuals10"/>
      <sheetName val="0307_Q3Update10"/>
      <sheetName val="3_부점발견재산10"/>
      <sheetName val="6_공사부점손익10"/>
      <sheetName val="5_공사손익실적10"/>
      <sheetName val="Cons_Total_company10"/>
      <sheetName val="FL'G_WT_10"/>
      <sheetName val="수금_10"/>
      <sheetName val="score_sheet19"/>
      <sheetName val="공제사업score_sheet19"/>
      <sheetName val="법인세비용_계산19"/>
      <sheetName val="정관_및_회계규정19"/>
      <sheetName val="주요ISSUE_사항19"/>
      <sheetName val="2006_과표및세액조정계산서19"/>
      <sheetName val="완성차_미수금19"/>
      <sheetName val="10_3119"/>
      <sheetName val="정비활동_수선비_절감18"/>
      <sheetName val="3_5_Inch_가동_효율18"/>
      <sheetName val="2_5_Inch_가동_효율18"/>
      <sheetName val="외상매출금현황-수정분_A219"/>
      <sheetName val="계수원본(99_2_28)19"/>
      <sheetName val="YTD_Sales(0411)19"/>
      <sheetName val="매출_물동명세19"/>
      <sheetName val="Net_PL(세분류)18"/>
      <sheetName val="Cash_Flow18"/>
      <sheetName val="3_판관비명세서18"/>
      <sheetName val="1월실적_(2)18"/>
      <sheetName val="장할생활_(2)18"/>
      <sheetName val="아파트_기성내역서18"/>
      <sheetName val="증감분석_및_연결조정18"/>
      <sheetName val="2_대외공문18"/>
      <sheetName val="업무분장_18"/>
      <sheetName val="매출채권_및_담보비율_변동18"/>
      <sheetName val="1공장_재공품생산현황18"/>
      <sheetName val="11_17-11_2318"/>
      <sheetName val="11_24-11_3018"/>
      <sheetName val="2_상각보정명세18"/>
      <sheetName val="받을어음할인및_융통어음18"/>
      <sheetName val="비교원가제출_고18"/>
      <sheetName val="의뢰건_(2)17"/>
      <sheetName val="5_소재17"/>
      <sheetName val="Dólar_Observado17"/>
      <sheetName val="대차대조표12_0117"/>
      <sheetName val="4-1__매출원가_손익계획_집계표17"/>
      <sheetName val="퇴직급여충당금12_3118"/>
      <sheetName val="4_2유효폭의_계산17"/>
      <sheetName val="1_MDF1공장17"/>
      <sheetName val="CT_재공품생산현황17"/>
      <sheetName val="화섬_MDP18"/>
      <sheetName val="25_보증금(임차보증금외)17"/>
      <sheetName val="24_보증금(전신전화가입권)17"/>
      <sheetName val="비용_배부후17"/>
      <sheetName val="입력_판매17"/>
      <sheetName val="입력_인원17"/>
      <sheetName val="2_Critical_Component_Estimati17"/>
      <sheetName val="Reference_(변경)17"/>
      <sheetName val="경영계획_수립_참고자료_▶▶▶17"/>
      <sheetName val="사업부서_작성자료_▶▶▶17"/>
      <sheetName val="15년_손익_(GS신규Vision)_요약-연간비교장17"/>
      <sheetName val="15년_손익_(GS신규Vision)_요약-(간접비_포17"/>
      <sheetName val="15년_손익-GS신규Vision17"/>
      <sheetName val="매출_계획17"/>
      <sheetName val="매출계획_산출근거17"/>
      <sheetName val="재료비(율)_계획17"/>
      <sheetName val="재료비(율)_산출근거17"/>
      <sheetName val="인원인건비&amp;간접비_계획17"/>
      <sheetName val="감가상각비_계산17"/>
      <sheetName val="간접비_계획17"/>
      <sheetName val="Reference_(기존)17"/>
      <sheetName val="2014년_손익17"/>
      <sheetName val="15년_손익_(GDR_Rental사업)_요약-연간비교17"/>
      <sheetName val="15년_손익_(GDR_Rent사업)_요약-(간접비_포17"/>
      <sheetName val="15년_손익-GDR_Rental사업17"/>
      <sheetName val="매출&amp;재료비&amp;비용&amp;투자_산출근거17"/>
      <sheetName val="아울렛_농산벤더17"/>
      <sheetName val="00_08계정17"/>
      <sheetName val="경영비율_17"/>
      <sheetName val="#2_BSPL17"/>
      <sheetName val="퇴직충당금(3_31)(국문)17"/>
      <sheetName val="매출액(명)_17"/>
      <sheetName val="118_세금과공과17"/>
      <sheetName val="control_sheet17"/>
      <sheetName val="VB_17"/>
      <sheetName val="중장기_외화자금_보정명세(PBC)17"/>
      <sheetName val="POS_(2)17"/>
      <sheetName val="05_1Q17"/>
      <sheetName val="산업은행_경영지표17"/>
      <sheetName val="unit_417"/>
      <sheetName val="내역서_(2)17"/>
      <sheetName val="INCOME_STATEMENT17"/>
      <sheetName val="관계회사거래내역및_채권채무잔액_9915"/>
      <sheetName val="Team_종합15"/>
      <sheetName val="에뛰드_내부관리가15"/>
      <sheetName val="Packaging_cost_Back_Data15"/>
      <sheetName val="현지법인_대손설정15"/>
      <sheetName val="원가계산_(2)16"/>
      <sheetName val="현금_및_예치금Lead15"/>
      <sheetName val="현금및예치금_명세서15"/>
      <sheetName val="유첨3_적용기준15"/>
      <sheetName val="업체손실공수_xls15"/>
      <sheetName val="108_수선비16"/>
      <sheetName val="General_Inputs15"/>
      <sheetName val="CGC_Inputs15"/>
      <sheetName val="Office_only_Letup15"/>
      <sheetName val="sap`04_7_1415"/>
      <sheetName val="13_보증금(전신전화가입권)15"/>
      <sheetName val="붙임2-1__지급조서명세서(2001년분)15"/>
      <sheetName val="중부사업담당_1-11월_원가17"/>
      <sheetName val="0_0ControlSheet15"/>
      <sheetName val="현금흐름표_근거자료15"/>
      <sheetName val="01_12月_Lot별_판매실적_xls15"/>
      <sheetName val="Industry_Indices15"/>
      <sheetName val="공항,제주_판매율_분석15"/>
      <sheetName val="값목록(Do_not_touch)14"/>
      <sheetName val="Item_LIST14"/>
      <sheetName val="Volume_LIST14"/>
      <sheetName val="99_7월_당월회수_실적14"/>
      <sheetName val="US_Revenue_(2)15"/>
      <sheetName val="LEAD_SHEET_(K상각후회수율)14"/>
      <sheetName val="2_지분법적용주식Leadsheet(회사제시)14"/>
      <sheetName val="년간_자금계획(90일_적용)14"/>
      <sheetName val="서비스별_매출추이14"/>
      <sheetName val="참고__카본단가_비교14"/>
      <sheetName val="수입검사현황_Rev114"/>
      <sheetName val="7_3_DY팀14"/>
      <sheetName val="감사보고서_(날인X)_KEIT14"/>
      <sheetName val="감사보고서_(날인X)_KIAT14"/>
      <sheetName val="감사보고서_(날인X)_KETEP14"/>
      <sheetName val="재원별지출내역_(2)14"/>
      <sheetName val="연구시설·장비_및_재료비14"/>
      <sheetName val="세목별_사용내역조회14"/>
      <sheetName val="인건비_소요_명세14"/>
      <sheetName val="Sheet1_(2)14"/>
      <sheetName val="DATA_입력란14"/>
      <sheetName val="1__설계조건_2_단면가정_3__하중계산14"/>
      <sheetName val="7__2_14"/>
      <sheetName val="Bank_charge14"/>
      <sheetName val="AQL(0_65)14"/>
      <sheetName val="U3_114"/>
      <sheetName val="GEN_Inputs14"/>
      <sheetName val="表03_14"/>
      <sheetName val="DIVP_L_199814"/>
      <sheetName val="제품L_D_14"/>
      <sheetName val="TO_DO14"/>
      <sheetName val="CC_Down_load_071614"/>
      <sheetName val="CF_RE_type14"/>
      <sheetName val="Ref_Filed14"/>
      <sheetName val="220_(2)14"/>
      <sheetName val="3_일반사상14"/>
      <sheetName val="S1_1총괄14"/>
      <sheetName val="1_능률현황14"/>
      <sheetName val="2_호선별예상실적14"/>
      <sheetName val="7_(2)11"/>
      <sheetName val="2181_91(Ex-pat)11"/>
      <sheetName val="2150_2(Equip-oth)11"/>
      <sheetName val="5_공종별예산내역서11"/>
      <sheetName val="SH_R설치11"/>
      <sheetName val="Business_Plan11"/>
      <sheetName val="Korea_Sign-Internal11"/>
      <sheetName val="FY00_OP3rdPrty11"/>
      <sheetName val="Q3_actuals11"/>
      <sheetName val="0307_Q3Update11"/>
      <sheetName val="3_부점발견재산11"/>
      <sheetName val="6_공사부점손익11"/>
      <sheetName val="5_공사손익실적11"/>
      <sheetName val="Cons_Total_company11"/>
      <sheetName val="FL'G_WT_11"/>
      <sheetName val="수금_11"/>
      <sheetName val="score_sheet20"/>
      <sheetName val="공제사업score_sheet20"/>
      <sheetName val="법인세비용_계산20"/>
      <sheetName val="정관_및_회계규정20"/>
      <sheetName val="주요ISSUE_사항20"/>
      <sheetName val="2006_과표및세액조정계산서20"/>
      <sheetName val="완성차_미수금20"/>
      <sheetName val="10_3120"/>
      <sheetName val="정비활동_수선비_절감19"/>
      <sheetName val="3_5_Inch_가동_효율19"/>
      <sheetName val="2_5_Inch_가동_효율19"/>
      <sheetName val="외상매출금현황-수정분_A220"/>
      <sheetName val="계수원본(99_2_28)20"/>
      <sheetName val="YTD_Sales(0411)20"/>
      <sheetName val="매출_물동명세20"/>
      <sheetName val="Net_PL(세분류)19"/>
      <sheetName val="Cash_Flow19"/>
      <sheetName val="3_판관비명세서19"/>
      <sheetName val="1월실적_(2)19"/>
      <sheetName val="장할생활_(2)19"/>
      <sheetName val="아파트_기성내역서19"/>
      <sheetName val="증감분석_및_연결조정19"/>
      <sheetName val="2_대외공문19"/>
      <sheetName val="업무분장_19"/>
      <sheetName val="매출채권_및_담보비율_변동19"/>
      <sheetName val="1공장_재공품생산현황19"/>
      <sheetName val="11_17-11_2319"/>
      <sheetName val="11_24-11_3019"/>
      <sheetName val="2_상각보정명세19"/>
      <sheetName val="받을어음할인및_융통어음19"/>
      <sheetName val="비교원가제출_고19"/>
      <sheetName val="의뢰건_(2)18"/>
      <sheetName val="5_소재18"/>
      <sheetName val="Dólar_Observado18"/>
      <sheetName val="대차대조표12_0118"/>
      <sheetName val="4-1__매출원가_손익계획_집계표18"/>
      <sheetName val="퇴직급여충당금12_3119"/>
      <sheetName val="4_2유효폭의_계산18"/>
      <sheetName val="1_MDF1공장18"/>
      <sheetName val="CT_재공품생산현황18"/>
      <sheetName val="화섬_MDP19"/>
      <sheetName val="25_보증금(임차보증금외)18"/>
      <sheetName val="24_보증금(전신전화가입권)18"/>
      <sheetName val="비용_배부후18"/>
      <sheetName val="입력_판매18"/>
      <sheetName val="입력_인원18"/>
      <sheetName val="2_Critical_Component_Estimati18"/>
      <sheetName val="Reference_(변경)18"/>
      <sheetName val="경영계획_수립_참고자료_▶▶▶18"/>
      <sheetName val="사업부서_작성자료_▶▶▶18"/>
      <sheetName val="15년_손익_(GS신규Vision)_요약-연간비교장18"/>
      <sheetName val="15년_손익_(GS신규Vision)_요약-(간접비_포18"/>
      <sheetName val="15년_손익-GS신규Vision18"/>
      <sheetName val="매출_계획18"/>
      <sheetName val="매출계획_산출근거18"/>
      <sheetName val="재료비(율)_계획18"/>
      <sheetName val="재료비(율)_산출근거18"/>
      <sheetName val="인원인건비&amp;간접비_계획18"/>
      <sheetName val="감가상각비_계산18"/>
      <sheetName val="간접비_계획18"/>
      <sheetName val="Reference_(기존)18"/>
      <sheetName val="2014년_손익18"/>
      <sheetName val="15년_손익_(GDR_Rental사업)_요약-연간비교18"/>
      <sheetName val="15년_손익_(GDR_Rent사업)_요약-(간접비_포18"/>
      <sheetName val="15년_손익-GDR_Rental사업18"/>
      <sheetName val="매출&amp;재료비&amp;비용&amp;투자_산출근거18"/>
      <sheetName val="아울렛_농산벤더18"/>
      <sheetName val="00_08계정18"/>
      <sheetName val="경영비율_18"/>
      <sheetName val="#2_BSPL18"/>
      <sheetName val="퇴직충당금(3_31)(국문)18"/>
      <sheetName val="매출액(명)_18"/>
      <sheetName val="118_세금과공과18"/>
      <sheetName val="control_sheet18"/>
      <sheetName val="VB_18"/>
      <sheetName val="중장기_외화자금_보정명세(PBC)18"/>
      <sheetName val="POS_(2)18"/>
      <sheetName val="05_1Q18"/>
      <sheetName val="산업은행_경영지표18"/>
      <sheetName val="unit_418"/>
      <sheetName val="내역서_(2)18"/>
      <sheetName val="INCOME_STATEMENT18"/>
      <sheetName val="관계회사거래내역및_채권채무잔액_9916"/>
      <sheetName val="Team_종합16"/>
      <sheetName val="에뛰드_내부관리가16"/>
      <sheetName val="Packaging_cost_Back_Data16"/>
      <sheetName val="현지법인_대손설정16"/>
      <sheetName val="원가계산_(2)17"/>
      <sheetName val="현금_및_예치금Lead16"/>
      <sheetName val="현금및예치금_명세서16"/>
      <sheetName val="유첨3_적용기준16"/>
      <sheetName val="업체손실공수_xls16"/>
      <sheetName val="108_수선비17"/>
      <sheetName val="General_Inputs16"/>
      <sheetName val="CGC_Inputs16"/>
      <sheetName val="Office_only_Letup16"/>
      <sheetName val="sap`04_7_1416"/>
      <sheetName val="13_보증금(전신전화가입권)16"/>
      <sheetName val="붙임2-1__지급조서명세서(2001년분)16"/>
      <sheetName val="중부사업담당_1-11월_원가18"/>
      <sheetName val="0_0ControlSheet16"/>
      <sheetName val="현금흐름표_근거자료16"/>
      <sheetName val="01_12月_Lot별_판매실적_xls16"/>
      <sheetName val="Industry_Indices16"/>
      <sheetName val="공항,제주_판매율_분석16"/>
      <sheetName val="값목록(Do_not_touch)15"/>
      <sheetName val="Item_LIST15"/>
      <sheetName val="Volume_LIST15"/>
      <sheetName val="99_7월_당월회수_실적15"/>
      <sheetName val="US_Revenue_(2)16"/>
      <sheetName val="LEAD_SHEET_(K상각후회수율)15"/>
      <sheetName val="2_지분법적용주식Leadsheet(회사제시)15"/>
      <sheetName val="년간_자금계획(90일_적용)15"/>
      <sheetName val="서비스별_매출추이15"/>
      <sheetName val="참고__카본단가_비교15"/>
      <sheetName val="수입검사현황_Rev115"/>
      <sheetName val="7_3_DY팀15"/>
      <sheetName val="감사보고서_(날인X)_KEIT15"/>
      <sheetName val="감사보고서_(날인X)_KIAT15"/>
      <sheetName val="감사보고서_(날인X)_KETEP15"/>
      <sheetName val="재원별지출내역_(2)15"/>
      <sheetName val="연구시설·장비_및_재료비15"/>
      <sheetName val="세목별_사용내역조회15"/>
      <sheetName val="인건비_소요_명세15"/>
      <sheetName val="Sheet1_(2)15"/>
      <sheetName val="DATA_입력란15"/>
      <sheetName val="1__설계조건_2_단면가정_3__하중계산15"/>
      <sheetName val="7__2_15"/>
      <sheetName val="Bank_charge15"/>
      <sheetName val="AQL(0_65)15"/>
      <sheetName val="U3_115"/>
      <sheetName val="GEN_Inputs15"/>
      <sheetName val="表03_15"/>
      <sheetName val="DIVP_L_199815"/>
      <sheetName val="제품L_D_15"/>
      <sheetName val="TO_DO15"/>
      <sheetName val="CC_Down_load_071615"/>
      <sheetName val="CF_RE_type15"/>
      <sheetName val="Ref_Filed15"/>
      <sheetName val="220_(2)15"/>
      <sheetName val="3_일반사상15"/>
      <sheetName val="S1_1총괄15"/>
      <sheetName val="1_능률현황15"/>
      <sheetName val="2_호선별예상실적15"/>
      <sheetName val="7_(2)12"/>
      <sheetName val="2181_91(Ex-pat)12"/>
      <sheetName val="2150_2(Equip-oth)12"/>
      <sheetName val="5_공종별예산내역서12"/>
      <sheetName val="SH_R설치12"/>
      <sheetName val="Business_Plan12"/>
      <sheetName val="Korea_Sign-Internal12"/>
      <sheetName val="FY00_OP3rdPrty12"/>
      <sheetName val="Q3_actuals12"/>
      <sheetName val="0307_Q3Update12"/>
      <sheetName val="3_부점발견재산12"/>
      <sheetName val="6_공사부점손익12"/>
      <sheetName val="5_공사손익실적12"/>
      <sheetName val="Cons_Total_company12"/>
      <sheetName val="FL'G_WT_12"/>
      <sheetName val="수금_12"/>
      <sheetName val="score_sheet21"/>
      <sheetName val="공제사업score_sheet21"/>
      <sheetName val="법인세비용_계산21"/>
      <sheetName val="정관_및_회계규정21"/>
      <sheetName val="주요ISSUE_사항21"/>
      <sheetName val="2006_과표및세액조정계산서21"/>
      <sheetName val="완성차_미수금21"/>
      <sheetName val="10_3121"/>
      <sheetName val="정비활동_수선비_절감20"/>
      <sheetName val="3_5_Inch_가동_효율20"/>
      <sheetName val="2_5_Inch_가동_효율20"/>
      <sheetName val="외상매출금현황-수정분_A221"/>
      <sheetName val="계수원본(99_2_28)21"/>
      <sheetName val="YTD_Sales(0411)21"/>
      <sheetName val="매출_물동명세21"/>
      <sheetName val="Net_PL(세분류)20"/>
      <sheetName val="Cash_Flow20"/>
      <sheetName val="3_판관비명세서20"/>
      <sheetName val="1월실적_(2)20"/>
      <sheetName val="장할생활_(2)20"/>
      <sheetName val="아파트_기성내역서20"/>
      <sheetName val="증감분석_및_연결조정20"/>
      <sheetName val="2_대외공문20"/>
      <sheetName val="업무분장_20"/>
      <sheetName val="매출채권_및_담보비율_변동20"/>
      <sheetName val="1공장_재공품생산현황20"/>
      <sheetName val="11_17-11_2320"/>
      <sheetName val="11_24-11_3020"/>
      <sheetName val="2_상각보정명세20"/>
      <sheetName val="받을어음할인및_융통어음20"/>
      <sheetName val="비교원가제출_고20"/>
      <sheetName val="의뢰건_(2)19"/>
      <sheetName val="5_소재19"/>
      <sheetName val="Dólar_Observado19"/>
      <sheetName val="대차대조표12_0119"/>
      <sheetName val="4-1__매출원가_손익계획_집계표19"/>
      <sheetName val="퇴직급여충당금12_3120"/>
      <sheetName val="4_2유효폭의_계산19"/>
      <sheetName val="1_MDF1공장19"/>
      <sheetName val="CT_재공품생산현황19"/>
      <sheetName val="화섬_MDP20"/>
      <sheetName val="25_보증금(임차보증금외)19"/>
      <sheetName val="24_보증금(전신전화가입권)19"/>
      <sheetName val="비용_배부후19"/>
      <sheetName val="입력_판매19"/>
      <sheetName val="입력_인원19"/>
      <sheetName val="2_Critical_Component_Estimati19"/>
      <sheetName val="Reference_(변경)19"/>
      <sheetName val="경영계획_수립_참고자료_▶▶▶19"/>
      <sheetName val="사업부서_작성자료_▶▶▶19"/>
      <sheetName val="15년_손익_(GS신규Vision)_요약-연간비교장19"/>
      <sheetName val="15년_손익_(GS신규Vision)_요약-(간접비_포19"/>
      <sheetName val="15년_손익-GS신규Vision19"/>
      <sheetName val="매출_계획19"/>
      <sheetName val="매출계획_산출근거19"/>
      <sheetName val="재료비(율)_계획19"/>
      <sheetName val="재료비(율)_산출근거19"/>
      <sheetName val="인원인건비&amp;간접비_계획19"/>
      <sheetName val="감가상각비_계산19"/>
      <sheetName val="간접비_계획19"/>
      <sheetName val="Reference_(기존)19"/>
      <sheetName val="2014년_손익19"/>
      <sheetName val="15년_손익_(GDR_Rental사업)_요약-연간비교19"/>
      <sheetName val="15년_손익_(GDR_Rent사업)_요약-(간접비_포19"/>
      <sheetName val="15년_손익-GDR_Rental사업19"/>
      <sheetName val="매출&amp;재료비&amp;비용&amp;투자_산출근거19"/>
      <sheetName val="아울렛_농산벤더19"/>
      <sheetName val="00_08계정19"/>
      <sheetName val="경영비율_19"/>
      <sheetName val="#2_BSPL19"/>
      <sheetName val="퇴직충당금(3_31)(국문)19"/>
      <sheetName val="매출액(명)_19"/>
      <sheetName val="118_세금과공과19"/>
      <sheetName val="control_sheet19"/>
      <sheetName val="VB_19"/>
      <sheetName val="중장기_외화자금_보정명세(PBC)19"/>
      <sheetName val="POS_(2)19"/>
      <sheetName val="05_1Q19"/>
      <sheetName val="산업은행_경영지표19"/>
      <sheetName val="unit_419"/>
      <sheetName val="내역서_(2)19"/>
      <sheetName val="INCOME_STATEMENT19"/>
      <sheetName val="관계회사거래내역및_채권채무잔액_9917"/>
      <sheetName val="Team_종합17"/>
      <sheetName val="에뛰드_내부관리가17"/>
      <sheetName val="Packaging_cost_Back_Data17"/>
      <sheetName val="현지법인_대손설정17"/>
      <sheetName val="원가계산_(2)18"/>
      <sheetName val="현금_및_예치금Lead17"/>
      <sheetName val="현금및예치금_명세서17"/>
      <sheetName val="유첨3_적용기준17"/>
      <sheetName val="업체손실공수_xls17"/>
      <sheetName val="108_수선비18"/>
      <sheetName val="General_Inputs17"/>
      <sheetName val="CGC_Inputs17"/>
      <sheetName val="Office_only_Letup17"/>
      <sheetName val="sap`04_7_1417"/>
      <sheetName val="13_보증금(전신전화가입권)17"/>
      <sheetName val="붙임2-1__지급조서명세서(2001년분)17"/>
      <sheetName val="중부사업담당_1-11월_원가19"/>
      <sheetName val="0_0ControlSheet17"/>
      <sheetName val="현금흐름표_근거자료17"/>
      <sheetName val="01_12月_Lot별_판매실적_xls17"/>
      <sheetName val="Industry_Indices17"/>
      <sheetName val="공항,제주_판매율_분석17"/>
      <sheetName val="값목록(Do_not_touch)16"/>
      <sheetName val="Item_LIST16"/>
      <sheetName val="Volume_LIST16"/>
      <sheetName val="99_7월_당월회수_실적16"/>
      <sheetName val="US_Revenue_(2)17"/>
      <sheetName val="LEAD_SHEET_(K상각후회수율)16"/>
      <sheetName val="2_지분법적용주식Leadsheet(회사제시)16"/>
      <sheetName val="년간_자금계획(90일_적용)16"/>
      <sheetName val="서비스별_매출추이16"/>
      <sheetName val="참고__카본단가_비교16"/>
      <sheetName val="수입검사현황_Rev116"/>
      <sheetName val="7_3_DY팀16"/>
      <sheetName val="감사보고서_(날인X)_KEIT16"/>
      <sheetName val="감사보고서_(날인X)_KIAT16"/>
      <sheetName val="감사보고서_(날인X)_KETEP16"/>
      <sheetName val="재원별지출내역_(2)16"/>
      <sheetName val="연구시설·장비_및_재료비16"/>
      <sheetName val="세목별_사용내역조회16"/>
      <sheetName val="인건비_소요_명세16"/>
      <sheetName val="Sheet1_(2)16"/>
      <sheetName val="DATA_입력란16"/>
      <sheetName val="1__설계조건_2_단면가정_3__하중계산16"/>
      <sheetName val="7__2_16"/>
      <sheetName val="Bank_charge16"/>
      <sheetName val="AQL(0_65)16"/>
      <sheetName val="U3_116"/>
      <sheetName val="GEN_Inputs16"/>
      <sheetName val="表03_16"/>
      <sheetName val="DIVP_L_199816"/>
      <sheetName val="제품L_D_16"/>
      <sheetName val="TO_DO16"/>
      <sheetName val="CC_Down_load_071616"/>
      <sheetName val="CF_RE_type16"/>
      <sheetName val="Ref_Filed16"/>
      <sheetName val="220_(2)16"/>
      <sheetName val="3_일반사상16"/>
      <sheetName val="S1_1총괄16"/>
      <sheetName val="1_능률현황16"/>
      <sheetName val="2_호선별예상실적16"/>
      <sheetName val="7_(2)13"/>
      <sheetName val="2181_91(Ex-pat)13"/>
      <sheetName val="2150_2(Equip-oth)13"/>
      <sheetName val="5_공종별예산내역서13"/>
      <sheetName val="SH_R설치13"/>
      <sheetName val="Business_Plan13"/>
      <sheetName val="Korea_Sign-Internal13"/>
      <sheetName val="FY00_OP3rdPrty13"/>
      <sheetName val="Q3_actuals13"/>
      <sheetName val="0307_Q3Update13"/>
      <sheetName val="3_부점발견재산13"/>
      <sheetName val="6_공사부점손익13"/>
      <sheetName val="5_공사손익실적13"/>
      <sheetName val="Cons_Total_company13"/>
      <sheetName val="FL'G_WT_13"/>
      <sheetName val="수금_13"/>
      <sheetName val="Reconciliation"/>
      <sheetName val="LC Supports"/>
      <sheetName val="Form 18-12"/>
      <sheetName val="형명분류 신구비교"/>
      <sheetName val="월달력"/>
      <sheetName val="CR CODE"/>
      <sheetName val="OPT손익 수출"/>
      <sheetName val="제안대장(전체)"/>
      <sheetName val="98달력"/>
      <sheetName val="치약_v011_x005f_x0000_츀"/>
      <sheetName val="1월실적_x005f_x0000_jĨ˒"/>
      <sheetName val="1월실적_x005f_x0000__x005f_x0000__x005f_x0005__x0000"/>
      <sheetName val="Parameter 2 Projektbasisdaten"/>
      <sheetName val="2. 별첨 HC Detail(입퇴사)"/>
      <sheetName val="ｴｱﾃﾞｨｽｸ"/>
      <sheetName val="1공장_재공품생糑,꣸"/>
      <sheetName val="96 FW 기획, 진행 현황"/>
      <sheetName val="группа"/>
      <sheetName val="하_고과(결과)"/>
      <sheetName val="년도별개발"/>
      <sheetName val="Publishing Plan(Edit)"/>
      <sheetName val="FSS TB summary Report"/>
      <sheetName val="유형자산LEAD"/>
      <sheetName val="TEMP2"/>
      <sheetName val="TEMP1"/>
      <sheetName val="출금실적"/>
      <sheetName val="월별비교제조원가명세서"/>
      <sheetName val="단기차입금"/>
      <sheetName val="선수"/>
      <sheetName val="목표세부명세"/>
      <sheetName val="REOE판매실적"/>
      <sheetName val="예총"/>
      <sheetName val="실행예산 명세표"/>
      <sheetName val="실행예산_명세표"/>
      <sheetName val="단가표"/>
      <sheetName val="财务费用明细表"/>
      <sheetName val="长期待摊费用明细表"/>
      <sheetName val="감가상각비 배부"/>
      <sheetName val="目录"/>
      <sheetName val="재무가정"/>
      <sheetName val="Cashflow(Scenario)"/>
      <sheetName val="일반사항"/>
      <sheetName val="WP Index"/>
      <sheetName val="2111"/>
      <sheetName val="2112"/>
      <sheetName val="2710"/>
      <sheetName val="7600"/>
      <sheetName val="7610"/>
      <sheetName val="8700"/>
      <sheetName val="FP"/>
      <sheetName val="CE"/>
      <sheetName val="CF"/>
      <sheetName val="RE"/>
      <sheetName val="1__Exercised"/>
      <sheetName val="Pref_B"/>
      <sheetName val="제조원가계산서_(2)"/>
      <sheetName val="7_예수금이자,연체자금투입비용"/>
      <sheetName val="기계장치_(2)"/>
      <sheetName val="10월_급여"/>
      <sheetName val="신용카드(상각_고재균_활동_고재균)"/>
      <sheetName val="신용카드(상각_이상인_활동_이상인)"/>
      <sheetName val="대환론(상각_이상인_활동_이상인)"/>
      <sheetName val="일반론(상각_이상인_활동_이상인)"/>
      <sheetName val="1995년_섹터별_매출"/>
      <sheetName val="Rollforward_to_Final"/>
      <sheetName val="Site_Expenses"/>
      <sheetName val="for_회수"/>
      <sheetName val="건물_상각비"/>
      <sheetName val="전력_연료"/>
      <sheetName val="CT_190527"/>
      <sheetName val="DMAW_유상샘플"/>
      <sheetName val="DMNB_20F"/>
      <sheetName val="YS1004_2700DE"/>
      <sheetName val="방오사3DE(STB)_유상샘플"/>
      <sheetName val="방오사3DE(STB)_CIF"/>
      <sheetName val="방오사3DE(STB)_DDP"/>
      <sheetName val="방오사6DE(STB)_CIF"/>
      <sheetName val="방오사6DE(STB)_DDP"/>
      <sheetName val="STB_20F"/>
      <sheetName val="Gen_Assumptions"/>
      <sheetName val="Admin(Acqusition)_2009_GMC"/>
      <sheetName val="NPV_-_New_Plant"/>
      <sheetName val="A_8-7-1_중요계정파악"/>
      <sheetName val="0_Data"/>
      <sheetName val="2013년12월~2014년4월_수불내역"/>
      <sheetName val="품목별_판매량"/>
      <sheetName val="전용선_(2)"/>
      <sheetName val="1_외주공사"/>
      <sheetName val="2_직영공사"/>
      <sheetName val="시실누(모)_"/>
      <sheetName val="1차_내역서"/>
      <sheetName val="총괄갑_"/>
      <sheetName val="수원_RAW_BT03(M292C)1"/>
      <sheetName val="Repayment_Summary"/>
      <sheetName val="average_price"/>
      <sheetName val="3_공통공사대비"/>
      <sheetName val="경영비율"/>
      <sheetName val="구분자"/>
      <sheetName val="Sheet2 (2)"/>
      <sheetName val="기준표"/>
      <sheetName val="최종보고1"/>
      <sheetName val="데이터"/>
      <sheetName val="지역별 업종검색 (2)"/>
      <sheetName val="_"/>
      <sheetName val="TBclosing"/>
      <sheetName val="원_VL"/>
      <sheetName val="MatchCode"/>
      <sheetName val="4-货币资金-现金"/>
      <sheetName val="첨"/>
      <sheetName val="truc tiep"/>
      <sheetName val="성보6"/>
      <sheetName val="단산"/>
      <sheetName val="일대"/>
      <sheetName val="1공장_재공품생"/>
      <sheetName val="간접경상비"/>
      <sheetName val="B7"/>
      <sheetName val="CSM"/>
      <sheetName val="inv-equity"/>
      <sheetName val="BBM-03"/>
      <sheetName val="pm"/>
      <sheetName val="KOR"/>
      <sheetName val="팀별손익"/>
      <sheetName val="실행예산_명세표1"/>
      <sheetName val="引用"/>
      <sheetName val="bal sheet"/>
      <sheetName val="반기_유가증권"/>
      <sheetName val="계조에 따른 특성"/>
      <sheetName val="조명시설"/>
      <sheetName val="일보.확정"/>
      <sheetName val="월보.확정"/>
      <sheetName val="조사번호"/>
      <sheetName val="2.조회처목록"/>
      <sheetName val="당월"/>
      <sheetName val="박지현"/>
      <sheetName val="비교(재무제표)"/>
      <sheetName val="회사개요"/>
      <sheetName val="상각율표"/>
      <sheetName val="3110-2"/>
      <sheetName val="인상효1"/>
      <sheetName val="사장단"/>
      <sheetName val="삼양사"/>
      <sheetName val="(참고) 리스크 맵"/>
      <sheetName val="카테고리별_상세"/>
      <sheetName val="1월_1주차_PV"/>
      <sheetName val="전문직"/>
      <sheetName val="인턴사원"/>
      <sheetName val="상정안건"/>
      <sheetName val="직노"/>
      <sheetName val="매출이익011h"/>
      <sheetName val="외주현황.wq1"/>
      <sheetName val="영업팀별 손익 예상"/>
      <sheetName val="상각률표"/>
      <sheetName val="BS10"/>
      <sheetName val="THEME CODE"/>
      <sheetName val="00건설추정대차대조표"/>
      <sheetName val="여신"/>
      <sheetName val="수신"/>
      <sheetName val="S-5"/>
      <sheetName val="입찰"/>
      <sheetName val="현경"/>
      <sheetName val="I一般比"/>
      <sheetName val="25_보증금_임차보증금외_"/>
      <sheetName val="합병BS"/>
      <sheetName val="가중평균 보통주식02"/>
      <sheetName val="가중평균 보통주식01"/>
      <sheetName val="주식배당"/>
      <sheetName val="score_sheet22"/>
      <sheetName val="공제사업score_sheet22"/>
      <sheetName val="법인세비용_계산22"/>
      <sheetName val="정관_및_회계규정22"/>
      <sheetName val="주요ISSUE_사항22"/>
      <sheetName val="완성차_미수금22"/>
      <sheetName val="외상매출금현황-수정분_A222"/>
      <sheetName val="2006_과표및세액조정계산서22"/>
      <sheetName val="받을어음할인및_융통어음21"/>
      <sheetName val="YTD_Sales(0411)22"/>
      <sheetName val="2_대외공문21"/>
      <sheetName val="계수원본(99_2_28)22"/>
      <sheetName val="10_3122"/>
      <sheetName val="매출_물동명세22"/>
      <sheetName val="Cash_Flow21"/>
      <sheetName val="Net_PL(세분류)21"/>
      <sheetName val="3_판관비명세서21"/>
      <sheetName val="아파트_기성내역서21"/>
      <sheetName val="장할생활_(2)21"/>
      <sheetName val="증감분석_및_연결조정21"/>
      <sheetName val="업무분장_21"/>
      <sheetName val="11_17-11_2321"/>
      <sheetName val="11_24-11_3021"/>
      <sheetName val="2_상각보정명세21"/>
      <sheetName val="1공장_재공품생산현황21"/>
      <sheetName val="매출채권_및_담보비율_변동21"/>
      <sheetName val="25_보증금(임차보증금외)20"/>
      <sheetName val="24_보증금(전신전화가입권)20"/>
      <sheetName val="1월실적_(2)21"/>
      <sheetName val="비교원가제출_고21"/>
      <sheetName val="4-1__매출원가_손익계획_집계표20"/>
      <sheetName val="퇴직급여충당금12_3121"/>
      <sheetName val="대차대조표12_0120"/>
      <sheetName val="화섬_MDP21"/>
      <sheetName val="비용_배부후20"/>
      <sheetName val="의뢰건_(2)20"/>
      <sheetName val="5_소재20"/>
      <sheetName val="4_2유효폭의_계산20"/>
      <sheetName val="Dólar_Observado20"/>
      <sheetName val="1_MDF1공장20"/>
      <sheetName val="VB_20"/>
      <sheetName val="Reference_(변경)20"/>
      <sheetName val="입력_판매20"/>
      <sheetName val="입력_인원20"/>
      <sheetName val="경영비율_20"/>
      <sheetName val="POS_(2)20"/>
      <sheetName val="05_1Q20"/>
      <sheetName val="매출액(명)_20"/>
      <sheetName val="#2_BSPL20"/>
      <sheetName val="산업은행_경영지표20"/>
      <sheetName val="아울렛_농산벤더20"/>
      <sheetName val="118_세금과공과20"/>
      <sheetName val="CT_재공품생산현황20"/>
      <sheetName val="경영계획_수립_참고자료_▶▶▶20"/>
      <sheetName val="사업부서_작성자료_▶▶▶20"/>
      <sheetName val="15년_손익_(GS신규Vision)_요약-연간비교장20"/>
      <sheetName val="15년_손익_(GS신규Vision)_요약-(간접비_포20"/>
      <sheetName val="15년_손익-GS신규Vision20"/>
      <sheetName val="매출_계획20"/>
      <sheetName val="매출계획_산출근거20"/>
      <sheetName val="재료비(율)_계획20"/>
      <sheetName val="재료비(율)_산출근거20"/>
      <sheetName val="인원인건비&amp;간접비_계획20"/>
      <sheetName val="감가상각비_계산20"/>
      <sheetName val="간접비_계획20"/>
      <sheetName val="Reference_(기존)20"/>
      <sheetName val="2014년_손익20"/>
      <sheetName val="15년_손익_(GDR_Rental사업)_요약-연간비교20"/>
      <sheetName val="15년_손익_(GDR_Rent사업)_요약-(간접비_포20"/>
      <sheetName val="15년_손익-GDR_Rental사업20"/>
      <sheetName val="매출&amp;재료비&amp;비용&amp;투자_산출근거20"/>
      <sheetName val="2_Critical_Component_Estimati20"/>
      <sheetName val="00_08계정20"/>
      <sheetName val="퇴직충당금(3_31)(국문)20"/>
      <sheetName val="control_sheet20"/>
      <sheetName val="unit_420"/>
      <sheetName val="내역서_(2)20"/>
      <sheetName val="INCOME_STATEMENT20"/>
      <sheetName val="관계회사거래내역및_채권채무잔액_9918"/>
      <sheetName val="Team_종합18"/>
      <sheetName val="에뛰드_내부관리가18"/>
      <sheetName val="원가계산_(2)19"/>
      <sheetName val="유첨3_적용기준18"/>
      <sheetName val="Packaging_cost_Back_Data18"/>
      <sheetName val="현지법인_대손설정18"/>
      <sheetName val="중장기_외화자금_보정명세(PBC)20"/>
      <sheetName val="현금_및_예치금Lead18"/>
      <sheetName val="현금및예치금_명세서18"/>
      <sheetName val="108_수선비19"/>
      <sheetName val="General_Inputs18"/>
      <sheetName val="CGC_Inputs18"/>
      <sheetName val="업체손실공수_xls18"/>
      <sheetName val="sap`04_7_1418"/>
      <sheetName val="13_보증금(전신전화가입권)18"/>
      <sheetName val="붙임2-1__지급조서명세서(2001년분)18"/>
      <sheetName val="Office_only_Letup18"/>
      <sheetName val="중부사업담당_1-11월_원가20"/>
      <sheetName val="0_0ControlSheet18"/>
      <sheetName val="US_Revenue_(2)18"/>
      <sheetName val="01_12月_Lot별_판매실적_xls18"/>
      <sheetName val="Industry_Indices18"/>
      <sheetName val="공항,제주_판매율_분석18"/>
      <sheetName val="현금흐름표_근거자료18"/>
      <sheetName val="Item_LIST17"/>
      <sheetName val="Volume_LIST17"/>
      <sheetName val="감사보고서_(날인X)_KEIT17"/>
      <sheetName val="감사보고서_(날인X)_KIAT17"/>
      <sheetName val="감사보고서_(날인X)_KETEP17"/>
      <sheetName val="재원별지출내역_(2)17"/>
      <sheetName val="연구시설·장비_및_재료비17"/>
      <sheetName val="세목별_사용내역조회17"/>
      <sheetName val="인건비_소요_명세17"/>
      <sheetName val="Sheet1_(2)17"/>
      <sheetName val="년간_자금계획(90일_적용)17"/>
      <sheetName val="서비스별_매출추이17"/>
      <sheetName val="GEN_Inputs17"/>
      <sheetName val="값목록(Do_not_touch)17"/>
      <sheetName val="99_7월_당월회수_실적17"/>
      <sheetName val="Bank_charge17"/>
      <sheetName val="7__2_17"/>
      <sheetName val="참고__카본단가_비교17"/>
      <sheetName val="LEAD_SHEET_(K상각후회수율)17"/>
      <sheetName val="수입검사현황_Rev117"/>
      <sheetName val="7_3_DY팀17"/>
      <sheetName val="DATA_입력란17"/>
      <sheetName val="1__설계조건_2_단면가정_3__하중계산17"/>
      <sheetName val="2_지분법적용주식Leadsheet(회사제시)17"/>
      <sheetName val="AQL(0_65)17"/>
      <sheetName val="U3_117"/>
      <sheetName val="表03_17"/>
      <sheetName val="DIVP_L_199817"/>
      <sheetName val="CF_RE_type17"/>
      <sheetName val="제품L_D_17"/>
      <sheetName val="220_(2)17"/>
      <sheetName val="3_일반사상17"/>
      <sheetName val="TO_DO17"/>
      <sheetName val="CC_Down_load_071617"/>
      <sheetName val="S1_1총괄17"/>
      <sheetName val="Ref_Filed17"/>
      <sheetName val="5客诉对比_(2)2"/>
      <sheetName val="比较_(2)2"/>
      <sheetName val="2181_91(Ex-pat)14"/>
      <sheetName val="2150_2(Equip-oth)14"/>
      <sheetName val="FY00_OP3rdPrty14"/>
      <sheetName val="Q3_actuals14"/>
      <sheetName val="0307_Q3Update14"/>
      <sheetName val="JT3_0견적-구12"/>
      <sheetName val="Main_Assumptions3"/>
      <sheetName val="Revenue_Assumptions3"/>
      <sheetName val="company_operations2"/>
      <sheetName val="1_능률현황17"/>
      <sheetName val="2_호선별예상실적17"/>
      <sheetName val="Business_Plan14"/>
      <sheetName val="5_공종별예산내역서14"/>
      <sheetName val="SH_R설치14"/>
      <sheetName val="Korea_Sign-Internal14"/>
      <sheetName val="Cons_Total_company14"/>
      <sheetName val="FL'G_WT_14"/>
      <sheetName val="수금_14"/>
      <sheetName val="5층_건축물대장_등기_예정3"/>
      <sheetName val="층별면적표-060411-5층_통합3"/>
      <sheetName val="Drop_down_참고2"/>
      <sheetName val="7_(2)14"/>
      <sheetName val="8_월별판관비2"/>
      <sheetName val="0_1keyAssumption2"/>
      <sheetName val="3_부점발견재산14"/>
      <sheetName val="6_공사부점손익14"/>
      <sheetName val="5_공사손익실적14"/>
      <sheetName val="원가투입계획('15_06~12)_봉2"/>
      <sheetName val="보관문서목록표_기획2"/>
      <sheetName val="2002년_교육출장비2"/>
      <sheetName val="MNT_개발계획_최종2"/>
      <sheetName val="short_term_loan2"/>
      <sheetName val="Tax_Category2"/>
      <sheetName val="Acct_Group2"/>
      <sheetName val="Summary_-_Budget2"/>
      <sheetName val="Chi_tiet2"/>
      <sheetName val="Исходная_база_сентябрь2"/>
      <sheetName val="5-_МЫ2"/>
      <sheetName val="2000년_충당금자료2"/>
      <sheetName val="매__출2"/>
      <sheetName val="채권_현황2"/>
      <sheetName val="TOWER_12TON2"/>
      <sheetName val="TOWER_10TON2"/>
      <sheetName val="JIB_CRANE,HOIST2"/>
      <sheetName val="재고_2"/>
      <sheetName val="8월_매출수주2"/>
      <sheetName val="SUB_(N)2"/>
      <sheetName val="2019년_세부자료_(입력할_시트)2"/>
      <sheetName val="2019년보험요율_(입력할_시트)2"/>
      <sheetName val="ADL_Val2"/>
      <sheetName val="ADL2_Val2"/>
      <sheetName val="ADL3_Val2"/>
      <sheetName val="ADL4_Val2"/>
      <sheetName val="ADL5_Val2"/>
      <sheetName val="ASO_II_Val2"/>
      <sheetName val="ASO_I_Val2"/>
      <sheetName val="ASO_I_Delaware_Val2"/>
      <sheetName val="GS_CK2"/>
      <sheetName val="ASO_I_Mauritius_Val2"/>
      <sheetName val="MDL_Val2"/>
      <sheetName val="Revised_PEGS982"/>
      <sheetName val="정비활동_수선비_절감21"/>
      <sheetName val="3_5_Inch_가동_효율21"/>
      <sheetName val="2_5_Inch_가동_효율21"/>
      <sheetName val="LUK_1"/>
      <sheetName val="3_운반"/>
      <sheetName val="0__간접공사비"/>
      <sheetName val="형명분류_신구비교"/>
      <sheetName val="CR_CODE"/>
      <sheetName val="OPT손익_수출"/>
      <sheetName val="Parameter_2_Projektbasisdaten"/>
      <sheetName val="2__별첨_HC_Detail(입퇴사)"/>
      <sheetName val="LC_Supports"/>
      <sheetName val="Form_18-12"/>
      <sheetName val="조직별_인원현황"/>
      <sheetName val="영업상황조사현황 (4)"/>
      <sheetName val="영업상황조사현황 (6)"/>
      <sheetName val="이매"/>
      <sheetName val="제조비용"/>
      <sheetName val="주소"/>
      <sheetName val="자재수불"/>
      <sheetName val="Revenue"/>
      <sheetName val="퇴직급여충당금"/>
      <sheetName val="안산선부동진행률"/>
      <sheetName val="4차 BW"/>
      <sheetName val="3차 BW"/>
      <sheetName val="당연"/>
      <sheetName val="OPT"/>
      <sheetName val="신개발(대전)"/>
      <sheetName val="Fan_Motor(가공비)"/>
      <sheetName val="시산956"/>
      <sheetName val="3084"/>
      <sheetName val="감가상각비 배부검토"/>
      <sheetName val="자재단가"/>
      <sheetName val="L"/>
      <sheetName val="Transaction"/>
      <sheetName val="data(04~08)"/>
      <sheetName val="03년3분기선급비용"/>
      <sheetName val="Report3"/>
      <sheetName val="NSV waterfall H1 Board final"/>
      <sheetName val="anarev"/>
      <sheetName val="NSV_waterfall_H1_Board_final"/>
      <sheetName val="NSV_waterfall_H1_Board_final1"/>
      <sheetName val="NSV_waterfall_H1_Board_final2"/>
      <sheetName val="NSV_waterfall_H1_Board_final3"/>
      <sheetName val="NSV_waterfall_H1_Board_final4"/>
      <sheetName val="NSV_waterfall_H1_Board_final5"/>
      <sheetName val="NSV_waterfall_H1_Board_final6"/>
      <sheetName val="NSV_waterfall_H1_Board_final7"/>
      <sheetName val="Sale-Leaseback (2)"/>
      <sheetName val="索引"/>
      <sheetName val="HQ-AP,Prep.NP"/>
      <sheetName val="二厂一季度单位成本"/>
      <sheetName val="成本计算单_汇总显示_"/>
      <sheetName val="表21 净利润调节表"/>
      <sheetName val="내역서01"/>
      <sheetName val="경상연구개발비_목록"/>
      <sheetName val="투자목록"/>
      <sheetName val="PARAM"/>
      <sheetName val="S1"/>
      <sheetName val="M1"/>
      <sheetName val="퇴직금추계액"/>
      <sheetName val="마감장"/>
      <sheetName val="SCF"/>
      <sheetName val="Sheet5(실지급)"/>
      <sheetName val="서울판관-공통부문"/>
      <sheetName val="차입금"/>
      <sheetName val="1공장_재공품생_x0000_엸ɶ"/>
      <sheetName val="1공장_재공품생ၒ_x0000__x0000_"/>
      <sheetName val="지역별약정(당일)"/>
      <sheetName val="Inventory_0331"/>
      <sheetName val="产成品材料成本比例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 refreshError="1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 refreshError="1"/>
      <sheetData sheetId="1167" refreshError="1"/>
      <sheetData sheetId="1168"/>
      <sheetData sheetId="1169"/>
      <sheetData sheetId="1170"/>
      <sheetData sheetId="1171"/>
      <sheetData sheetId="1172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/>
      <sheetData sheetId="1324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/>
      <sheetData sheetId="2082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 refreshError="1"/>
      <sheetData sheetId="2141" refreshError="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 refreshError="1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 refreshError="1"/>
      <sheetData sheetId="2983" refreshError="1"/>
      <sheetData sheetId="2984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 refreshError="1"/>
      <sheetData sheetId="4984" refreshError="1"/>
      <sheetData sheetId="4985" refreshError="1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/>
      <sheetData sheetId="5047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94"/>
  <sheetViews>
    <sheetView tabSelected="1" topLeftCell="A50" workbookViewId="0">
      <selection activeCell="I56" sqref="I56:J56"/>
    </sheetView>
  </sheetViews>
  <sheetFormatPr defaultRowHeight="17"/>
  <cols>
    <col min="1" max="1" width="24" style="1" customWidth="1"/>
    <col min="2" max="5" width="14" style="1" customWidth="1"/>
    <col min="6" max="6" width="11.75" style="1" customWidth="1"/>
    <col min="7" max="7" width="10" style="1" customWidth="1"/>
    <col min="8" max="8" width="14" style="1" customWidth="1"/>
    <col min="9" max="9" width="10" style="1" customWidth="1"/>
    <col min="10" max="10" width="30" style="1" customWidth="1"/>
  </cols>
  <sheetData>
    <row r="1" spans="1:10" ht="8" customHeight="1">
      <c r="A1" s="36"/>
      <c r="B1" s="37"/>
      <c r="C1" s="37"/>
      <c r="D1" s="37"/>
      <c r="E1" s="37"/>
      <c r="F1" s="37"/>
      <c r="G1" s="37"/>
      <c r="H1" s="37"/>
      <c r="I1" s="37"/>
      <c r="J1" s="37"/>
    </row>
    <row r="2" spans="1:10" ht="18" customHeight="1">
      <c r="A2" s="60" t="s">
        <v>1</v>
      </c>
      <c r="B2" s="37"/>
      <c r="C2" s="37"/>
      <c r="D2" s="37"/>
      <c r="E2" s="37"/>
      <c r="F2" s="37"/>
      <c r="G2" s="54" t="s">
        <v>62</v>
      </c>
      <c r="H2" s="37"/>
      <c r="I2" s="37"/>
      <c r="J2" s="37"/>
    </row>
    <row r="3" spans="1:10" ht="30" customHeight="1">
      <c r="A3" s="61" t="s">
        <v>63</v>
      </c>
      <c r="B3" s="37"/>
      <c r="C3" s="37"/>
      <c r="D3" s="37"/>
      <c r="E3" s="37"/>
      <c r="F3" s="37"/>
      <c r="G3" s="37"/>
      <c r="H3" s="37"/>
      <c r="I3" s="37"/>
      <c r="J3" s="37"/>
    </row>
    <row r="4" spans="1:10" ht="18" customHeight="1">
      <c r="A4" s="64" t="s">
        <v>29</v>
      </c>
      <c r="B4" s="37"/>
      <c r="C4" s="37"/>
      <c r="D4" s="37"/>
      <c r="E4" s="37"/>
      <c r="F4" s="37"/>
      <c r="G4" s="37"/>
      <c r="H4" s="37"/>
      <c r="I4" s="37"/>
      <c r="J4" s="37"/>
    </row>
    <row r="5" spans="1:10" ht="20" customHeight="1">
      <c r="A5" s="38" t="s">
        <v>2</v>
      </c>
      <c r="B5" s="39"/>
      <c r="C5" s="63" t="s">
        <v>3</v>
      </c>
      <c r="D5" s="39"/>
      <c r="E5" s="38" t="s">
        <v>30</v>
      </c>
      <c r="F5" s="39"/>
      <c r="G5" s="63" t="s">
        <v>12</v>
      </c>
      <c r="H5" s="42"/>
      <c r="I5" s="42"/>
      <c r="J5" s="39"/>
    </row>
    <row r="6" spans="1:10" ht="20" customHeight="1">
      <c r="A6" s="38" t="s">
        <v>4</v>
      </c>
      <c r="B6" s="39"/>
      <c r="C6" s="48">
        <v>46227</v>
      </c>
      <c r="D6" s="39"/>
      <c r="E6" s="38" t="s">
        <v>5</v>
      </c>
      <c r="F6" s="39"/>
      <c r="G6" s="48">
        <v>46227</v>
      </c>
      <c r="H6" s="49"/>
      <c r="I6" s="49"/>
      <c r="J6" s="50"/>
    </row>
    <row r="7" spans="1:10" ht="20" customHeight="1">
      <c r="A7" s="38" t="s">
        <v>31</v>
      </c>
      <c r="B7" s="39"/>
      <c r="C7" s="48">
        <v>46203</v>
      </c>
      <c r="D7" s="39"/>
      <c r="E7" s="44"/>
      <c r="F7" s="39"/>
      <c r="G7" s="44"/>
      <c r="H7" s="42"/>
      <c r="I7" s="42"/>
      <c r="J7" s="39"/>
    </row>
    <row r="8" spans="1:10" ht="18" customHeight="1"/>
    <row r="9" spans="1:10" ht="6" customHeight="1">
      <c r="A9" s="36"/>
      <c r="B9" s="37"/>
      <c r="C9" s="37"/>
      <c r="D9" s="37"/>
      <c r="E9" s="37"/>
      <c r="F9" s="37"/>
      <c r="G9" s="37"/>
      <c r="H9" s="37"/>
      <c r="I9" s="37"/>
      <c r="J9" s="37"/>
    </row>
    <row r="10" spans="1:10" ht="22" customHeight="1">
      <c r="A10" s="3"/>
      <c r="B10" s="59"/>
      <c r="C10" s="42"/>
      <c r="D10" s="39"/>
      <c r="E10" s="45">
        <v>46203</v>
      </c>
      <c r="F10" s="42"/>
      <c r="G10" s="42"/>
      <c r="H10" s="39"/>
      <c r="I10" s="59" t="s">
        <v>0</v>
      </c>
      <c r="J10" s="39"/>
    </row>
    <row r="11" spans="1:10" ht="22" customHeight="1">
      <c r="A11" s="4" t="s">
        <v>32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  <c r="G11" s="4" t="s">
        <v>38</v>
      </c>
      <c r="H11" s="4" t="s">
        <v>39</v>
      </c>
      <c r="I11" s="4" t="s">
        <v>40</v>
      </c>
      <c r="J11" s="4" t="s">
        <v>41</v>
      </c>
    </row>
    <row r="12" spans="1:10" ht="20" customHeight="1">
      <c r="A12" s="5" t="s">
        <v>7</v>
      </c>
      <c r="B12" s="6">
        <v>1534681919</v>
      </c>
      <c r="C12" s="24">
        <v>14875550933</v>
      </c>
      <c r="D12" s="24">
        <v>14405417414</v>
      </c>
      <c r="E12" s="24">
        <v>2004815438</v>
      </c>
      <c r="F12" s="24"/>
      <c r="G12" s="24"/>
      <c r="H12" s="24">
        <v>2004815438</v>
      </c>
      <c r="I12" s="7"/>
      <c r="J12" s="8"/>
    </row>
    <row r="13" spans="1:10" ht="20" customHeight="1">
      <c r="A13" s="5" t="s">
        <v>11</v>
      </c>
      <c r="B13" s="6">
        <v>735115996</v>
      </c>
      <c r="C13" s="24">
        <v>5935737188</v>
      </c>
      <c r="D13" s="24">
        <v>6028933721</v>
      </c>
      <c r="E13" s="24">
        <v>641919463</v>
      </c>
      <c r="F13" s="24"/>
      <c r="G13" s="24"/>
      <c r="H13" s="24">
        <v>641919463</v>
      </c>
      <c r="I13" s="7"/>
      <c r="J13" s="8"/>
    </row>
    <row r="14" spans="1:10" ht="20" customHeight="1">
      <c r="A14" s="16" t="s">
        <v>64</v>
      </c>
      <c r="B14" s="6">
        <v>1331816</v>
      </c>
      <c r="C14" s="24">
        <v>11616039249</v>
      </c>
      <c r="D14" s="24">
        <v>11616039249</v>
      </c>
      <c r="E14" s="24">
        <v>1331816</v>
      </c>
      <c r="F14" s="24"/>
      <c r="G14" s="24"/>
      <c r="H14" s="24">
        <v>1331816</v>
      </c>
      <c r="I14" s="7"/>
      <c r="J14" s="8"/>
    </row>
    <row r="15" spans="1:10" ht="20" customHeight="1">
      <c r="A15" s="5" t="s">
        <v>8</v>
      </c>
      <c r="B15" s="6">
        <v>67274989</v>
      </c>
      <c r="C15" s="24">
        <v>6262044536</v>
      </c>
      <c r="D15" s="24">
        <v>6270744430</v>
      </c>
      <c r="E15" s="24">
        <v>58575095</v>
      </c>
      <c r="F15" s="24"/>
      <c r="G15" s="24"/>
      <c r="H15" s="24">
        <v>58575095</v>
      </c>
      <c r="I15" s="7"/>
      <c r="J15" s="8"/>
    </row>
    <row r="16" spans="1:10" ht="20" customHeight="1">
      <c r="A16" s="5" t="s">
        <v>65</v>
      </c>
      <c r="B16" s="6">
        <v>0</v>
      </c>
      <c r="C16" s="24">
        <v>5073463073</v>
      </c>
      <c r="D16" s="24">
        <v>5073463073</v>
      </c>
      <c r="E16" s="24">
        <v>0</v>
      </c>
      <c r="F16" s="24"/>
      <c r="G16" s="24"/>
      <c r="H16" s="24">
        <v>0</v>
      </c>
      <c r="I16" s="7"/>
      <c r="J16" s="8"/>
    </row>
    <row r="17" spans="1:10" ht="20" customHeight="1">
      <c r="A17" s="5" t="s">
        <v>9</v>
      </c>
      <c r="B17" s="6">
        <v>383000000</v>
      </c>
      <c r="C17" s="24">
        <v>483000000</v>
      </c>
      <c r="D17" s="24">
        <v>166000000</v>
      </c>
      <c r="E17" s="24">
        <v>700000000</v>
      </c>
      <c r="F17" s="24"/>
      <c r="G17" s="24"/>
      <c r="H17" s="24"/>
      <c r="I17" s="7"/>
      <c r="J17" s="8"/>
    </row>
    <row r="18" spans="1:10" ht="6" customHeight="1"/>
    <row r="19" spans="1:10" ht="22" customHeight="1">
      <c r="A19" s="9" t="s">
        <v>42</v>
      </c>
      <c r="B19" s="10">
        <v>2721404720</v>
      </c>
      <c r="C19" s="10">
        <v>44245834979</v>
      </c>
      <c r="D19" s="10">
        <v>43560597887</v>
      </c>
      <c r="E19" s="10">
        <v>3406641812</v>
      </c>
      <c r="F19" s="10">
        <v>0</v>
      </c>
      <c r="G19" s="10">
        <v>0</v>
      </c>
      <c r="H19" s="10">
        <v>2706641812</v>
      </c>
    </row>
    <row r="20" spans="1:10" ht="18" customHeight="1"/>
    <row r="21" spans="1:10" ht="22" customHeight="1">
      <c r="A21" s="62" t="s">
        <v>43</v>
      </c>
      <c r="B21" s="57"/>
      <c r="C21" s="57"/>
      <c r="D21" s="57"/>
      <c r="E21" s="57"/>
      <c r="F21" s="57"/>
      <c r="G21" s="57"/>
      <c r="H21" s="57"/>
      <c r="I21" s="57"/>
      <c r="J21" s="58"/>
    </row>
    <row r="22" spans="1:10" ht="20" customHeight="1">
      <c r="A22" s="4" t="s">
        <v>32</v>
      </c>
      <c r="B22" s="4" t="s">
        <v>44</v>
      </c>
      <c r="C22" s="4" t="s">
        <v>45</v>
      </c>
      <c r="D22" s="4" t="s">
        <v>0</v>
      </c>
      <c r="E22" s="41"/>
      <c r="F22" s="42"/>
      <c r="G22" s="42"/>
      <c r="H22" s="42"/>
      <c r="I22" s="42"/>
      <c r="J22" s="39"/>
    </row>
    <row r="23" spans="1:10" ht="20" customHeight="1">
      <c r="A23" s="11" t="s">
        <v>7</v>
      </c>
      <c r="B23" s="20">
        <v>470133519</v>
      </c>
      <c r="C23" s="21">
        <v>0.30633938745192191</v>
      </c>
      <c r="D23" s="22"/>
      <c r="E23" s="52"/>
      <c r="F23" s="42"/>
      <c r="G23" s="42"/>
      <c r="H23" s="42"/>
      <c r="I23" s="42"/>
      <c r="J23" s="39"/>
    </row>
    <row r="24" spans="1:10" ht="20" customHeight="1">
      <c r="A24" s="11" t="s">
        <v>11</v>
      </c>
      <c r="B24" s="20">
        <v>-93196533</v>
      </c>
      <c r="C24" s="21">
        <v>-0.12677799627148911</v>
      </c>
      <c r="D24" s="22"/>
      <c r="E24" s="52"/>
      <c r="F24" s="42"/>
      <c r="G24" s="42"/>
      <c r="H24" s="42"/>
      <c r="I24" s="42"/>
      <c r="J24" s="39"/>
    </row>
    <row r="25" spans="1:10" ht="20" customHeight="1">
      <c r="A25" s="19" t="s">
        <v>10</v>
      </c>
      <c r="B25" s="20">
        <v>0</v>
      </c>
      <c r="C25" s="21">
        <v>0</v>
      </c>
      <c r="D25" s="22"/>
      <c r="E25" s="52"/>
      <c r="F25" s="42"/>
      <c r="G25" s="42"/>
      <c r="H25" s="42"/>
      <c r="I25" s="42"/>
      <c r="J25" s="39"/>
    </row>
    <row r="26" spans="1:10" ht="20" customHeight="1">
      <c r="A26" s="11" t="s">
        <v>8</v>
      </c>
      <c r="B26" s="20">
        <v>-8699894</v>
      </c>
      <c r="C26" s="21">
        <v>-0.1293184009290585</v>
      </c>
      <c r="D26" s="22"/>
      <c r="E26" s="52"/>
      <c r="F26" s="42"/>
      <c r="G26" s="42"/>
      <c r="H26" s="42"/>
      <c r="I26" s="42"/>
      <c r="J26" s="39"/>
    </row>
    <row r="27" spans="1:10" ht="20" customHeight="1">
      <c r="A27" s="11" t="s">
        <v>65</v>
      </c>
      <c r="B27" s="20">
        <v>0</v>
      </c>
      <c r="C27" s="21">
        <v>0</v>
      </c>
      <c r="D27" s="22"/>
      <c r="E27" s="52"/>
      <c r="F27" s="42"/>
      <c r="G27" s="42"/>
      <c r="H27" s="42"/>
      <c r="I27" s="42"/>
      <c r="J27" s="39"/>
    </row>
    <row r="28" spans="1:10" ht="20" customHeight="1">
      <c r="A28" s="11" t="s">
        <v>63</v>
      </c>
      <c r="B28" s="20">
        <v>-2146826265</v>
      </c>
      <c r="C28" s="21">
        <v>0</v>
      </c>
      <c r="D28" s="22"/>
      <c r="E28" s="52"/>
      <c r="F28" s="42"/>
      <c r="G28" s="42"/>
      <c r="H28" s="42"/>
      <c r="I28" s="42"/>
      <c r="J28" s="39"/>
    </row>
    <row r="29" spans="1:10" ht="18" customHeight="1"/>
    <row r="30" spans="1:10" ht="18" customHeight="1">
      <c r="A30" s="15"/>
      <c r="B30" s="15"/>
      <c r="C30" s="15"/>
      <c r="D30" s="4"/>
      <c r="E30" s="41"/>
      <c r="F30" s="42"/>
      <c r="G30" s="42"/>
      <c r="H30" s="42"/>
      <c r="I30" s="42"/>
      <c r="J30" s="39"/>
    </row>
    <row r="31" spans="1:10" ht="18" customHeight="1">
      <c r="A31" s="18" t="s">
        <v>66</v>
      </c>
      <c r="B31" s="18" t="s">
        <v>67</v>
      </c>
      <c r="C31" s="18" t="s">
        <v>68</v>
      </c>
      <c r="D31" s="18" t="s">
        <v>56</v>
      </c>
      <c r="E31" s="23" t="s">
        <v>57</v>
      </c>
      <c r="F31" s="23" t="s">
        <v>69</v>
      </c>
    </row>
    <row r="32" spans="1:10" ht="18" customHeight="1">
      <c r="A32" s="17" t="s">
        <v>20</v>
      </c>
      <c r="B32" s="17" t="s">
        <v>7</v>
      </c>
      <c r="C32" s="27">
        <v>110911176</v>
      </c>
      <c r="D32" s="27">
        <v>503640751</v>
      </c>
      <c r="E32" s="27">
        <v>845109047</v>
      </c>
      <c r="F32" s="27">
        <v>452379472</v>
      </c>
    </row>
    <row r="33" spans="1:6" ht="18" customHeight="1">
      <c r="A33" s="17" t="s">
        <v>15</v>
      </c>
      <c r="B33" s="17" t="s">
        <v>7</v>
      </c>
      <c r="C33" s="27">
        <v>1423770743</v>
      </c>
      <c r="D33" s="27">
        <v>13901776663</v>
      </c>
      <c r="E33" s="27">
        <v>14030441886</v>
      </c>
      <c r="F33" s="27">
        <v>1552435966</v>
      </c>
    </row>
    <row r="34" spans="1:6" ht="18" customHeight="1">
      <c r="A34" s="17" t="s">
        <v>17</v>
      </c>
      <c r="B34" s="17" t="s">
        <v>11</v>
      </c>
      <c r="C34" s="27">
        <v>156477580</v>
      </c>
      <c r="D34" s="27">
        <v>5341955122</v>
      </c>
      <c r="E34" s="27">
        <v>5288818422</v>
      </c>
      <c r="F34" s="27">
        <v>103340880</v>
      </c>
    </row>
    <row r="35" spans="1:6" ht="18" customHeight="1">
      <c r="A35" s="17" t="s">
        <v>21</v>
      </c>
      <c r="B35" s="17" t="s">
        <v>11</v>
      </c>
      <c r="C35" s="27">
        <v>74771526</v>
      </c>
      <c r="D35" s="27">
        <v>389509609</v>
      </c>
      <c r="E35" s="27">
        <v>325833973</v>
      </c>
      <c r="F35" s="27">
        <v>11095890</v>
      </c>
    </row>
    <row r="36" spans="1:6" ht="18" customHeight="1">
      <c r="A36" s="17" t="s">
        <v>22</v>
      </c>
      <c r="B36" s="17" t="s">
        <v>11</v>
      </c>
      <c r="C36" s="27">
        <v>53097829</v>
      </c>
      <c r="D36" s="27">
        <v>297468990</v>
      </c>
      <c r="E36" s="27">
        <v>321084793</v>
      </c>
      <c r="F36" s="27">
        <v>76713632</v>
      </c>
    </row>
    <row r="37" spans="1:6" ht="18" customHeight="1">
      <c r="A37" s="17" t="s">
        <v>97</v>
      </c>
      <c r="B37" s="17" t="s">
        <v>11</v>
      </c>
      <c r="C37" s="27">
        <v>450769061</v>
      </c>
      <c r="D37" s="27">
        <v>0</v>
      </c>
      <c r="E37" s="27">
        <v>0</v>
      </c>
      <c r="F37" s="27">
        <v>450769061</v>
      </c>
    </row>
    <row r="38" spans="1:6" ht="18" customHeight="1">
      <c r="A38" s="17" t="s">
        <v>25</v>
      </c>
      <c r="B38" s="17" t="s">
        <v>8</v>
      </c>
      <c r="C38" s="27">
        <v>56138154</v>
      </c>
      <c r="D38" s="27">
        <v>161095770</v>
      </c>
      <c r="E38" s="27">
        <v>147020200</v>
      </c>
      <c r="F38" s="27">
        <v>42062584</v>
      </c>
    </row>
    <row r="39" spans="1:6" ht="18" customHeight="1">
      <c r="A39" s="17" t="s">
        <v>27</v>
      </c>
      <c r="B39" s="17" t="s">
        <v>8</v>
      </c>
      <c r="C39" s="27">
        <v>4885924</v>
      </c>
      <c r="D39" s="27">
        <v>17041500</v>
      </c>
      <c r="E39" s="27">
        <v>14708240</v>
      </c>
      <c r="F39" s="27">
        <v>2552664</v>
      </c>
    </row>
    <row r="40" spans="1:6" ht="18" customHeight="1">
      <c r="A40" s="17" t="s">
        <v>23</v>
      </c>
      <c r="B40" s="17" t="s">
        <v>8</v>
      </c>
      <c r="C40" s="27">
        <v>0</v>
      </c>
      <c r="D40" s="27">
        <v>272800060</v>
      </c>
      <c r="E40" s="27">
        <v>272800060</v>
      </c>
      <c r="F40" s="27">
        <v>0</v>
      </c>
    </row>
    <row r="41" spans="1:6" ht="18" customHeight="1">
      <c r="A41" s="17" t="s">
        <v>26</v>
      </c>
      <c r="B41" s="17" t="s">
        <v>8</v>
      </c>
      <c r="C41" s="27">
        <v>1247490</v>
      </c>
      <c r="D41" s="27">
        <v>49905310</v>
      </c>
      <c r="E41" s="27">
        <v>49905310</v>
      </c>
      <c r="F41" s="27">
        <v>1247490</v>
      </c>
    </row>
    <row r="42" spans="1:6" ht="18" customHeight="1">
      <c r="A42" s="17" t="s">
        <v>24</v>
      </c>
      <c r="B42" s="17" t="s">
        <v>8</v>
      </c>
      <c r="C42" s="27">
        <v>258970</v>
      </c>
      <c r="D42" s="27">
        <v>249730440</v>
      </c>
      <c r="E42" s="27">
        <v>249730440</v>
      </c>
      <c r="F42" s="27">
        <v>258970</v>
      </c>
    </row>
    <row r="43" spans="1:6" ht="18" customHeight="1">
      <c r="A43" s="17" t="s">
        <v>16</v>
      </c>
      <c r="B43" s="17" t="s">
        <v>8</v>
      </c>
      <c r="C43" s="27">
        <v>4744451</v>
      </c>
      <c r="D43" s="27">
        <v>5520171350</v>
      </c>
      <c r="E43" s="27">
        <v>5527880286</v>
      </c>
      <c r="F43" s="27">
        <v>12453387</v>
      </c>
    </row>
    <row r="44" spans="1:6" ht="18" customHeight="1">
      <c r="A44" s="17" t="s">
        <v>19</v>
      </c>
      <c r="B44" s="17" t="s">
        <v>65</v>
      </c>
      <c r="C44" s="27">
        <v>0</v>
      </c>
      <c r="D44" s="27">
        <v>1856591749</v>
      </c>
      <c r="E44" s="27">
        <v>1856591749</v>
      </c>
      <c r="F44" s="27">
        <v>0</v>
      </c>
    </row>
    <row r="45" spans="1:6" ht="18" customHeight="1">
      <c r="A45" s="17" t="s">
        <v>18</v>
      </c>
      <c r="B45" s="17" t="s">
        <v>65</v>
      </c>
      <c r="C45" s="27">
        <v>0</v>
      </c>
      <c r="D45" s="27">
        <v>3216164073</v>
      </c>
      <c r="E45" s="27">
        <v>3216164073</v>
      </c>
      <c r="F45" s="27">
        <v>0</v>
      </c>
    </row>
    <row r="46" spans="1:6" ht="18" customHeight="1">
      <c r="A46" s="17" t="s">
        <v>28</v>
      </c>
      <c r="B46" s="17" t="s">
        <v>65</v>
      </c>
      <c r="C46" s="27">
        <v>0</v>
      </c>
      <c r="D46" s="27">
        <v>707251</v>
      </c>
      <c r="E46" s="27">
        <v>707251</v>
      </c>
      <c r="F46" s="27">
        <v>0</v>
      </c>
    </row>
    <row r="47" spans="1:6" ht="18" customHeight="1">
      <c r="A47" s="17" t="s">
        <v>10</v>
      </c>
      <c r="B47" s="17" t="s">
        <v>64</v>
      </c>
      <c r="C47" s="27">
        <v>1331816</v>
      </c>
      <c r="D47" s="27">
        <v>11616039249</v>
      </c>
      <c r="E47" s="27">
        <v>11616039249</v>
      </c>
      <c r="F47" s="27">
        <v>1331816</v>
      </c>
    </row>
    <row r="48" spans="1:6" ht="18" customHeight="1"/>
    <row r="49" spans="1:10" ht="18" customHeight="1"/>
    <row r="50" spans="1:10" ht="24" customHeight="1">
      <c r="A50" s="56" t="s">
        <v>46</v>
      </c>
      <c r="B50" s="57"/>
      <c r="C50" s="57"/>
      <c r="D50" s="57"/>
      <c r="E50" s="57"/>
      <c r="F50" s="57"/>
      <c r="G50" s="57"/>
      <c r="H50" s="57"/>
      <c r="I50" s="57"/>
      <c r="J50" s="58"/>
    </row>
    <row r="51" spans="1:10" ht="20" customHeight="1">
      <c r="A51" s="2" t="s">
        <v>47</v>
      </c>
      <c r="B51" s="38" t="s">
        <v>48</v>
      </c>
      <c r="C51" s="42"/>
      <c r="D51" s="39"/>
      <c r="E51" s="38" t="s">
        <v>49</v>
      </c>
      <c r="F51" s="39"/>
      <c r="G51" s="2" t="s">
        <v>50</v>
      </c>
      <c r="H51" s="2" t="s">
        <v>6</v>
      </c>
      <c r="I51" s="38" t="s">
        <v>0</v>
      </c>
      <c r="J51" s="39"/>
    </row>
    <row r="52" spans="1:10" ht="48" customHeight="1">
      <c r="A52" s="12">
        <v>1</v>
      </c>
      <c r="B52" s="51" t="s">
        <v>70</v>
      </c>
      <c r="C52" s="42"/>
      <c r="D52" s="39"/>
      <c r="E52" s="47" t="s">
        <v>51</v>
      </c>
      <c r="F52" s="39"/>
      <c r="G52" s="13" t="s">
        <v>1594</v>
      </c>
      <c r="H52" s="13">
        <v>5301</v>
      </c>
      <c r="I52" s="40"/>
      <c r="J52" s="39"/>
    </row>
    <row r="53" spans="1:10" ht="71.5" customHeight="1">
      <c r="A53" s="12">
        <v>2</v>
      </c>
      <c r="B53" s="46" t="s">
        <v>71</v>
      </c>
      <c r="C53" s="42"/>
      <c r="D53" s="39"/>
      <c r="E53" s="47" t="s">
        <v>58</v>
      </c>
      <c r="F53" s="39"/>
      <c r="G53" s="14" t="s">
        <v>1594</v>
      </c>
      <c r="H53" s="14">
        <v>5310</v>
      </c>
      <c r="I53" s="43"/>
      <c r="J53" s="39"/>
    </row>
    <row r="54" spans="1:10" ht="48" customHeight="1">
      <c r="A54" s="12">
        <v>7</v>
      </c>
      <c r="B54" s="51" t="s">
        <v>72</v>
      </c>
      <c r="C54" s="42"/>
      <c r="D54" s="39"/>
      <c r="E54" s="47" t="s">
        <v>59</v>
      </c>
      <c r="F54" s="39"/>
      <c r="G54" s="13" t="s">
        <v>1605</v>
      </c>
      <c r="H54" s="13"/>
      <c r="I54" s="40"/>
      <c r="J54" s="39"/>
    </row>
    <row r="55" spans="1:10" ht="78" customHeight="1">
      <c r="A55" s="12">
        <v>8</v>
      </c>
      <c r="B55" s="46" t="s">
        <v>73</v>
      </c>
      <c r="C55" s="42"/>
      <c r="D55" s="39"/>
      <c r="E55" s="47" t="s">
        <v>74</v>
      </c>
      <c r="F55" s="39"/>
      <c r="G55" s="14" t="s">
        <v>1594</v>
      </c>
      <c r="H55" s="14">
        <v>5310</v>
      </c>
      <c r="I55" s="43"/>
      <c r="J55" s="39"/>
    </row>
    <row r="56" spans="1:10" ht="48" customHeight="1">
      <c r="A56" s="12">
        <v>9</v>
      </c>
      <c r="B56" s="51" t="s">
        <v>60</v>
      </c>
      <c r="C56" s="42"/>
      <c r="D56" s="39"/>
      <c r="E56" s="47" t="s">
        <v>52</v>
      </c>
      <c r="F56" s="39"/>
      <c r="G56" s="13" t="s">
        <v>1605</v>
      </c>
      <c r="H56" s="13"/>
      <c r="I56" s="40" t="s">
        <v>1606</v>
      </c>
      <c r="J56" s="39"/>
    </row>
    <row r="57" spans="1:10" ht="48" customHeight="1">
      <c r="A57" s="12">
        <v>10</v>
      </c>
      <c r="B57" s="46" t="s">
        <v>61</v>
      </c>
      <c r="C57" s="42"/>
      <c r="D57" s="39"/>
      <c r="E57" s="47" t="s">
        <v>53</v>
      </c>
      <c r="F57" s="39"/>
      <c r="G57" s="14" t="s">
        <v>1594</v>
      </c>
      <c r="H57" s="14">
        <v>5330</v>
      </c>
      <c r="I57" s="43" t="s">
        <v>1607</v>
      </c>
      <c r="J57" s="39"/>
    </row>
    <row r="58" spans="1:10" ht="18" customHeight="1"/>
    <row r="59" spans="1:10" ht="22" customHeight="1">
      <c r="A59" s="62" t="s">
        <v>54</v>
      </c>
      <c r="B59" s="57"/>
      <c r="C59" s="57"/>
      <c r="D59" s="57"/>
      <c r="E59" s="57"/>
      <c r="F59" s="57"/>
      <c r="G59" s="57"/>
      <c r="H59" s="57"/>
      <c r="I59" s="57"/>
      <c r="J59" s="58"/>
    </row>
    <row r="60" spans="1:10" ht="24" customHeight="1">
      <c r="A60" s="287" t="s">
        <v>1593</v>
      </c>
      <c r="B60" s="288"/>
      <c r="C60" s="288"/>
      <c r="D60" s="288"/>
      <c r="E60" s="288"/>
      <c r="F60" s="288"/>
      <c r="G60" s="288"/>
      <c r="H60" s="288"/>
      <c r="I60" s="288"/>
      <c r="J60" s="289"/>
    </row>
    <row r="61" spans="1:10" ht="24" customHeight="1">
      <c r="A61" s="55"/>
      <c r="B61" s="42"/>
      <c r="C61" s="42"/>
      <c r="D61" s="42"/>
      <c r="E61" s="42"/>
      <c r="F61" s="42"/>
      <c r="G61" s="42"/>
      <c r="H61" s="42"/>
      <c r="I61" s="42"/>
      <c r="J61" s="39"/>
    </row>
    <row r="62" spans="1:10" ht="24" customHeight="1">
      <c r="A62" s="55"/>
      <c r="B62" s="42"/>
      <c r="C62" s="42"/>
      <c r="D62" s="42"/>
      <c r="E62" s="42"/>
      <c r="F62" s="42"/>
      <c r="G62" s="42"/>
      <c r="H62" s="42"/>
      <c r="I62" s="42"/>
      <c r="J62" s="39"/>
    </row>
    <row r="63" spans="1:10" ht="18" customHeight="1"/>
    <row r="64" spans="1:10" ht="18" customHeight="1">
      <c r="A64" s="53" t="s">
        <v>55</v>
      </c>
      <c r="B64" s="37"/>
      <c r="C64" s="37"/>
      <c r="D64" s="37"/>
      <c r="E64" s="37"/>
      <c r="F64" s="37"/>
      <c r="G64" s="37"/>
      <c r="H64" s="37"/>
      <c r="I64" s="37"/>
      <c r="J64" s="37"/>
    </row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</sheetData>
  <mergeCells count="57">
    <mergeCell ref="B57:D57"/>
    <mergeCell ref="C6:D6"/>
    <mergeCell ref="E28:J28"/>
    <mergeCell ref="B54:D54"/>
    <mergeCell ref="A59:J59"/>
    <mergeCell ref="C5:D5"/>
    <mergeCell ref="E5:F5"/>
    <mergeCell ref="A4:J4"/>
    <mergeCell ref="E53:F53"/>
    <mergeCell ref="E30:J30"/>
    <mergeCell ref="A6:B6"/>
    <mergeCell ref="I56:J56"/>
    <mergeCell ref="B53:D53"/>
    <mergeCell ref="I51:J51"/>
    <mergeCell ref="E55:F55"/>
    <mergeCell ref="G5:J5"/>
    <mergeCell ref="E51:F51"/>
    <mergeCell ref="A60:J60"/>
    <mergeCell ref="B10:D10"/>
    <mergeCell ref="A2:F2"/>
    <mergeCell ref="I54:J54"/>
    <mergeCell ref="E52:F52"/>
    <mergeCell ref="A7:B7"/>
    <mergeCell ref="A9:J9"/>
    <mergeCell ref="C7:D7"/>
    <mergeCell ref="E7:F7"/>
    <mergeCell ref="I10:J10"/>
    <mergeCell ref="A3:J3"/>
    <mergeCell ref="A21:J21"/>
    <mergeCell ref="E23:J23"/>
    <mergeCell ref="B55:D55"/>
    <mergeCell ref="A64:J64"/>
    <mergeCell ref="E27:J27"/>
    <mergeCell ref="G2:J2"/>
    <mergeCell ref="E26:J26"/>
    <mergeCell ref="E57:F57"/>
    <mergeCell ref="A61:J61"/>
    <mergeCell ref="I55:J55"/>
    <mergeCell ref="B52:D52"/>
    <mergeCell ref="A50:J50"/>
    <mergeCell ref="E25:J25"/>
    <mergeCell ref="E56:F56"/>
    <mergeCell ref="A62:J62"/>
    <mergeCell ref="A1:J1"/>
    <mergeCell ref="E6:F6"/>
    <mergeCell ref="E22:J22"/>
    <mergeCell ref="I57:J57"/>
    <mergeCell ref="B51:D51"/>
    <mergeCell ref="A5:B5"/>
    <mergeCell ref="G7:J7"/>
    <mergeCell ref="I53:J53"/>
    <mergeCell ref="E10:H10"/>
    <mergeCell ref="E54:F54"/>
    <mergeCell ref="G6:J6"/>
    <mergeCell ref="B56:D56"/>
    <mergeCell ref="I52:J52"/>
    <mergeCell ref="E24:J24"/>
  </mergeCells>
  <phoneticPr fontId="9" type="noConversion"/>
  <dataValidations count="1">
    <dataValidation type="list" allowBlank="1" sqref="G52:G57" xr:uid="{00000000-0002-0000-1500-000000000000}">
      <formula1>"완료,해당없음,미수행,진행중"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4FC2-4A62-4739-9D36-7F2FFF0FEBDD}">
  <sheetPr>
    <tabColor theme="0" tint="-0.14999847407452621"/>
  </sheetPr>
  <dimension ref="A1:J492"/>
  <sheetViews>
    <sheetView showGridLines="0" zoomScaleNormal="100" workbookViewId="0">
      <pane xSplit="2" ySplit="13" topLeftCell="C198" activePane="bottomRight" state="frozen"/>
      <selection activeCell="G473" sqref="G473"/>
      <selection pane="topRight" activeCell="G473" sqref="G473"/>
      <selection pane="bottomLeft" activeCell="G473" sqref="G473"/>
      <selection pane="bottomRight" activeCell="I217" sqref="I217"/>
    </sheetView>
  </sheetViews>
  <sheetFormatPr defaultColWidth="6.25" defaultRowHeight="14"/>
  <cols>
    <col min="1" max="1" width="5.33203125" style="69" customWidth="1"/>
    <col min="2" max="2" width="8.25" style="69" bestFit="1" customWidth="1"/>
    <col min="3" max="3" width="10.6640625" style="117" bestFit="1" customWidth="1"/>
    <col min="4" max="4" width="8.58203125" style="118" bestFit="1" customWidth="1"/>
    <col min="5" max="5" width="36" style="69" bestFit="1" customWidth="1"/>
    <col min="6" max="6" width="40.33203125" style="69" customWidth="1"/>
    <col min="7" max="7" width="15" style="119" customWidth="1"/>
    <col min="8" max="8" width="20.6640625" style="118" bestFit="1" customWidth="1"/>
    <col min="9" max="9" width="14.33203125" style="69" bestFit="1" customWidth="1"/>
    <col min="10" max="10" width="11.58203125" style="69" bestFit="1" customWidth="1"/>
    <col min="11" max="16384" width="6.25" style="69"/>
  </cols>
  <sheetData>
    <row r="1" spans="1:10" customFormat="1" ht="8" customHeight="1">
      <c r="A1" s="36"/>
      <c r="B1" s="37"/>
      <c r="C1" s="37"/>
      <c r="D1" s="37"/>
      <c r="E1" s="37"/>
      <c r="F1" s="37"/>
      <c r="G1" s="37"/>
      <c r="H1" s="37"/>
      <c r="I1" s="37"/>
      <c r="J1" s="37"/>
    </row>
    <row r="2" spans="1:10" customFormat="1" ht="18" customHeight="1">
      <c r="A2" s="60" t="s">
        <v>1</v>
      </c>
      <c r="B2" s="37"/>
      <c r="C2" s="37"/>
      <c r="D2" s="37"/>
      <c r="E2" s="37"/>
      <c r="F2" s="37"/>
      <c r="G2" s="54" t="s">
        <v>1596</v>
      </c>
      <c r="H2" s="37"/>
      <c r="I2" s="37"/>
      <c r="J2" s="37"/>
    </row>
    <row r="3" spans="1:10" customFormat="1" ht="30" customHeight="1">
      <c r="A3" s="61" t="s">
        <v>63</v>
      </c>
      <c r="B3" s="37"/>
      <c r="C3" s="37"/>
      <c r="D3" s="37"/>
      <c r="E3" s="37"/>
      <c r="F3" s="37"/>
      <c r="G3" s="37"/>
      <c r="H3" s="37"/>
      <c r="I3" s="37"/>
      <c r="J3" s="37"/>
    </row>
    <row r="4" spans="1:10" customFormat="1" ht="18" customHeight="1">
      <c r="A4" s="65" t="s">
        <v>1595</v>
      </c>
      <c r="B4" s="37"/>
      <c r="C4" s="37"/>
      <c r="D4" s="37"/>
      <c r="E4" s="37"/>
      <c r="F4" s="37"/>
      <c r="G4" s="37"/>
      <c r="H4" s="37"/>
      <c r="I4" s="37"/>
      <c r="J4" s="37"/>
    </row>
    <row r="8" spans="1:10" ht="25.5">
      <c r="A8" s="66"/>
      <c r="B8" s="66"/>
      <c r="C8" s="67" t="s">
        <v>105</v>
      </c>
      <c r="D8" s="67"/>
      <c r="E8" s="67"/>
      <c r="F8" s="67"/>
      <c r="G8" s="67"/>
      <c r="H8" s="66"/>
      <c r="I8" s="68"/>
    </row>
    <row r="9" spans="1:10" ht="16.5" customHeight="1">
      <c r="A9" s="70"/>
      <c r="B9" s="70"/>
      <c r="C9" s="71">
        <v>46203</v>
      </c>
      <c r="D9" s="71"/>
      <c r="E9" s="71"/>
      <c r="F9" s="71"/>
      <c r="G9" s="71"/>
      <c r="H9" s="70"/>
      <c r="I9" s="72"/>
    </row>
    <row r="10" spans="1:10" s="74" customFormat="1" ht="12">
      <c r="A10" s="73"/>
      <c r="B10" s="73"/>
      <c r="C10" s="73"/>
      <c r="D10" s="73"/>
      <c r="E10" s="73"/>
      <c r="F10" s="73"/>
      <c r="G10" s="73"/>
      <c r="H10" s="73"/>
    </row>
    <row r="11" spans="1:10" s="74" customFormat="1" ht="12">
      <c r="A11" s="75" t="s">
        <v>106</v>
      </c>
      <c r="B11" s="75"/>
      <c r="C11" s="76"/>
      <c r="D11" s="77"/>
      <c r="E11" s="75"/>
      <c r="F11" s="75"/>
      <c r="G11" s="78"/>
      <c r="H11" s="79" t="s">
        <v>107</v>
      </c>
    </row>
    <row r="12" spans="1:10" s="74" customFormat="1" ht="12">
      <c r="A12" s="80"/>
      <c r="B12" s="80"/>
      <c r="C12" s="81"/>
      <c r="D12" s="82"/>
      <c r="E12" s="82"/>
      <c r="F12" s="82"/>
      <c r="G12" s="83"/>
      <c r="H12" s="77"/>
    </row>
    <row r="13" spans="1:10" s="74" customFormat="1" ht="12">
      <c r="A13" s="84" t="s">
        <v>108</v>
      </c>
      <c r="B13" s="85" t="s">
        <v>109</v>
      </c>
      <c r="C13" s="86" t="s">
        <v>110</v>
      </c>
      <c r="D13" s="87" t="s">
        <v>111</v>
      </c>
      <c r="E13" s="87" t="s">
        <v>112</v>
      </c>
      <c r="F13" s="87" t="s">
        <v>113</v>
      </c>
      <c r="G13" s="88" t="s">
        <v>114</v>
      </c>
      <c r="H13" s="89" t="s">
        <v>115</v>
      </c>
    </row>
    <row r="14" spans="1:10" s="97" customFormat="1">
      <c r="A14" s="90" t="s">
        <v>116</v>
      </c>
      <c r="B14" s="90"/>
      <c r="C14" s="91">
        <v>43830</v>
      </c>
      <c r="D14" s="92" t="s">
        <v>117</v>
      </c>
      <c r="E14" s="93" t="s">
        <v>118</v>
      </c>
      <c r="F14" s="94" t="s">
        <v>119</v>
      </c>
      <c r="G14" s="95">
        <v>478365</v>
      </c>
      <c r="H14" s="96"/>
      <c r="I14" s="69"/>
    </row>
    <row r="15" spans="1:10" s="97" customFormat="1">
      <c r="A15" s="90"/>
      <c r="B15" s="90"/>
      <c r="C15" s="98">
        <v>44104</v>
      </c>
      <c r="D15" s="99" t="s">
        <v>117</v>
      </c>
      <c r="E15" s="100" t="s">
        <v>120</v>
      </c>
      <c r="F15" s="101" t="s">
        <v>121</v>
      </c>
      <c r="G15" s="102">
        <v>756815</v>
      </c>
      <c r="H15" s="96"/>
      <c r="I15" s="69"/>
    </row>
    <row r="16" spans="1:10" s="97" customFormat="1">
      <c r="A16" s="90"/>
      <c r="B16" s="90"/>
      <c r="C16" s="98">
        <v>44165</v>
      </c>
      <c r="D16" s="99" t="s">
        <v>122</v>
      </c>
      <c r="E16" s="100" t="s">
        <v>123</v>
      </c>
      <c r="F16" s="101" t="s">
        <v>124</v>
      </c>
      <c r="G16" s="102">
        <v>386323</v>
      </c>
      <c r="H16" s="96"/>
      <c r="I16" s="69"/>
    </row>
    <row r="17" spans="1:9" s="97" customFormat="1">
      <c r="A17" s="90"/>
      <c r="B17" s="90"/>
      <c r="C17" s="98">
        <v>46112</v>
      </c>
      <c r="D17" s="99" t="s">
        <v>125</v>
      </c>
      <c r="E17" s="100" t="s">
        <v>126</v>
      </c>
      <c r="F17" s="101" t="s">
        <v>127</v>
      </c>
      <c r="G17" s="102">
        <v>77000</v>
      </c>
      <c r="H17" s="103" t="s">
        <v>128</v>
      </c>
      <c r="I17" s="69"/>
    </row>
    <row r="18" spans="1:9" s="97" customFormat="1" ht="12">
      <c r="A18" s="90"/>
      <c r="B18" s="90"/>
      <c r="C18" s="98">
        <v>46142</v>
      </c>
      <c r="D18" s="99" t="s">
        <v>129</v>
      </c>
      <c r="E18" s="100" t="s">
        <v>130</v>
      </c>
      <c r="F18" s="101" t="s">
        <v>131</v>
      </c>
      <c r="G18" s="102">
        <v>1628</v>
      </c>
      <c r="H18" s="104"/>
    </row>
    <row r="19" spans="1:9" s="97" customFormat="1" ht="12">
      <c r="A19" s="90"/>
      <c r="B19" s="90"/>
      <c r="C19" s="98">
        <v>46143</v>
      </c>
      <c r="D19" s="99" t="s">
        <v>132</v>
      </c>
      <c r="E19" s="100" t="s">
        <v>133</v>
      </c>
      <c r="F19" s="101" t="s">
        <v>134</v>
      </c>
      <c r="G19" s="102">
        <v>654720</v>
      </c>
      <c r="H19" s="96"/>
    </row>
    <row r="20" spans="1:9" s="97" customFormat="1" ht="12">
      <c r="A20" s="90"/>
      <c r="B20" s="90"/>
      <c r="C20" s="98">
        <v>46143</v>
      </c>
      <c r="D20" s="99" t="s">
        <v>135</v>
      </c>
      <c r="E20" s="100" t="s">
        <v>136</v>
      </c>
      <c r="F20" s="101" t="s">
        <v>137</v>
      </c>
      <c r="G20" s="102">
        <v>330000</v>
      </c>
      <c r="H20" s="96"/>
    </row>
    <row r="21" spans="1:9" s="97" customFormat="1" ht="12">
      <c r="A21" s="90"/>
      <c r="B21" s="90"/>
      <c r="C21" s="98">
        <v>46143</v>
      </c>
      <c r="D21" s="99" t="s">
        <v>132</v>
      </c>
      <c r="E21" s="100" t="s">
        <v>133</v>
      </c>
      <c r="F21" s="101" t="s">
        <v>138</v>
      </c>
      <c r="G21" s="102">
        <v>11550</v>
      </c>
      <c r="H21" s="96"/>
    </row>
    <row r="22" spans="1:9" s="97" customFormat="1" ht="12">
      <c r="A22" s="90"/>
      <c r="B22" s="90"/>
      <c r="C22" s="98">
        <v>46146</v>
      </c>
      <c r="D22" s="99" t="s">
        <v>139</v>
      </c>
      <c r="E22" s="100" t="s">
        <v>140</v>
      </c>
      <c r="F22" s="101" t="s">
        <v>141</v>
      </c>
      <c r="G22" s="102">
        <v>154000</v>
      </c>
      <c r="H22" s="96"/>
    </row>
    <row r="23" spans="1:9" s="97" customFormat="1" ht="12">
      <c r="A23" s="90"/>
      <c r="B23" s="90"/>
      <c r="C23" s="98">
        <v>46146</v>
      </c>
      <c r="D23" s="99" t="s">
        <v>142</v>
      </c>
      <c r="E23" s="100" t="s">
        <v>143</v>
      </c>
      <c r="F23" s="101" t="s">
        <v>144</v>
      </c>
      <c r="G23" s="102">
        <v>296800</v>
      </c>
      <c r="H23" s="96"/>
    </row>
    <row r="24" spans="1:9" s="97" customFormat="1" ht="12">
      <c r="A24" s="90"/>
      <c r="B24" s="90"/>
      <c r="C24" s="98">
        <v>46146</v>
      </c>
      <c r="D24" s="99" t="s">
        <v>145</v>
      </c>
      <c r="E24" s="100" t="s">
        <v>146</v>
      </c>
      <c r="F24" s="101" t="s">
        <v>147</v>
      </c>
      <c r="G24" s="102">
        <v>2511300</v>
      </c>
      <c r="H24" s="96"/>
    </row>
    <row r="25" spans="1:9" s="97" customFormat="1" ht="12">
      <c r="A25" s="90"/>
      <c r="B25" s="90"/>
      <c r="C25" s="98">
        <v>46148</v>
      </c>
      <c r="D25" s="99" t="s">
        <v>148</v>
      </c>
      <c r="E25" s="100" t="s">
        <v>149</v>
      </c>
      <c r="F25" s="101" t="s">
        <v>150</v>
      </c>
      <c r="G25" s="102">
        <v>145200</v>
      </c>
      <c r="H25" s="96"/>
    </row>
    <row r="26" spans="1:9" s="97" customFormat="1" ht="12">
      <c r="A26" s="90"/>
      <c r="B26" s="90"/>
      <c r="C26" s="98">
        <v>46150</v>
      </c>
      <c r="D26" s="99" t="s">
        <v>151</v>
      </c>
      <c r="E26" s="100" t="s">
        <v>152</v>
      </c>
      <c r="F26" s="101" t="s">
        <v>153</v>
      </c>
      <c r="G26" s="102">
        <v>11357500</v>
      </c>
      <c r="H26" s="96"/>
    </row>
    <row r="27" spans="1:9" s="97" customFormat="1" ht="12">
      <c r="A27" s="90"/>
      <c r="B27" s="90"/>
      <c r="C27" s="98">
        <v>46153</v>
      </c>
      <c r="D27" s="99" t="s">
        <v>154</v>
      </c>
      <c r="E27" s="100" t="s">
        <v>155</v>
      </c>
      <c r="F27" s="101" t="s">
        <v>156</v>
      </c>
      <c r="G27" s="102">
        <v>220000</v>
      </c>
      <c r="H27" s="96"/>
    </row>
    <row r="28" spans="1:9" s="97" customFormat="1" ht="12">
      <c r="A28" s="90"/>
      <c r="B28" s="90"/>
      <c r="C28" s="98">
        <v>46153</v>
      </c>
      <c r="D28" s="99" t="s">
        <v>157</v>
      </c>
      <c r="E28" s="100" t="s">
        <v>158</v>
      </c>
      <c r="F28" s="101" t="s">
        <v>159</v>
      </c>
      <c r="G28" s="102">
        <v>594000</v>
      </c>
      <c r="H28" s="96"/>
    </row>
    <row r="29" spans="1:9" s="97" customFormat="1" ht="12">
      <c r="A29" s="90"/>
      <c r="B29" s="90"/>
      <c r="C29" s="98">
        <v>46153</v>
      </c>
      <c r="D29" s="99" t="s">
        <v>160</v>
      </c>
      <c r="E29" s="100" t="s">
        <v>161</v>
      </c>
      <c r="F29" s="101" t="s">
        <v>162</v>
      </c>
      <c r="G29" s="102">
        <v>650000</v>
      </c>
      <c r="H29" s="96"/>
    </row>
    <row r="30" spans="1:9" s="97" customFormat="1" ht="12">
      <c r="A30" s="90"/>
      <c r="B30" s="90"/>
      <c r="C30" s="98">
        <v>46154</v>
      </c>
      <c r="D30" s="99" t="s">
        <v>163</v>
      </c>
      <c r="E30" s="100" t="s">
        <v>164</v>
      </c>
      <c r="F30" s="101" t="s">
        <v>165</v>
      </c>
      <c r="G30" s="102">
        <v>30800</v>
      </c>
      <c r="H30" s="96"/>
    </row>
    <row r="31" spans="1:9" s="97" customFormat="1" ht="12">
      <c r="A31" s="90"/>
      <c r="B31" s="90"/>
      <c r="C31" s="98">
        <v>46154</v>
      </c>
      <c r="D31" s="99" t="s">
        <v>142</v>
      </c>
      <c r="E31" s="100" t="s">
        <v>143</v>
      </c>
      <c r="F31" s="101" t="s">
        <v>166</v>
      </c>
      <c r="G31" s="102">
        <v>212000</v>
      </c>
      <c r="H31" s="96"/>
    </row>
    <row r="32" spans="1:9" s="97" customFormat="1" ht="12">
      <c r="A32" s="90"/>
      <c r="B32" s="90"/>
      <c r="C32" s="98">
        <v>46154</v>
      </c>
      <c r="D32" s="99" t="s">
        <v>167</v>
      </c>
      <c r="E32" s="100" t="s">
        <v>168</v>
      </c>
      <c r="F32" s="101" t="s">
        <v>169</v>
      </c>
      <c r="G32" s="102">
        <v>396000</v>
      </c>
      <c r="H32" s="96"/>
    </row>
    <row r="33" spans="1:8" s="97" customFormat="1" ht="12">
      <c r="A33" s="90"/>
      <c r="B33" s="90"/>
      <c r="C33" s="98">
        <v>46154</v>
      </c>
      <c r="D33" s="99" t="s">
        <v>170</v>
      </c>
      <c r="E33" s="100" t="s">
        <v>171</v>
      </c>
      <c r="F33" s="101" t="s">
        <v>172</v>
      </c>
      <c r="G33" s="102">
        <v>253000</v>
      </c>
      <c r="H33" s="96"/>
    </row>
    <row r="34" spans="1:8" s="97" customFormat="1" ht="12">
      <c r="A34" s="90"/>
      <c r="B34" s="90"/>
      <c r="C34" s="98">
        <v>46154</v>
      </c>
      <c r="D34" s="99" t="s">
        <v>173</v>
      </c>
      <c r="E34" s="100" t="s">
        <v>174</v>
      </c>
      <c r="F34" s="101" t="s">
        <v>175</v>
      </c>
      <c r="G34" s="102">
        <v>140800</v>
      </c>
      <c r="H34" s="96"/>
    </row>
    <row r="35" spans="1:8" s="97" customFormat="1" ht="12">
      <c r="A35" s="90"/>
      <c r="B35" s="90"/>
      <c r="C35" s="98">
        <v>46155</v>
      </c>
      <c r="D35" s="99" t="s">
        <v>176</v>
      </c>
      <c r="E35" s="100" t="s">
        <v>177</v>
      </c>
      <c r="F35" s="101" t="s">
        <v>178</v>
      </c>
      <c r="G35" s="102">
        <v>733150</v>
      </c>
      <c r="H35" s="96"/>
    </row>
    <row r="36" spans="1:8" s="97" customFormat="1" ht="12">
      <c r="A36" s="90"/>
      <c r="B36" s="90"/>
      <c r="C36" s="98">
        <v>46156</v>
      </c>
      <c r="D36" s="99" t="s">
        <v>179</v>
      </c>
      <c r="E36" s="100" t="s">
        <v>180</v>
      </c>
      <c r="F36" s="101" t="s">
        <v>181</v>
      </c>
      <c r="G36" s="102">
        <v>440000</v>
      </c>
      <c r="H36" s="96"/>
    </row>
    <row r="37" spans="1:8" s="97" customFormat="1" ht="12">
      <c r="A37" s="90"/>
      <c r="B37" s="90"/>
      <c r="C37" s="98">
        <v>46156</v>
      </c>
      <c r="D37" s="99" t="s">
        <v>182</v>
      </c>
      <c r="E37" s="100" t="s">
        <v>183</v>
      </c>
      <c r="F37" s="101" t="s">
        <v>184</v>
      </c>
      <c r="G37" s="102">
        <v>897600</v>
      </c>
      <c r="H37" s="96"/>
    </row>
    <row r="38" spans="1:8" s="97" customFormat="1" ht="12">
      <c r="A38" s="90"/>
      <c r="B38" s="90"/>
      <c r="C38" s="98">
        <v>46156</v>
      </c>
      <c r="D38" s="99" t="s">
        <v>185</v>
      </c>
      <c r="E38" s="100" t="s">
        <v>186</v>
      </c>
      <c r="F38" s="101" t="s">
        <v>187</v>
      </c>
      <c r="G38" s="102">
        <v>1570800</v>
      </c>
      <c r="H38" s="96"/>
    </row>
    <row r="39" spans="1:8" s="97" customFormat="1" ht="12">
      <c r="A39" s="90"/>
      <c r="B39" s="90"/>
      <c r="C39" s="98">
        <v>46160</v>
      </c>
      <c r="D39" s="99" t="s">
        <v>185</v>
      </c>
      <c r="E39" s="100" t="s">
        <v>186</v>
      </c>
      <c r="F39" s="101" t="s">
        <v>188</v>
      </c>
      <c r="G39" s="102">
        <v>33000</v>
      </c>
      <c r="H39" s="96"/>
    </row>
    <row r="40" spans="1:8" s="97" customFormat="1" ht="12">
      <c r="A40" s="90"/>
      <c r="B40" s="90"/>
      <c r="C40" s="98">
        <v>46160</v>
      </c>
      <c r="D40" s="99" t="s">
        <v>189</v>
      </c>
      <c r="E40" s="100" t="s">
        <v>190</v>
      </c>
      <c r="F40" s="101" t="s">
        <v>191</v>
      </c>
      <c r="G40" s="102">
        <v>415800</v>
      </c>
      <c r="H40" s="96"/>
    </row>
    <row r="41" spans="1:8" s="97" customFormat="1" ht="12">
      <c r="A41" s="90"/>
      <c r="B41" s="90"/>
      <c r="C41" s="98">
        <v>46161</v>
      </c>
      <c r="D41" s="99" t="s">
        <v>163</v>
      </c>
      <c r="E41" s="100" t="s">
        <v>164</v>
      </c>
      <c r="F41" s="101" t="s">
        <v>192</v>
      </c>
      <c r="G41" s="102">
        <v>668800</v>
      </c>
      <c r="H41" s="96"/>
    </row>
    <row r="42" spans="1:8" s="97" customFormat="1" ht="12">
      <c r="A42" s="90"/>
      <c r="B42" s="90"/>
      <c r="C42" s="98">
        <v>46161</v>
      </c>
      <c r="D42" s="99" t="s">
        <v>193</v>
      </c>
      <c r="E42" s="100" t="s">
        <v>194</v>
      </c>
      <c r="F42" s="101" t="s">
        <v>195</v>
      </c>
      <c r="G42" s="102">
        <v>906840</v>
      </c>
      <c r="H42" s="96"/>
    </row>
    <row r="43" spans="1:8" s="97" customFormat="1" ht="12">
      <c r="A43" s="90"/>
      <c r="B43" s="90"/>
      <c r="C43" s="98">
        <v>46161</v>
      </c>
      <c r="D43" s="99" t="s">
        <v>196</v>
      </c>
      <c r="E43" s="100" t="s">
        <v>197</v>
      </c>
      <c r="F43" s="101" t="s">
        <v>198</v>
      </c>
      <c r="G43" s="102">
        <v>1947000</v>
      </c>
      <c r="H43" s="96"/>
    </row>
    <row r="44" spans="1:8" s="97" customFormat="1" ht="12">
      <c r="A44" s="90"/>
      <c r="B44" s="90"/>
      <c r="C44" s="98">
        <v>46161</v>
      </c>
      <c r="D44" s="99" t="s">
        <v>142</v>
      </c>
      <c r="E44" s="100" t="s">
        <v>143</v>
      </c>
      <c r="F44" s="101" t="s">
        <v>199</v>
      </c>
      <c r="G44" s="102">
        <v>84800</v>
      </c>
      <c r="H44" s="96"/>
    </row>
    <row r="45" spans="1:8" s="97" customFormat="1" ht="12">
      <c r="A45" s="90"/>
      <c r="B45" s="90"/>
      <c r="C45" s="98">
        <v>46162</v>
      </c>
      <c r="D45" s="99" t="s">
        <v>200</v>
      </c>
      <c r="E45" s="100" t="s">
        <v>201</v>
      </c>
      <c r="F45" s="101" t="s">
        <v>202</v>
      </c>
      <c r="G45" s="102">
        <v>3008500</v>
      </c>
      <c r="H45" s="96"/>
    </row>
    <row r="46" spans="1:8" s="97" customFormat="1" ht="12">
      <c r="A46" s="90"/>
      <c r="B46" s="90"/>
      <c r="C46" s="98">
        <v>46162</v>
      </c>
      <c r="D46" s="99" t="s">
        <v>203</v>
      </c>
      <c r="E46" s="100" t="s">
        <v>204</v>
      </c>
      <c r="F46" s="101" t="s">
        <v>205</v>
      </c>
      <c r="G46" s="102">
        <v>264000</v>
      </c>
      <c r="H46" s="96"/>
    </row>
    <row r="47" spans="1:8" s="97" customFormat="1" ht="12">
      <c r="A47" s="90"/>
      <c r="B47" s="90"/>
      <c r="C47" s="98">
        <v>46162</v>
      </c>
      <c r="D47" s="99" t="s">
        <v>206</v>
      </c>
      <c r="E47" s="100" t="s">
        <v>207</v>
      </c>
      <c r="F47" s="101" t="s">
        <v>208</v>
      </c>
      <c r="G47" s="102">
        <v>3685000</v>
      </c>
      <c r="H47" s="96"/>
    </row>
    <row r="48" spans="1:8" s="97" customFormat="1" ht="12">
      <c r="A48" s="90"/>
      <c r="B48" s="90"/>
      <c r="C48" s="98">
        <v>46164</v>
      </c>
      <c r="D48" s="99" t="s">
        <v>209</v>
      </c>
      <c r="E48" s="100" t="s">
        <v>210</v>
      </c>
      <c r="F48" s="101" t="s">
        <v>211</v>
      </c>
      <c r="G48" s="102">
        <v>528000</v>
      </c>
      <c r="H48" s="96"/>
    </row>
    <row r="49" spans="1:8" s="97" customFormat="1" ht="12">
      <c r="A49" s="90"/>
      <c r="B49" s="90"/>
      <c r="C49" s="98">
        <v>46167</v>
      </c>
      <c r="D49" s="99" t="s">
        <v>212</v>
      </c>
      <c r="E49" s="100" t="s">
        <v>213</v>
      </c>
      <c r="F49" s="101" t="s">
        <v>214</v>
      </c>
      <c r="G49" s="102">
        <v>715000</v>
      </c>
      <c r="H49" s="96"/>
    </row>
    <row r="50" spans="1:8" s="97" customFormat="1" ht="12">
      <c r="A50" s="90"/>
      <c r="B50" s="90"/>
      <c r="C50" s="98">
        <v>46168</v>
      </c>
      <c r="D50" s="99" t="s">
        <v>215</v>
      </c>
      <c r="E50" s="100" t="s">
        <v>216</v>
      </c>
      <c r="F50" s="101" t="s">
        <v>217</v>
      </c>
      <c r="G50" s="102">
        <v>830500</v>
      </c>
      <c r="H50" s="96"/>
    </row>
    <row r="51" spans="1:8" s="97" customFormat="1" ht="12">
      <c r="A51" s="90"/>
      <c r="B51" s="90"/>
      <c r="C51" s="98">
        <v>46168</v>
      </c>
      <c r="D51" s="99" t="s">
        <v>218</v>
      </c>
      <c r="E51" s="100" t="s">
        <v>219</v>
      </c>
      <c r="F51" s="101" t="s">
        <v>220</v>
      </c>
      <c r="G51" s="102">
        <v>5197500</v>
      </c>
      <c r="H51" s="96"/>
    </row>
    <row r="52" spans="1:8" s="97" customFormat="1" ht="12">
      <c r="A52" s="90"/>
      <c r="B52" s="90"/>
      <c r="C52" s="98">
        <v>46169</v>
      </c>
      <c r="D52" s="99" t="s">
        <v>221</v>
      </c>
      <c r="E52" s="100" t="s">
        <v>222</v>
      </c>
      <c r="F52" s="101" t="s">
        <v>223</v>
      </c>
      <c r="G52" s="102">
        <v>308000</v>
      </c>
      <c r="H52" s="96"/>
    </row>
    <row r="53" spans="1:8" s="97" customFormat="1" ht="12">
      <c r="A53" s="90"/>
      <c r="B53" s="90"/>
      <c r="C53" s="98">
        <v>46169</v>
      </c>
      <c r="D53" s="99" t="s">
        <v>224</v>
      </c>
      <c r="E53" s="100" t="s">
        <v>225</v>
      </c>
      <c r="F53" s="101" t="s">
        <v>226</v>
      </c>
      <c r="G53" s="102">
        <v>220000</v>
      </c>
      <c r="H53" s="96"/>
    </row>
    <row r="54" spans="1:8" s="97" customFormat="1" ht="12">
      <c r="A54" s="90"/>
      <c r="B54" s="90"/>
      <c r="C54" s="98">
        <v>46169</v>
      </c>
      <c r="D54" s="99" t="s">
        <v>189</v>
      </c>
      <c r="E54" s="100" t="s">
        <v>190</v>
      </c>
      <c r="F54" s="101" t="s">
        <v>227</v>
      </c>
      <c r="G54" s="102">
        <v>2046000</v>
      </c>
      <c r="H54" s="96"/>
    </row>
    <row r="55" spans="1:8" s="97" customFormat="1" ht="12">
      <c r="A55" s="90"/>
      <c r="B55" s="90"/>
      <c r="C55" s="98">
        <v>46170</v>
      </c>
      <c r="D55" s="99" t="s">
        <v>228</v>
      </c>
      <c r="E55" s="100" t="s">
        <v>229</v>
      </c>
      <c r="F55" s="101" t="s">
        <v>230</v>
      </c>
      <c r="G55" s="102">
        <v>8547000</v>
      </c>
      <c r="H55" s="96"/>
    </row>
    <row r="56" spans="1:8" s="97" customFormat="1" ht="12">
      <c r="A56" s="90"/>
      <c r="B56" s="90"/>
      <c r="C56" s="98">
        <v>46170</v>
      </c>
      <c r="D56" s="99" t="s">
        <v>231</v>
      </c>
      <c r="E56" s="100" t="s">
        <v>232</v>
      </c>
      <c r="F56" s="101" t="s">
        <v>233</v>
      </c>
      <c r="G56" s="102">
        <v>103697</v>
      </c>
      <c r="H56" s="96"/>
    </row>
    <row r="57" spans="1:8" s="97" customFormat="1" ht="12">
      <c r="A57" s="90"/>
      <c r="B57" s="90"/>
      <c r="C57" s="98">
        <v>46170</v>
      </c>
      <c r="D57" s="99" t="s">
        <v>163</v>
      </c>
      <c r="E57" s="100" t="s">
        <v>164</v>
      </c>
      <c r="F57" s="101" t="s">
        <v>234</v>
      </c>
      <c r="G57" s="102">
        <v>133100</v>
      </c>
      <c r="H57" s="96"/>
    </row>
    <row r="58" spans="1:8" s="97" customFormat="1" ht="12">
      <c r="A58" s="90"/>
      <c r="B58" s="90"/>
      <c r="C58" s="98">
        <v>46170</v>
      </c>
      <c r="D58" s="99" t="s">
        <v>235</v>
      </c>
      <c r="E58" s="100" t="s">
        <v>236</v>
      </c>
      <c r="F58" s="101" t="s">
        <v>237</v>
      </c>
      <c r="G58" s="102">
        <v>957000</v>
      </c>
      <c r="H58" s="96"/>
    </row>
    <row r="59" spans="1:8" s="97" customFormat="1" ht="12">
      <c r="A59" s="90"/>
      <c r="B59" s="90"/>
      <c r="C59" s="98">
        <v>46170</v>
      </c>
      <c r="D59" s="99" t="s">
        <v>238</v>
      </c>
      <c r="E59" s="100" t="s">
        <v>239</v>
      </c>
      <c r="F59" s="101" t="s">
        <v>240</v>
      </c>
      <c r="G59" s="102">
        <v>2200000</v>
      </c>
      <c r="H59" s="96"/>
    </row>
    <row r="60" spans="1:8" s="97" customFormat="1" ht="12">
      <c r="A60" s="90"/>
      <c r="B60" s="90"/>
      <c r="C60" s="98">
        <v>46170</v>
      </c>
      <c r="D60" s="99" t="s">
        <v>241</v>
      </c>
      <c r="E60" s="100" t="s">
        <v>242</v>
      </c>
      <c r="F60" s="101" t="s">
        <v>243</v>
      </c>
      <c r="G60" s="102">
        <v>2301862</v>
      </c>
      <c r="H60" s="96"/>
    </row>
    <row r="61" spans="1:8" s="97" customFormat="1" ht="12">
      <c r="A61" s="90"/>
      <c r="B61" s="90"/>
      <c r="C61" s="98">
        <v>46170</v>
      </c>
      <c r="D61" s="99" t="s">
        <v>244</v>
      </c>
      <c r="E61" s="100" t="s">
        <v>245</v>
      </c>
      <c r="F61" s="101" t="s">
        <v>246</v>
      </c>
      <c r="G61" s="102">
        <v>14569181</v>
      </c>
      <c r="H61" s="96"/>
    </row>
    <row r="62" spans="1:8" s="97" customFormat="1" ht="12">
      <c r="A62" s="90"/>
      <c r="B62" s="90"/>
      <c r="C62" s="98">
        <v>46171</v>
      </c>
      <c r="D62" s="99" t="s">
        <v>247</v>
      </c>
      <c r="E62" s="100" t="s">
        <v>248</v>
      </c>
      <c r="F62" s="101" t="s">
        <v>249</v>
      </c>
      <c r="G62" s="102">
        <v>200000</v>
      </c>
      <c r="H62" s="96"/>
    </row>
    <row r="63" spans="1:8" s="97" customFormat="1" ht="12">
      <c r="A63" s="90"/>
      <c r="B63" s="90"/>
      <c r="C63" s="98">
        <v>46171</v>
      </c>
      <c r="D63" s="99" t="s">
        <v>250</v>
      </c>
      <c r="E63" s="100" t="s">
        <v>251</v>
      </c>
      <c r="F63" s="101" t="s">
        <v>252</v>
      </c>
      <c r="G63" s="102">
        <v>38720</v>
      </c>
      <c r="H63" s="96"/>
    </row>
    <row r="64" spans="1:8" s="97" customFormat="1" ht="12">
      <c r="A64" s="90"/>
      <c r="B64" s="90"/>
      <c r="C64" s="98">
        <v>46171</v>
      </c>
      <c r="D64" s="99" t="s">
        <v>253</v>
      </c>
      <c r="E64" s="100" t="s">
        <v>254</v>
      </c>
      <c r="F64" s="101" t="s">
        <v>255</v>
      </c>
      <c r="G64" s="102">
        <v>27500</v>
      </c>
      <c r="H64" s="96"/>
    </row>
    <row r="65" spans="1:8" s="97" customFormat="1" ht="12">
      <c r="A65" s="90"/>
      <c r="B65" s="90"/>
      <c r="C65" s="98">
        <v>46171</v>
      </c>
      <c r="D65" s="99" t="s">
        <v>256</v>
      </c>
      <c r="E65" s="100" t="s">
        <v>257</v>
      </c>
      <c r="F65" s="101" t="s">
        <v>258</v>
      </c>
      <c r="G65" s="102">
        <v>276000</v>
      </c>
      <c r="H65" s="96"/>
    </row>
    <row r="66" spans="1:8" s="97" customFormat="1" ht="12">
      <c r="A66" s="90"/>
      <c r="B66" s="90"/>
      <c r="C66" s="98">
        <v>46171</v>
      </c>
      <c r="D66" s="99" t="s">
        <v>259</v>
      </c>
      <c r="E66" s="100" t="s">
        <v>260</v>
      </c>
      <c r="F66" s="101" t="s">
        <v>261</v>
      </c>
      <c r="G66" s="102">
        <v>1000000</v>
      </c>
      <c r="H66" s="96"/>
    </row>
    <row r="67" spans="1:8" s="97" customFormat="1" ht="12">
      <c r="A67" s="90"/>
      <c r="B67" s="90"/>
      <c r="C67" s="98">
        <v>46171</v>
      </c>
      <c r="D67" s="99" t="s">
        <v>259</v>
      </c>
      <c r="E67" s="100" t="s">
        <v>260</v>
      </c>
      <c r="F67" s="101" t="s">
        <v>262</v>
      </c>
      <c r="G67" s="102">
        <v>376000</v>
      </c>
      <c r="H67" s="96"/>
    </row>
    <row r="68" spans="1:8" s="97" customFormat="1" ht="12">
      <c r="A68" s="90"/>
      <c r="B68" s="90"/>
      <c r="C68" s="98">
        <v>46171</v>
      </c>
      <c r="D68" s="99" t="s">
        <v>259</v>
      </c>
      <c r="E68" s="100" t="s">
        <v>260</v>
      </c>
      <c r="F68" s="101" t="s">
        <v>263</v>
      </c>
      <c r="G68" s="102">
        <v>340000</v>
      </c>
      <c r="H68" s="96"/>
    </row>
    <row r="69" spans="1:8" s="97" customFormat="1" ht="12">
      <c r="A69" s="90"/>
      <c r="B69" s="90"/>
      <c r="C69" s="98">
        <v>46171</v>
      </c>
      <c r="D69" s="99" t="s">
        <v>259</v>
      </c>
      <c r="E69" s="100" t="s">
        <v>260</v>
      </c>
      <c r="F69" s="101" t="s">
        <v>264</v>
      </c>
      <c r="G69" s="102">
        <v>199200</v>
      </c>
      <c r="H69" s="96"/>
    </row>
    <row r="70" spans="1:8" s="97" customFormat="1" ht="12">
      <c r="A70" s="90"/>
      <c r="B70" s="90"/>
      <c r="C70" s="98">
        <v>46171</v>
      </c>
      <c r="D70" s="99" t="s">
        <v>265</v>
      </c>
      <c r="E70" s="100" t="s">
        <v>266</v>
      </c>
      <c r="F70" s="101" t="s">
        <v>267</v>
      </c>
      <c r="G70" s="102">
        <v>3003</v>
      </c>
      <c r="H70" s="96"/>
    </row>
    <row r="71" spans="1:8" s="97" customFormat="1" ht="12">
      <c r="A71" s="90"/>
      <c r="B71" s="90"/>
      <c r="C71" s="98">
        <v>46171</v>
      </c>
      <c r="D71" s="99" t="s">
        <v>268</v>
      </c>
      <c r="E71" s="100" t="s">
        <v>269</v>
      </c>
      <c r="F71" s="101" t="s">
        <v>270</v>
      </c>
      <c r="G71" s="102">
        <v>46200</v>
      </c>
      <c r="H71" s="96"/>
    </row>
    <row r="72" spans="1:8" s="97" customFormat="1" ht="12">
      <c r="A72" s="90"/>
      <c r="B72" s="90"/>
      <c r="C72" s="98">
        <v>46171</v>
      </c>
      <c r="D72" s="99" t="s">
        <v>271</v>
      </c>
      <c r="E72" s="100" t="s">
        <v>272</v>
      </c>
      <c r="F72" s="101" t="s">
        <v>273</v>
      </c>
      <c r="G72" s="102">
        <v>1027400</v>
      </c>
      <c r="H72" s="96"/>
    </row>
    <row r="73" spans="1:8" s="97" customFormat="1" ht="12">
      <c r="A73" s="90"/>
      <c r="B73" s="90"/>
      <c r="C73" s="98">
        <v>46171</v>
      </c>
      <c r="D73" s="99" t="s">
        <v>238</v>
      </c>
      <c r="E73" s="100" t="s">
        <v>239</v>
      </c>
      <c r="F73" s="101" t="s">
        <v>274</v>
      </c>
      <c r="G73" s="102">
        <v>385000</v>
      </c>
      <c r="H73" s="96"/>
    </row>
    <row r="74" spans="1:8" s="97" customFormat="1" ht="12">
      <c r="A74" s="90"/>
      <c r="B74" s="90"/>
      <c r="C74" s="98">
        <v>46171</v>
      </c>
      <c r="D74" s="99" t="s">
        <v>253</v>
      </c>
      <c r="E74" s="100" t="s">
        <v>254</v>
      </c>
      <c r="F74" s="101" t="s">
        <v>275</v>
      </c>
      <c r="G74" s="102">
        <v>330000</v>
      </c>
      <c r="H74" s="96"/>
    </row>
    <row r="75" spans="1:8" s="97" customFormat="1" ht="12">
      <c r="A75" s="90"/>
      <c r="B75" s="90"/>
      <c r="C75" s="98">
        <v>46171</v>
      </c>
      <c r="D75" s="99" t="s">
        <v>276</v>
      </c>
      <c r="E75" s="100" t="s">
        <v>277</v>
      </c>
      <c r="F75" s="101" t="s">
        <v>278</v>
      </c>
      <c r="G75" s="102">
        <v>285000</v>
      </c>
      <c r="H75" s="96"/>
    </row>
    <row r="76" spans="1:8" s="97" customFormat="1" ht="12">
      <c r="A76" s="90"/>
      <c r="B76" s="90"/>
      <c r="C76" s="98">
        <v>46171</v>
      </c>
      <c r="D76" s="99" t="s">
        <v>279</v>
      </c>
      <c r="E76" s="100" t="s">
        <v>280</v>
      </c>
      <c r="F76" s="101" t="s">
        <v>281</v>
      </c>
      <c r="G76" s="102">
        <v>224000</v>
      </c>
      <c r="H76" s="96"/>
    </row>
    <row r="77" spans="1:8" s="97" customFormat="1" ht="12">
      <c r="A77" s="90"/>
      <c r="B77" s="90"/>
      <c r="C77" s="98">
        <v>46173</v>
      </c>
      <c r="D77" s="99" t="s">
        <v>282</v>
      </c>
      <c r="E77" s="100" t="s">
        <v>283</v>
      </c>
      <c r="F77" s="101" t="s">
        <v>284</v>
      </c>
      <c r="G77" s="102">
        <v>51160</v>
      </c>
      <c r="H77" s="96"/>
    </row>
    <row r="78" spans="1:8" s="97" customFormat="1" ht="12">
      <c r="A78" s="90"/>
      <c r="B78" s="90"/>
      <c r="C78" s="98">
        <v>46173</v>
      </c>
      <c r="D78" s="99" t="s">
        <v>282</v>
      </c>
      <c r="E78" s="100" t="s">
        <v>283</v>
      </c>
      <c r="F78" s="101" t="s">
        <v>285</v>
      </c>
      <c r="G78" s="102">
        <v>54910</v>
      </c>
      <c r="H78" s="96"/>
    </row>
    <row r="79" spans="1:8" s="97" customFormat="1" ht="12">
      <c r="A79" s="90"/>
      <c r="B79" s="90"/>
      <c r="C79" s="98">
        <v>46173</v>
      </c>
      <c r="D79" s="99" t="s">
        <v>282</v>
      </c>
      <c r="E79" s="100" t="s">
        <v>283</v>
      </c>
      <c r="F79" s="101" t="s">
        <v>286</v>
      </c>
      <c r="G79" s="102">
        <v>52200</v>
      </c>
      <c r="H79" s="96"/>
    </row>
    <row r="80" spans="1:8" s="97" customFormat="1" ht="12">
      <c r="A80" s="90"/>
      <c r="B80" s="90"/>
      <c r="C80" s="98">
        <v>46173</v>
      </c>
      <c r="D80" s="99" t="s">
        <v>287</v>
      </c>
      <c r="E80" s="100" t="s">
        <v>288</v>
      </c>
      <c r="F80" s="101" t="s">
        <v>289</v>
      </c>
      <c r="G80" s="102">
        <v>400000</v>
      </c>
      <c r="H80" s="96"/>
    </row>
    <row r="81" spans="1:8" s="97" customFormat="1" ht="12">
      <c r="A81" s="90"/>
      <c r="B81" s="90"/>
      <c r="C81" s="98">
        <v>46173</v>
      </c>
      <c r="D81" s="99" t="s">
        <v>287</v>
      </c>
      <c r="E81" s="100" t="s">
        <v>288</v>
      </c>
      <c r="F81" s="101" t="s">
        <v>290</v>
      </c>
      <c r="G81" s="102">
        <v>250000</v>
      </c>
      <c r="H81" s="96"/>
    </row>
    <row r="82" spans="1:8" s="97" customFormat="1" ht="12">
      <c r="A82" s="90"/>
      <c r="B82" s="90"/>
      <c r="C82" s="98">
        <v>46173</v>
      </c>
      <c r="D82" s="99" t="s">
        <v>291</v>
      </c>
      <c r="E82" s="100" t="s">
        <v>292</v>
      </c>
      <c r="F82" s="101" t="s">
        <v>293</v>
      </c>
      <c r="G82" s="102">
        <v>1008100</v>
      </c>
      <c r="H82" s="96"/>
    </row>
    <row r="83" spans="1:8" s="97" customFormat="1" ht="12">
      <c r="A83" s="90"/>
      <c r="B83" s="90"/>
      <c r="C83" s="98">
        <v>46173</v>
      </c>
      <c r="D83" s="99" t="s">
        <v>282</v>
      </c>
      <c r="E83" s="100" t="s">
        <v>294</v>
      </c>
      <c r="F83" s="101" t="s">
        <v>295</v>
      </c>
      <c r="G83" s="102">
        <v>109480</v>
      </c>
      <c r="H83" s="96"/>
    </row>
    <row r="84" spans="1:8" s="97" customFormat="1" ht="12">
      <c r="A84" s="90"/>
      <c r="B84" s="90"/>
      <c r="C84" s="98">
        <v>46173</v>
      </c>
      <c r="D84" s="99" t="s">
        <v>282</v>
      </c>
      <c r="E84" s="100" t="s">
        <v>283</v>
      </c>
      <c r="F84" s="101" t="s">
        <v>296</v>
      </c>
      <c r="G84" s="102">
        <v>99000</v>
      </c>
      <c r="H84" s="96"/>
    </row>
    <row r="85" spans="1:8" s="97" customFormat="1" ht="12">
      <c r="A85" s="90"/>
      <c r="B85" s="90"/>
      <c r="C85" s="98">
        <v>46173</v>
      </c>
      <c r="D85" s="99" t="s">
        <v>297</v>
      </c>
      <c r="E85" s="100" t="s">
        <v>298</v>
      </c>
      <c r="F85" s="101" t="s">
        <v>299</v>
      </c>
      <c r="G85" s="102">
        <v>840000</v>
      </c>
      <c r="H85" s="96"/>
    </row>
    <row r="86" spans="1:8" s="97" customFormat="1" ht="12">
      <c r="A86" s="90"/>
      <c r="B86" s="90"/>
      <c r="C86" s="98">
        <v>46173</v>
      </c>
      <c r="D86" s="99" t="s">
        <v>282</v>
      </c>
      <c r="E86" s="100" t="s">
        <v>283</v>
      </c>
      <c r="F86" s="101" t="s">
        <v>300</v>
      </c>
      <c r="G86" s="102">
        <v>39690</v>
      </c>
      <c r="H86" s="96"/>
    </row>
    <row r="87" spans="1:8" s="97" customFormat="1" ht="12">
      <c r="A87" s="90"/>
      <c r="B87" s="90"/>
      <c r="C87" s="98">
        <v>46173</v>
      </c>
      <c r="D87" s="99" t="s">
        <v>282</v>
      </c>
      <c r="E87" s="100" t="s">
        <v>283</v>
      </c>
      <c r="F87" s="101" t="s">
        <v>301</v>
      </c>
      <c r="G87" s="102">
        <v>99000</v>
      </c>
      <c r="H87" s="96"/>
    </row>
    <row r="88" spans="1:8" s="97" customFormat="1" ht="12">
      <c r="A88" s="90"/>
      <c r="B88" s="90"/>
      <c r="C88" s="98">
        <v>46173</v>
      </c>
      <c r="D88" s="99" t="s">
        <v>282</v>
      </c>
      <c r="E88" s="100" t="s">
        <v>283</v>
      </c>
      <c r="F88" s="101" t="s">
        <v>302</v>
      </c>
      <c r="G88" s="102">
        <v>103570</v>
      </c>
      <c r="H88" s="96"/>
    </row>
    <row r="89" spans="1:8" s="97" customFormat="1" ht="12">
      <c r="A89" s="90"/>
      <c r="B89" s="90"/>
      <c r="C89" s="98">
        <v>46173</v>
      </c>
      <c r="D89" s="99" t="s">
        <v>282</v>
      </c>
      <c r="E89" s="100" t="s">
        <v>294</v>
      </c>
      <c r="F89" s="101" t="s">
        <v>303</v>
      </c>
      <c r="G89" s="102">
        <v>841300</v>
      </c>
      <c r="H89" s="96"/>
    </row>
    <row r="90" spans="1:8" s="97" customFormat="1" ht="12">
      <c r="A90" s="90"/>
      <c r="B90" s="90"/>
      <c r="C90" s="98">
        <v>46173</v>
      </c>
      <c r="D90" s="99" t="s">
        <v>282</v>
      </c>
      <c r="E90" s="100" t="s">
        <v>283</v>
      </c>
      <c r="F90" s="101" t="s">
        <v>304</v>
      </c>
      <c r="G90" s="102">
        <v>79590</v>
      </c>
      <c r="H90" s="96"/>
    </row>
    <row r="91" spans="1:8" s="97" customFormat="1" ht="12">
      <c r="A91" s="90"/>
      <c r="B91" s="90"/>
      <c r="C91" s="98">
        <v>46173</v>
      </c>
      <c r="D91" s="99" t="s">
        <v>282</v>
      </c>
      <c r="E91" s="100" t="s">
        <v>294</v>
      </c>
      <c r="F91" s="101" t="s">
        <v>305</v>
      </c>
      <c r="G91" s="102">
        <v>99000</v>
      </c>
      <c r="H91" s="96"/>
    </row>
    <row r="92" spans="1:8" s="97" customFormat="1" ht="12">
      <c r="A92" s="90"/>
      <c r="B92" s="90"/>
      <c r="C92" s="98">
        <v>46173</v>
      </c>
      <c r="D92" s="99" t="s">
        <v>282</v>
      </c>
      <c r="E92" s="100" t="s">
        <v>294</v>
      </c>
      <c r="F92" s="101" t="s">
        <v>306</v>
      </c>
      <c r="G92" s="102">
        <v>229020</v>
      </c>
      <c r="H92" s="96"/>
    </row>
    <row r="93" spans="1:8" s="97" customFormat="1" ht="12">
      <c r="A93" s="90"/>
      <c r="B93" s="90"/>
      <c r="C93" s="98">
        <v>46173</v>
      </c>
      <c r="D93" s="99" t="s">
        <v>282</v>
      </c>
      <c r="E93" s="100" t="s">
        <v>294</v>
      </c>
      <c r="F93" s="101" t="s">
        <v>307</v>
      </c>
      <c r="G93" s="102">
        <v>79200</v>
      </c>
      <c r="H93" s="96"/>
    </row>
    <row r="94" spans="1:8" s="97" customFormat="1" ht="12">
      <c r="A94" s="90"/>
      <c r="B94" s="90"/>
      <c r="C94" s="98">
        <v>46173</v>
      </c>
      <c r="D94" s="99" t="s">
        <v>308</v>
      </c>
      <c r="E94" s="100" t="s">
        <v>309</v>
      </c>
      <c r="F94" s="101" t="s">
        <v>310</v>
      </c>
      <c r="G94" s="102">
        <v>2073418</v>
      </c>
      <c r="H94" s="96"/>
    </row>
    <row r="95" spans="1:8" s="97" customFormat="1" ht="12">
      <c r="A95" s="90"/>
      <c r="B95" s="90"/>
      <c r="C95" s="98">
        <v>46173</v>
      </c>
      <c r="D95" s="99" t="s">
        <v>308</v>
      </c>
      <c r="E95" s="100" t="s">
        <v>309</v>
      </c>
      <c r="F95" s="101" t="s">
        <v>311</v>
      </c>
      <c r="G95" s="102">
        <v>16745708</v>
      </c>
      <c r="H95" s="96"/>
    </row>
    <row r="96" spans="1:8" s="97" customFormat="1" ht="12">
      <c r="A96" s="90"/>
      <c r="B96" s="90"/>
      <c r="C96" s="98">
        <v>46174</v>
      </c>
      <c r="D96" s="99" t="s">
        <v>132</v>
      </c>
      <c r="E96" s="100" t="s">
        <v>133</v>
      </c>
      <c r="F96" s="101" t="s">
        <v>312</v>
      </c>
      <c r="G96" s="102">
        <v>673310</v>
      </c>
      <c r="H96" s="96"/>
    </row>
    <row r="97" spans="1:8" s="97" customFormat="1" ht="12">
      <c r="A97" s="90"/>
      <c r="B97" s="90"/>
      <c r="C97" s="98">
        <v>46174</v>
      </c>
      <c r="D97" s="99" t="s">
        <v>135</v>
      </c>
      <c r="E97" s="100" t="s">
        <v>136</v>
      </c>
      <c r="F97" s="101" t="s">
        <v>313</v>
      </c>
      <c r="G97" s="102">
        <v>330000</v>
      </c>
      <c r="H97" s="96"/>
    </row>
    <row r="98" spans="1:8" s="97" customFormat="1" ht="12">
      <c r="A98" s="90"/>
      <c r="B98" s="90"/>
      <c r="C98" s="98">
        <v>46174</v>
      </c>
      <c r="D98" s="99" t="s">
        <v>314</v>
      </c>
      <c r="E98" s="100" t="s">
        <v>315</v>
      </c>
      <c r="F98" s="101" t="s">
        <v>316</v>
      </c>
      <c r="G98" s="102">
        <v>1003200</v>
      </c>
      <c r="H98" s="96"/>
    </row>
    <row r="99" spans="1:8" s="97" customFormat="1" ht="12">
      <c r="A99" s="90"/>
      <c r="B99" s="90"/>
      <c r="C99" s="98">
        <v>46174</v>
      </c>
      <c r="D99" s="99" t="s">
        <v>139</v>
      </c>
      <c r="E99" s="100" t="s">
        <v>140</v>
      </c>
      <c r="F99" s="101" t="s">
        <v>141</v>
      </c>
      <c r="G99" s="102">
        <v>154000</v>
      </c>
      <c r="H99" s="96"/>
    </row>
    <row r="100" spans="1:8" s="97" customFormat="1" ht="12">
      <c r="A100" s="90"/>
      <c r="B100" s="90"/>
      <c r="C100" s="98">
        <v>46174</v>
      </c>
      <c r="D100" s="99" t="s">
        <v>317</v>
      </c>
      <c r="E100" s="100" t="s">
        <v>318</v>
      </c>
      <c r="F100" s="101" t="s">
        <v>319</v>
      </c>
      <c r="G100" s="102">
        <v>902000</v>
      </c>
      <c r="H100" s="96"/>
    </row>
    <row r="101" spans="1:8" s="97" customFormat="1" ht="12">
      <c r="A101" s="90"/>
      <c r="B101" s="90"/>
      <c r="C101" s="98">
        <v>46174</v>
      </c>
      <c r="D101" s="99" t="s">
        <v>145</v>
      </c>
      <c r="E101" s="100" t="s">
        <v>146</v>
      </c>
      <c r="F101" s="101" t="s">
        <v>320</v>
      </c>
      <c r="G101" s="102">
        <v>1098350</v>
      </c>
      <c r="H101" s="96"/>
    </row>
    <row r="102" spans="1:8" s="97" customFormat="1" ht="12">
      <c r="A102" s="90"/>
      <c r="B102" s="90"/>
      <c r="C102" s="98">
        <v>46174</v>
      </c>
      <c r="D102" s="99" t="s">
        <v>132</v>
      </c>
      <c r="E102" s="100" t="s">
        <v>133</v>
      </c>
      <c r="F102" s="101" t="s">
        <v>321</v>
      </c>
      <c r="G102" s="102">
        <v>11000</v>
      </c>
      <c r="H102" s="96"/>
    </row>
    <row r="103" spans="1:8" s="97" customFormat="1" ht="12">
      <c r="A103" s="90"/>
      <c r="B103" s="90"/>
      <c r="C103" s="98">
        <v>46174</v>
      </c>
      <c r="D103" s="99" t="s">
        <v>322</v>
      </c>
      <c r="E103" s="100" t="s">
        <v>323</v>
      </c>
      <c r="F103" s="101" t="s">
        <v>324</v>
      </c>
      <c r="G103" s="102">
        <v>11550000</v>
      </c>
      <c r="H103" s="96"/>
    </row>
    <row r="104" spans="1:8" s="97" customFormat="1" ht="12">
      <c r="A104" s="90"/>
      <c r="B104" s="90"/>
      <c r="C104" s="98">
        <v>46175</v>
      </c>
      <c r="D104" s="99" t="s">
        <v>170</v>
      </c>
      <c r="E104" s="100" t="s">
        <v>171</v>
      </c>
      <c r="F104" s="101" t="s">
        <v>325</v>
      </c>
      <c r="G104" s="102">
        <v>165000</v>
      </c>
      <c r="H104" s="96"/>
    </row>
    <row r="105" spans="1:8" s="97" customFormat="1" ht="12">
      <c r="A105" s="90"/>
      <c r="B105" s="90"/>
      <c r="C105" s="98">
        <v>46175</v>
      </c>
      <c r="D105" s="99" t="s">
        <v>326</v>
      </c>
      <c r="E105" s="100" t="s">
        <v>327</v>
      </c>
      <c r="F105" s="101" t="s">
        <v>328</v>
      </c>
      <c r="G105" s="102">
        <v>242000</v>
      </c>
      <c r="H105" s="96"/>
    </row>
    <row r="106" spans="1:8" s="97" customFormat="1" ht="12">
      <c r="A106" s="90"/>
      <c r="B106" s="90"/>
      <c r="C106" s="98">
        <v>46175</v>
      </c>
      <c r="D106" s="99" t="s">
        <v>151</v>
      </c>
      <c r="E106" s="100" t="s">
        <v>152</v>
      </c>
      <c r="F106" s="101" t="s">
        <v>153</v>
      </c>
      <c r="G106" s="102">
        <v>1947000</v>
      </c>
      <c r="H106" s="96"/>
    </row>
    <row r="107" spans="1:8" s="97" customFormat="1" ht="12">
      <c r="A107" s="90"/>
      <c r="B107" s="90"/>
      <c r="C107" s="98">
        <v>46177</v>
      </c>
      <c r="D107" s="99" t="s">
        <v>170</v>
      </c>
      <c r="E107" s="100" t="s">
        <v>171</v>
      </c>
      <c r="F107" s="101" t="s">
        <v>329</v>
      </c>
      <c r="G107" s="102">
        <v>231000</v>
      </c>
      <c r="H107" s="96"/>
    </row>
    <row r="108" spans="1:8" s="97" customFormat="1" ht="12">
      <c r="A108" s="90"/>
      <c r="B108" s="90"/>
      <c r="C108" s="98">
        <v>46177</v>
      </c>
      <c r="D108" s="99" t="s">
        <v>330</v>
      </c>
      <c r="E108" s="100" t="s">
        <v>331</v>
      </c>
      <c r="F108" s="101" t="s">
        <v>332</v>
      </c>
      <c r="G108" s="102">
        <v>88000</v>
      </c>
      <c r="H108" s="96"/>
    </row>
    <row r="109" spans="1:8" s="97" customFormat="1" ht="12">
      <c r="A109" s="90"/>
      <c r="B109" s="90"/>
      <c r="C109" s="98">
        <v>46177</v>
      </c>
      <c r="D109" s="99" t="s">
        <v>333</v>
      </c>
      <c r="E109" s="100" t="s">
        <v>334</v>
      </c>
      <c r="F109" s="101" t="s">
        <v>335</v>
      </c>
      <c r="G109" s="102">
        <v>132000</v>
      </c>
      <c r="H109" s="96"/>
    </row>
    <row r="110" spans="1:8" s="97" customFormat="1" ht="12">
      <c r="A110" s="90"/>
      <c r="B110" s="90"/>
      <c r="C110" s="98">
        <v>46178</v>
      </c>
      <c r="D110" s="99" t="s">
        <v>336</v>
      </c>
      <c r="E110" s="100" t="s">
        <v>337</v>
      </c>
      <c r="F110" s="101" t="s">
        <v>338</v>
      </c>
      <c r="G110" s="102">
        <v>23270</v>
      </c>
      <c r="H110" s="105" t="s">
        <v>339</v>
      </c>
    </row>
    <row r="111" spans="1:8" s="97" customFormat="1" ht="12">
      <c r="A111" s="90"/>
      <c r="B111" s="90"/>
      <c r="C111" s="98">
        <v>46178</v>
      </c>
      <c r="D111" s="99" t="s">
        <v>163</v>
      </c>
      <c r="E111" s="100" t="s">
        <v>164</v>
      </c>
      <c r="F111" s="101" t="s">
        <v>340</v>
      </c>
      <c r="G111" s="102">
        <v>162800</v>
      </c>
      <c r="H111" s="96"/>
    </row>
    <row r="112" spans="1:8" s="97" customFormat="1" ht="12">
      <c r="A112" s="90"/>
      <c r="B112" s="90"/>
      <c r="C112" s="98">
        <v>46178</v>
      </c>
      <c r="D112" s="99" t="s">
        <v>341</v>
      </c>
      <c r="E112" s="100" t="s">
        <v>342</v>
      </c>
      <c r="F112" s="101" t="s">
        <v>343</v>
      </c>
      <c r="G112" s="102">
        <v>88000</v>
      </c>
      <c r="H112" s="96"/>
    </row>
    <row r="113" spans="1:8" s="97" customFormat="1" ht="12">
      <c r="A113" s="90"/>
      <c r="B113" s="90"/>
      <c r="C113" s="98">
        <v>46178</v>
      </c>
      <c r="D113" s="99" t="s">
        <v>344</v>
      </c>
      <c r="E113" s="100" t="s">
        <v>345</v>
      </c>
      <c r="F113" s="101" t="s">
        <v>346</v>
      </c>
      <c r="G113" s="102">
        <v>495000</v>
      </c>
      <c r="H113" s="96"/>
    </row>
    <row r="114" spans="1:8" s="97" customFormat="1" ht="12">
      <c r="A114" s="90"/>
      <c r="B114" s="90"/>
      <c r="C114" s="98">
        <v>46178</v>
      </c>
      <c r="D114" s="99" t="s">
        <v>347</v>
      </c>
      <c r="E114" s="100" t="s">
        <v>348</v>
      </c>
      <c r="F114" s="101" t="s">
        <v>349</v>
      </c>
      <c r="G114" s="102">
        <v>1716000</v>
      </c>
      <c r="H114" s="96"/>
    </row>
    <row r="115" spans="1:8" s="97" customFormat="1" ht="12">
      <c r="A115" s="90"/>
      <c r="B115" s="90"/>
      <c r="C115" s="98">
        <v>46178</v>
      </c>
      <c r="D115" s="99" t="s">
        <v>350</v>
      </c>
      <c r="E115" s="100" t="s">
        <v>351</v>
      </c>
      <c r="F115" s="101" t="s">
        <v>352</v>
      </c>
      <c r="G115" s="102">
        <v>1606000</v>
      </c>
      <c r="H115" s="96"/>
    </row>
    <row r="116" spans="1:8" s="97" customFormat="1" ht="12">
      <c r="A116" s="90"/>
      <c r="B116" s="90"/>
      <c r="C116" s="98">
        <v>46181</v>
      </c>
      <c r="D116" s="99" t="s">
        <v>330</v>
      </c>
      <c r="E116" s="100" t="s">
        <v>331</v>
      </c>
      <c r="F116" s="101" t="s">
        <v>353</v>
      </c>
      <c r="G116" s="102">
        <v>132000</v>
      </c>
      <c r="H116" s="96"/>
    </row>
    <row r="117" spans="1:8" s="97" customFormat="1" ht="12">
      <c r="A117" s="90"/>
      <c r="B117" s="90"/>
      <c r="C117" s="98">
        <v>46181</v>
      </c>
      <c r="D117" s="99" t="s">
        <v>189</v>
      </c>
      <c r="E117" s="100" t="s">
        <v>190</v>
      </c>
      <c r="F117" s="101" t="s">
        <v>191</v>
      </c>
      <c r="G117" s="102">
        <v>1078000</v>
      </c>
      <c r="H117" s="96"/>
    </row>
    <row r="118" spans="1:8" s="97" customFormat="1" ht="12">
      <c r="A118" s="90"/>
      <c r="B118" s="90"/>
      <c r="C118" s="98">
        <v>46181</v>
      </c>
      <c r="D118" s="99" t="s">
        <v>354</v>
      </c>
      <c r="E118" s="100" t="s">
        <v>355</v>
      </c>
      <c r="F118" s="101" t="s">
        <v>356</v>
      </c>
      <c r="G118" s="102">
        <v>557920</v>
      </c>
      <c r="H118" s="96"/>
    </row>
    <row r="119" spans="1:8" s="97" customFormat="1" ht="12">
      <c r="A119" s="90"/>
      <c r="B119" s="90"/>
      <c r="C119" s="98">
        <v>46182</v>
      </c>
      <c r="D119" s="99" t="s">
        <v>326</v>
      </c>
      <c r="E119" s="100" t="s">
        <v>327</v>
      </c>
      <c r="F119" s="101" t="s">
        <v>357</v>
      </c>
      <c r="G119" s="102">
        <v>242000</v>
      </c>
      <c r="H119" s="96"/>
    </row>
    <row r="120" spans="1:8" s="97" customFormat="1" ht="12">
      <c r="A120" s="90"/>
      <c r="B120" s="90"/>
      <c r="C120" s="98">
        <v>46183</v>
      </c>
      <c r="D120" s="99" t="s">
        <v>358</v>
      </c>
      <c r="E120" s="100" t="s">
        <v>359</v>
      </c>
      <c r="F120" s="101" t="s">
        <v>360</v>
      </c>
      <c r="G120" s="102">
        <v>770000</v>
      </c>
      <c r="H120" s="96"/>
    </row>
    <row r="121" spans="1:8" s="97" customFormat="1" ht="12">
      <c r="A121" s="90"/>
      <c r="B121" s="90"/>
      <c r="C121" s="98">
        <v>46183</v>
      </c>
      <c r="D121" s="99" t="s">
        <v>361</v>
      </c>
      <c r="E121" s="100" t="s">
        <v>362</v>
      </c>
      <c r="F121" s="101" t="s">
        <v>363</v>
      </c>
      <c r="G121" s="102">
        <v>1870000</v>
      </c>
      <c r="H121" s="96"/>
    </row>
    <row r="122" spans="1:8" s="97" customFormat="1" ht="12">
      <c r="A122" s="90"/>
      <c r="B122" s="90"/>
      <c r="C122" s="98">
        <v>46183</v>
      </c>
      <c r="D122" s="99" t="s">
        <v>364</v>
      </c>
      <c r="E122" s="100" t="s">
        <v>365</v>
      </c>
      <c r="F122" s="101" t="s">
        <v>366</v>
      </c>
      <c r="G122" s="102">
        <v>3300000</v>
      </c>
      <c r="H122" s="96"/>
    </row>
    <row r="123" spans="1:8" s="97" customFormat="1" ht="12">
      <c r="A123" s="90"/>
      <c r="B123" s="90"/>
      <c r="C123" s="98">
        <v>46183</v>
      </c>
      <c r="D123" s="99" t="s">
        <v>364</v>
      </c>
      <c r="E123" s="100" t="s">
        <v>365</v>
      </c>
      <c r="F123" s="101" t="s">
        <v>367</v>
      </c>
      <c r="G123" s="102">
        <v>352000</v>
      </c>
      <c r="H123" s="96"/>
    </row>
    <row r="124" spans="1:8" s="97" customFormat="1" ht="12">
      <c r="A124" s="90"/>
      <c r="B124" s="90"/>
      <c r="C124" s="98">
        <v>46184</v>
      </c>
      <c r="D124" s="99" t="s">
        <v>336</v>
      </c>
      <c r="E124" s="100" t="s">
        <v>368</v>
      </c>
      <c r="F124" s="101" t="s">
        <v>369</v>
      </c>
      <c r="G124" s="102">
        <v>29190</v>
      </c>
      <c r="H124" s="96"/>
    </row>
    <row r="125" spans="1:8" s="97" customFormat="1" ht="12">
      <c r="A125" s="90"/>
      <c r="B125" s="90"/>
      <c r="C125" s="98">
        <v>46184</v>
      </c>
      <c r="D125" s="99" t="s">
        <v>370</v>
      </c>
      <c r="E125" s="100" t="s">
        <v>371</v>
      </c>
      <c r="F125" s="101" t="s">
        <v>372</v>
      </c>
      <c r="G125" s="102">
        <v>660000</v>
      </c>
      <c r="H125" s="96"/>
    </row>
    <row r="126" spans="1:8" s="97" customFormat="1" ht="12">
      <c r="A126" s="90"/>
      <c r="B126" s="90"/>
      <c r="C126" s="98">
        <v>46184</v>
      </c>
      <c r="D126" s="99" t="s">
        <v>373</v>
      </c>
      <c r="E126" s="100" t="s">
        <v>374</v>
      </c>
      <c r="F126" s="101" t="s">
        <v>375</v>
      </c>
      <c r="G126" s="102">
        <v>935000</v>
      </c>
      <c r="H126" s="96"/>
    </row>
    <row r="127" spans="1:8" s="97" customFormat="1" ht="12">
      <c r="A127" s="90"/>
      <c r="B127" s="90"/>
      <c r="C127" s="91">
        <v>46184</v>
      </c>
      <c r="D127" s="92" t="s">
        <v>326</v>
      </c>
      <c r="E127" s="100" t="s">
        <v>327</v>
      </c>
      <c r="F127" s="106" t="s">
        <v>376</v>
      </c>
      <c r="G127" s="102">
        <v>275000</v>
      </c>
      <c r="H127" s="105"/>
    </row>
    <row r="128" spans="1:8" s="97" customFormat="1" ht="12">
      <c r="A128" s="90"/>
      <c r="B128" s="90"/>
      <c r="C128" s="91">
        <v>46184</v>
      </c>
      <c r="D128" s="92" t="s">
        <v>333</v>
      </c>
      <c r="E128" s="100" t="s">
        <v>334</v>
      </c>
      <c r="F128" s="106" t="s">
        <v>377</v>
      </c>
      <c r="G128" s="102">
        <v>242000</v>
      </c>
      <c r="H128" s="105"/>
    </row>
    <row r="129" spans="1:8" s="97" customFormat="1" ht="12">
      <c r="A129" s="90"/>
      <c r="B129" s="90"/>
      <c r="C129" s="91">
        <v>46184</v>
      </c>
      <c r="D129" s="92" t="s">
        <v>378</v>
      </c>
      <c r="E129" s="100" t="s">
        <v>379</v>
      </c>
      <c r="F129" s="106" t="s">
        <v>380</v>
      </c>
      <c r="G129" s="102">
        <v>330000</v>
      </c>
      <c r="H129" s="101"/>
    </row>
    <row r="130" spans="1:8" s="97" customFormat="1" ht="12">
      <c r="A130" s="90"/>
      <c r="B130" s="90"/>
      <c r="C130" s="91">
        <v>46184</v>
      </c>
      <c r="D130" s="92" t="s">
        <v>381</v>
      </c>
      <c r="E130" s="100" t="s">
        <v>382</v>
      </c>
      <c r="F130" s="106" t="s">
        <v>383</v>
      </c>
      <c r="G130" s="102">
        <v>3080000</v>
      </c>
      <c r="H130" s="101"/>
    </row>
    <row r="131" spans="1:8" s="97" customFormat="1" ht="12">
      <c r="A131" s="90"/>
      <c r="B131" s="90"/>
      <c r="C131" s="91">
        <v>46185</v>
      </c>
      <c r="D131" s="92" t="s">
        <v>384</v>
      </c>
      <c r="E131" s="100" t="s">
        <v>385</v>
      </c>
      <c r="F131" s="106" t="s">
        <v>386</v>
      </c>
      <c r="G131" s="102">
        <v>148500</v>
      </c>
      <c r="H131" s="101"/>
    </row>
    <row r="132" spans="1:8" s="97" customFormat="1" ht="12">
      <c r="A132" s="90"/>
      <c r="B132" s="90"/>
      <c r="C132" s="91">
        <v>46185</v>
      </c>
      <c r="D132" s="92" t="s">
        <v>170</v>
      </c>
      <c r="E132" s="100" t="s">
        <v>171</v>
      </c>
      <c r="F132" s="106" t="s">
        <v>387</v>
      </c>
      <c r="G132" s="102">
        <v>330000</v>
      </c>
      <c r="H132" s="101"/>
    </row>
    <row r="133" spans="1:8" s="97" customFormat="1" ht="12">
      <c r="A133" s="90"/>
      <c r="B133" s="90"/>
      <c r="C133" s="91">
        <v>46188</v>
      </c>
      <c r="D133" s="92" t="s">
        <v>388</v>
      </c>
      <c r="E133" s="100" t="s">
        <v>389</v>
      </c>
      <c r="F133" s="106" t="s">
        <v>390</v>
      </c>
      <c r="G133" s="102">
        <v>567000</v>
      </c>
      <c r="H133" s="101"/>
    </row>
    <row r="134" spans="1:8" s="97" customFormat="1" ht="12">
      <c r="A134" s="90"/>
      <c r="B134" s="90"/>
      <c r="C134" s="91">
        <v>46188</v>
      </c>
      <c r="D134" s="92" t="s">
        <v>391</v>
      </c>
      <c r="E134" s="100" t="s">
        <v>392</v>
      </c>
      <c r="F134" s="106" t="s">
        <v>393</v>
      </c>
      <c r="G134" s="102">
        <v>154000</v>
      </c>
      <c r="H134" s="101"/>
    </row>
    <row r="135" spans="1:8" s="97" customFormat="1" ht="12">
      <c r="A135" s="90"/>
      <c r="B135" s="90"/>
      <c r="C135" s="91">
        <v>46188</v>
      </c>
      <c r="D135" s="92" t="s">
        <v>354</v>
      </c>
      <c r="E135" s="100" t="s">
        <v>355</v>
      </c>
      <c r="F135" s="106" t="s">
        <v>394</v>
      </c>
      <c r="G135" s="102">
        <v>440220</v>
      </c>
      <c r="H135" s="101"/>
    </row>
    <row r="136" spans="1:8" s="97" customFormat="1" ht="12">
      <c r="A136" s="90"/>
      <c r="B136" s="90"/>
      <c r="C136" s="91">
        <v>46188</v>
      </c>
      <c r="D136" s="92" t="s">
        <v>395</v>
      </c>
      <c r="E136" s="100" t="s">
        <v>396</v>
      </c>
      <c r="F136" s="106" t="s">
        <v>397</v>
      </c>
      <c r="G136" s="102">
        <v>33000</v>
      </c>
      <c r="H136" s="101"/>
    </row>
    <row r="137" spans="1:8" s="97" customFormat="1" ht="12">
      <c r="A137" s="90"/>
      <c r="B137" s="90"/>
      <c r="C137" s="91">
        <v>46188</v>
      </c>
      <c r="D137" s="92" t="s">
        <v>398</v>
      </c>
      <c r="E137" s="100" t="s">
        <v>399</v>
      </c>
      <c r="F137" s="106" t="s">
        <v>400</v>
      </c>
      <c r="G137" s="102">
        <v>2035000</v>
      </c>
      <c r="H137" s="101"/>
    </row>
    <row r="138" spans="1:8" s="97" customFormat="1" ht="12">
      <c r="A138" s="90"/>
      <c r="B138" s="90"/>
      <c r="C138" s="91">
        <v>46189</v>
      </c>
      <c r="D138" s="92" t="s">
        <v>401</v>
      </c>
      <c r="E138" s="100" t="s">
        <v>402</v>
      </c>
      <c r="F138" s="106" t="s">
        <v>403</v>
      </c>
      <c r="G138" s="102">
        <v>2200000</v>
      </c>
      <c r="H138" s="101"/>
    </row>
    <row r="139" spans="1:8" s="97" customFormat="1" ht="12">
      <c r="A139" s="90"/>
      <c r="B139" s="90"/>
      <c r="C139" s="91">
        <v>46189</v>
      </c>
      <c r="D139" s="92" t="s">
        <v>404</v>
      </c>
      <c r="E139" s="100" t="s">
        <v>405</v>
      </c>
      <c r="F139" s="106" t="s">
        <v>406</v>
      </c>
      <c r="G139" s="102">
        <v>1040600</v>
      </c>
      <c r="H139" s="101"/>
    </row>
    <row r="140" spans="1:8" s="97" customFormat="1" ht="12">
      <c r="A140" s="90"/>
      <c r="B140" s="90"/>
      <c r="C140" s="91">
        <v>46189</v>
      </c>
      <c r="D140" s="92" t="s">
        <v>407</v>
      </c>
      <c r="E140" s="100" t="s">
        <v>408</v>
      </c>
      <c r="F140" s="106" t="s">
        <v>409</v>
      </c>
      <c r="G140" s="102">
        <v>308000</v>
      </c>
      <c r="H140" s="101"/>
    </row>
    <row r="141" spans="1:8" s="97" customFormat="1" ht="12">
      <c r="A141" s="90"/>
      <c r="B141" s="90"/>
      <c r="C141" s="91">
        <v>46189</v>
      </c>
      <c r="D141" s="92" t="s">
        <v>410</v>
      </c>
      <c r="E141" s="100" t="s">
        <v>411</v>
      </c>
      <c r="F141" s="106" t="s">
        <v>412</v>
      </c>
      <c r="G141" s="102">
        <v>1760000</v>
      </c>
      <c r="H141" s="101"/>
    </row>
    <row r="142" spans="1:8" s="97" customFormat="1" ht="12">
      <c r="A142" s="90"/>
      <c r="B142" s="90"/>
      <c r="C142" s="91">
        <v>46189</v>
      </c>
      <c r="D142" s="92" t="s">
        <v>142</v>
      </c>
      <c r="E142" s="100" t="s">
        <v>143</v>
      </c>
      <c r="F142" s="106" t="s">
        <v>413</v>
      </c>
      <c r="G142" s="102">
        <v>169600</v>
      </c>
      <c r="H142" s="101"/>
    </row>
    <row r="143" spans="1:8" s="97" customFormat="1" ht="12">
      <c r="A143" s="90"/>
      <c r="B143" s="90"/>
      <c r="C143" s="91">
        <v>46189</v>
      </c>
      <c r="D143" s="92" t="s">
        <v>170</v>
      </c>
      <c r="E143" s="100" t="s">
        <v>171</v>
      </c>
      <c r="F143" s="106" t="s">
        <v>414</v>
      </c>
      <c r="G143" s="102">
        <v>407000</v>
      </c>
      <c r="H143" s="101"/>
    </row>
    <row r="144" spans="1:8" s="97" customFormat="1" ht="12">
      <c r="A144" s="90"/>
      <c r="B144" s="90"/>
      <c r="C144" s="91">
        <v>46190</v>
      </c>
      <c r="D144" s="92" t="s">
        <v>415</v>
      </c>
      <c r="E144" s="100" t="s">
        <v>416</v>
      </c>
      <c r="F144" s="106" t="s">
        <v>417</v>
      </c>
      <c r="G144" s="102">
        <v>660000</v>
      </c>
      <c r="H144" s="101"/>
    </row>
    <row r="145" spans="1:8" s="97" customFormat="1" ht="12">
      <c r="A145" s="90"/>
      <c r="B145" s="90"/>
      <c r="C145" s="91">
        <v>46190</v>
      </c>
      <c r="D145" s="92" t="s">
        <v>418</v>
      </c>
      <c r="E145" s="100" t="s">
        <v>419</v>
      </c>
      <c r="F145" s="106" t="s">
        <v>420</v>
      </c>
      <c r="G145" s="102">
        <v>336600</v>
      </c>
      <c r="H145" s="101"/>
    </row>
    <row r="146" spans="1:8" s="97" customFormat="1" ht="12">
      <c r="A146" s="90"/>
      <c r="B146" s="90"/>
      <c r="C146" s="91">
        <v>46190</v>
      </c>
      <c r="D146" s="92" t="s">
        <v>170</v>
      </c>
      <c r="E146" s="100" t="s">
        <v>171</v>
      </c>
      <c r="F146" s="106" t="s">
        <v>421</v>
      </c>
      <c r="G146" s="102">
        <v>99000</v>
      </c>
      <c r="H146" s="101"/>
    </row>
    <row r="147" spans="1:8" s="97" customFormat="1" ht="12">
      <c r="A147" s="90"/>
      <c r="B147" s="90"/>
      <c r="C147" s="91">
        <v>46190</v>
      </c>
      <c r="D147" s="92" t="s">
        <v>388</v>
      </c>
      <c r="E147" s="100" t="s">
        <v>389</v>
      </c>
      <c r="F147" s="106" t="s">
        <v>422</v>
      </c>
      <c r="G147" s="102">
        <v>6500000</v>
      </c>
      <c r="H147" s="101"/>
    </row>
    <row r="148" spans="1:8" s="97" customFormat="1" ht="12">
      <c r="A148" s="90"/>
      <c r="B148" s="90"/>
      <c r="C148" s="91">
        <v>46191</v>
      </c>
      <c r="D148" s="92" t="s">
        <v>423</v>
      </c>
      <c r="E148" s="100" t="s">
        <v>424</v>
      </c>
      <c r="F148" s="106" t="s">
        <v>425</v>
      </c>
      <c r="G148" s="102">
        <v>286000</v>
      </c>
      <c r="H148" s="101"/>
    </row>
    <row r="149" spans="1:8" s="97" customFormat="1" ht="12">
      <c r="A149" s="90"/>
      <c r="B149" s="90"/>
      <c r="C149" s="91">
        <v>46191</v>
      </c>
      <c r="D149" s="92" t="s">
        <v>185</v>
      </c>
      <c r="E149" s="100" t="s">
        <v>186</v>
      </c>
      <c r="F149" s="106" t="s">
        <v>187</v>
      </c>
      <c r="G149" s="102">
        <v>2786520</v>
      </c>
      <c r="H149" s="101"/>
    </row>
    <row r="150" spans="1:8" s="97" customFormat="1" ht="12">
      <c r="A150" s="90"/>
      <c r="B150" s="90"/>
      <c r="C150" s="91">
        <v>46191</v>
      </c>
      <c r="D150" s="92" t="s">
        <v>170</v>
      </c>
      <c r="E150" s="100" t="s">
        <v>171</v>
      </c>
      <c r="F150" s="106" t="s">
        <v>426</v>
      </c>
      <c r="G150" s="102">
        <v>209000</v>
      </c>
      <c r="H150" s="101"/>
    </row>
    <row r="151" spans="1:8" s="97" customFormat="1" ht="12">
      <c r="A151" s="90"/>
      <c r="B151" s="90"/>
      <c r="C151" s="91">
        <v>46192</v>
      </c>
      <c r="D151" s="92" t="s">
        <v>163</v>
      </c>
      <c r="E151" s="100" t="s">
        <v>164</v>
      </c>
      <c r="F151" s="106" t="s">
        <v>427</v>
      </c>
      <c r="G151" s="102">
        <v>135300</v>
      </c>
      <c r="H151" s="101"/>
    </row>
    <row r="152" spans="1:8" s="97" customFormat="1" ht="12">
      <c r="A152" s="90"/>
      <c r="B152" s="90"/>
      <c r="C152" s="91">
        <v>46192</v>
      </c>
      <c r="D152" s="92" t="s">
        <v>215</v>
      </c>
      <c r="E152" s="100" t="s">
        <v>216</v>
      </c>
      <c r="F152" s="106" t="s">
        <v>428</v>
      </c>
      <c r="G152" s="102">
        <v>231000</v>
      </c>
      <c r="H152" s="101"/>
    </row>
    <row r="153" spans="1:8" s="97" customFormat="1" ht="12">
      <c r="A153" s="90"/>
      <c r="B153" s="90"/>
      <c r="C153" s="91">
        <v>46192</v>
      </c>
      <c r="D153" s="92" t="s">
        <v>221</v>
      </c>
      <c r="E153" s="100" t="s">
        <v>222</v>
      </c>
      <c r="F153" s="106" t="s">
        <v>429</v>
      </c>
      <c r="G153" s="102">
        <v>388300</v>
      </c>
      <c r="H153" s="101"/>
    </row>
    <row r="154" spans="1:8" s="97" customFormat="1" ht="12">
      <c r="A154" s="90"/>
      <c r="B154" s="90"/>
      <c r="C154" s="91">
        <v>46192</v>
      </c>
      <c r="D154" s="92" t="s">
        <v>163</v>
      </c>
      <c r="E154" s="100" t="s">
        <v>164</v>
      </c>
      <c r="F154" s="106" t="s">
        <v>430</v>
      </c>
      <c r="G154" s="102">
        <v>902000</v>
      </c>
      <c r="H154" s="101"/>
    </row>
    <row r="155" spans="1:8" s="97" customFormat="1" ht="12">
      <c r="A155" s="90"/>
      <c r="B155" s="90"/>
      <c r="C155" s="91">
        <v>46192</v>
      </c>
      <c r="D155" s="92" t="s">
        <v>163</v>
      </c>
      <c r="E155" s="100" t="s">
        <v>164</v>
      </c>
      <c r="F155" s="106" t="s">
        <v>431</v>
      </c>
      <c r="G155" s="102">
        <v>407000</v>
      </c>
      <c r="H155" s="101"/>
    </row>
    <row r="156" spans="1:8" s="97" customFormat="1" ht="12">
      <c r="A156" s="90"/>
      <c r="B156" s="90"/>
      <c r="C156" s="91">
        <v>46192</v>
      </c>
      <c r="D156" s="92" t="s">
        <v>167</v>
      </c>
      <c r="E156" s="100" t="s">
        <v>168</v>
      </c>
      <c r="F156" s="106" t="s">
        <v>432</v>
      </c>
      <c r="G156" s="102">
        <v>858000</v>
      </c>
      <c r="H156" s="101"/>
    </row>
    <row r="157" spans="1:8" s="97" customFormat="1" ht="12">
      <c r="A157" s="90"/>
      <c r="B157" s="90"/>
      <c r="C157" s="91">
        <v>46193</v>
      </c>
      <c r="D157" s="92" t="s">
        <v>433</v>
      </c>
      <c r="E157" s="100" t="s">
        <v>434</v>
      </c>
      <c r="F157" s="106" t="s">
        <v>435</v>
      </c>
      <c r="G157" s="102">
        <v>969000</v>
      </c>
      <c r="H157" s="101"/>
    </row>
    <row r="158" spans="1:8" s="97" customFormat="1" ht="12">
      <c r="A158" s="90"/>
      <c r="B158" s="90"/>
      <c r="C158" s="91">
        <v>46193</v>
      </c>
      <c r="D158" s="92" t="s">
        <v>436</v>
      </c>
      <c r="E158" s="100" t="s">
        <v>437</v>
      </c>
      <c r="F158" s="106" t="s">
        <v>438</v>
      </c>
      <c r="G158" s="102">
        <v>363000</v>
      </c>
      <c r="H158" s="101"/>
    </row>
    <row r="159" spans="1:8" s="97" customFormat="1" ht="12">
      <c r="A159" s="90"/>
      <c r="B159" s="90"/>
      <c r="C159" s="91">
        <v>46193</v>
      </c>
      <c r="D159" s="92" t="s">
        <v>439</v>
      </c>
      <c r="E159" s="100" t="s">
        <v>440</v>
      </c>
      <c r="F159" s="106" t="s">
        <v>441</v>
      </c>
      <c r="G159" s="102">
        <v>258500</v>
      </c>
      <c r="H159" s="101"/>
    </row>
    <row r="160" spans="1:8" s="97" customFormat="1" ht="12">
      <c r="A160" s="90"/>
      <c r="B160" s="90"/>
      <c r="C160" s="91">
        <v>46193</v>
      </c>
      <c r="D160" s="92" t="s">
        <v>442</v>
      </c>
      <c r="E160" s="100" t="s">
        <v>443</v>
      </c>
      <c r="F160" s="106" t="s">
        <v>444</v>
      </c>
      <c r="G160" s="102">
        <v>1650000</v>
      </c>
      <c r="H160" s="101"/>
    </row>
    <row r="161" spans="1:8" s="97" customFormat="1" ht="12">
      <c r="A161" s="90"/>
      <c r="B161" s="90"/>
      <c r="C161" s="91">
        <v>46193</v>
      </c>
      <c r="D161" s="92" t="s">
        <v>445</v>
      </c>
      <c r="E161" s="100" t="s">
        <v>446</v>
      </c>
      <c r="F161" s="106" t="s">
        <v>447</v>
      </c>
      <c r="G161" s="102">
        <v>264000</v>
      </c>
      <c r="H161" s="101"/>
    </row>
    <row r="162" spans="1:8" s="97" customFormat="1" ht="12">
      <c r="A162" s="90"/>
      <c r="B162" s="90"/>
      <c r="C162" s="91">
        <v>46195</v>
      </c>
      <c r="D162" s="92" t="s">
        <v>448</v>
      </c>
      <c r="E162" s="100" t="s">
        <v>449</v>
      </c>
      <c r="F162" s="106" t="s">
        <v>450</v>
      </c>
      <c r="G162" s="102">
        <v>57910</v>
      </c>
      <c r="H162" s="101"/>
    </row>
    <row r="163" spans="1:8" s="97" customFormat="1" ht="12">
      <c r="A163" s="90"/>
      <c r="B163" s="90"/>
      <c r="C163" s="91">
        <v>46195</v>
      </c>
      <c r="D163" s="92" t="s">
        <v>326</v>
      </c>
      <c r="E163" s="100" t="s">
        <v>327</v>
      </c>
      <c r="F163" s="106" t="s">
        <v>451</v>
      </c>
      <c r="G163" s="102">
        <v>209000</v>
      </c>
      <c r="H163" s="101"/>
    </row>
    <row r="164" spans="1:8" s="97" customFormat="1" ht="12">
      <c r="A164" s="90"/>
      <c r="B164" s="90"/>
      <c r="C164" s="91">
        <v>46195</v>
      </c>
      <c r="D164" s="92" t="s">
        <v>452</v>
      </c>
      <c r="E164" s="100" t="s">
        <v>453</v>
      </c>
      <c r="F164" s="106" t="s">
        <v>454</v>
      </c>
      <c r="G164" s="102">
        <v>649000</v>
      </c>
      <c r="H164" s="101"/>
    </row>
    <row r="165" spans="1:8" s="97" customFormat="1" ht="12">
      <c r="A165" s="90"/>
      <c r="B165" s="90"/>
      <c r="C165" s="91">
        <v>46195</v>
      </c>
      <c r="D165" s="92" t="s">
        <v>455</v>
      </c>
      <c r="E165" s="100" t="s">
        <v>456</v>
      </c>
      <c r="F165" s="106" t="s">
        <v>457</v>
      </c>
      <c r="G165" s="102">
        <v>143220</v>
      </c>
      <c r="H165" s="101"/>
    </row>
    <row r="166" spans="1:8" s="97" customFormat="1" ht="12">
      <c r="A166" s="90"/>
      <c r="B166" s="90"/>
      <c r="C166" s="91">
        <v>46195</v>
      </c>
      <c r="D166" s="92" t="s">
        <v>330</v>
      </c>
      <c r="E166" s="100" t="s">
        <v>331</v>
      </c>
      <c r="F166" s="106" t="s">
        <v>458</v>
      </c>
      <c r="G166" s="102">
        <v>121000</v>
      </c>
      <c r="H166" s="101"/>
    </row>
    <row r="167" spans="1:8" s="97" customFormat="1" ht="12">
      <c r="A167" s="90"/>
      <c r="B167" s="90"/>
      <c r="C167" s="91">
        <v>46195</v>
      </c>
      <c r="D167" s="92" t="s">
        <v>459</v>
      </c>
      <c r="E167" s="100" t="s">
        <v>460</v>
      </c>
      <c r="F167" s="106" t="s">
        <v>461</v>
      </c>
      <c r="G167" s="102">
        <v>924000</v>
      </c>
      <c r="H167" s="101"/>
    </row>
    <row r="168" spans="1:8" s="97" customFormat="1" ht="12">
      <c r="A168" s="90"/>
      <c r="B168" s="90"/>
      <c r="C168" s="91">
        <v>46195</v>
      </c>
      <c r="D168" s="92" t="s">
        <v>462</v>
      </c>
      <c r="E168" s="100" t="s">
        <v>463</v>
      </c>
      <c r="F168" s="106" t="s">
        <v>464</v>
      </c>
      <c r="G168" s="102">
        <v>4397360</v>
      </c>
      <c r="H168" s="101"/>
    </row>
    <row r="169" spans="1:8" s="97" customFormat="1" ht="12">
      <c r="A169" s="90"/>
      <c r="B169" s="90"/>
      <c r="C169" s="91">
        <v>46196</v>
      </c>
      <c r="D169" s="92" t="s">
        <v>142</v>
      </c>
      <c r="E169" s="100" t="s">
        <v>143</v>
      </c>
      <c r="F169" s="106" t="s">
        <v>465</v>
      </c>
      <c r="G169" s="102">
        <v>84800</v>
      </c>
      <c r="H169" s="101"/>
    </row>
    <row r="170" spans="1:8" s="97" customFormat="1" ht="12">
      <c r="A170" s="90"/>
      <c r="B170" s="90"/>
      <c r="C170" s="91">
        <v>46196</v>
      </c>
      <c r="D170" s="92" t="s">
        <v>224</v>
      </c>
      <c r="E170" s="100" t="s">
        <v>225</v>
      </c>
      <c r="F170" s="106" t="s">
        <v>466</v>
      </c>
      <c r="G170" s="102">
        <v>220000</v>
      </c>
      <c r="H170" s="101"/>
    </row>
    <row r="171" spans="1:8" s="97" customFormat="1" ht="12">
      <c r="A171" s="90"/>
      <c r="B171" s="90"/>
      <c r="C171" s="91">
        <v>46196</v>
      </c>
      <c r="D171" s="92" t="s">
        <v>326</v>
      </c>
      <c r="E171" s="100" t="s">
        <v>327</v>
      </c>
      <c r="F171" s="106" t="s">
        <v>467</v>
      </c>
      <c r="G171" s="102">
        <v>242000</v>
      </c>
      <c r="H171" s="101"/>
    </row>
    <row r="172" spans="1:8" s="97" customFormat="1" ht="12">
      <c r="A172" s="90"/>
      <c r="B172" s="90"/>
      <c r="C172" s="91">
        <v>46196</v>
      </c>
      <c r="D172" s="92" t="s">
        <v>468</v>
      </c>
      <c r="E172" s="100" t="s">
        <v>469</v>
      </c>
      <c r="F172" s="106" t="s">
        <v>470</v>
      </c>
      <c r="G172" s="102">
        <v>220000</v>
      </c>
      <c r="H172" s="101"/>
    </row>
    <row r="173" spans="1:8" s="97" customFormat="1" ht="12">
      <c r="A173" s="90"/>
      <c r="B173" s="90"/>
      <c r="C173" s="91">
        <v>46196</v>
      </c>
      <c r="D173" s="92" t="s">
        <v>354</v>
      </c>
      <c r="E173" s="100" t="s">
        <v>355</v>
      </c>
      <c r="F173" s="106" t="s">
        <v>471</v>
      </c>
      <c r="G173" s="102">
        <v>5394400</v>
      </c>
      <c r="H173" s="101"/>
    </row>
    <row r="174" spans="1:8" s="97" customFormat="1" ht="12">
      <c r="A174" s="90"/>
      <c r="B174" s="90"/>
      <c r="C174" s="91">
        <v>46197</v>
      </c>
      <c r="D174" s="92" t="s">
        <v>472</v>
      </c>
      <c r="E174" s="100" t="s">
        <v>473</v>
      </c>
      <c r="F174" s="106" t="s">
        <v>474</v>
      </c>
      <c r="G174" s="102">
        <v>69308</v>
      </c>
      <c r="H174" s="101"/>
    </row>
    <row r="175" spans="1:8" s="97" customFormat="1" ht="12">
      <c r="A175" s="90"/>
      <c r="B175" s="90"/>
      <c r="C175" s="91">
        <v>46197</v>
      </c>
      <c r="D175" s="92" t="s">
        <v>472</v>
      </c>
      <c r="E175" s="100" t="s">
        <v>473</v>
      </c>
      <c r="F175" s="106" t="s">
        <v>475</v>
      </c>
      <c r="G175" s="102">
        <v>3278</v>
      </c>
      <c r="H175" s="101"/>
    </row>
    <row r="176" spans="1:8" s="97" customFormat="1" ht="12">
      <c r="A176" s="90"/>
      <c r="B176" s="90"/>
      <c r="C176" s="91">
        <v>46197</v>
      </c>
      <c r="D176" s="92" t="s">
        <v>472</v>
      </c>
      <c r="E176" s="100" t="s">
        <v>473</v>
      </c>
      <c r="F176" s="106" t="s">
        <v>476</v>
      </c>
      <c r="G176" s="102">
        <v>9139903</v>
      </c>
      <c r="H176" s="101"/>
    </row>
    <row r="177" spans="1:8" s="97" customFormat="1" ht="12">
      <c r="A177" s="90"/>
      <c r="B177" s="90"/>
      <c r="C177" s="91">
        <v>46197</v>
      </c>
      <c r="D177" s="92" t="s">
        <v>477</v>
      </c>
      <c r="E177" s="100" t="s">
        <v>478</v>
      </c>
      <c r="F177" s="106" t="s">
        <v>479</v>
      </c>
      <c r="G177" s="102">
        <v>4620000</v>
      </c>
      <c r="H177" s="101"/>
    </row>
    <row r="178" spans="1:8" s="97" customFormat="1" ht="12">
      <c r="A178" s="90"/>
      <c r="B178" s="90"/>
      <c r="C178" s="91">
        <v>46197</v>
      </c>
      <c r="D178" s="92" t="s">
        <v>388</v>
      </c>
      <c r="E178" s="100" t="s">
        <v>389</v>
      </c>
      <c r="F178" s="106" t="s">
        <v>480</v>
      </c>
      <c r="G178" s="102">
        <v>77490</v>
      </c>
      <c r="H178" s="101"/>
    </row>
    <row r="179" spans="1:8" s="97" customFormat="1" ht="12">
      <c r="A179" s="90"/>
      <c r="B179" s="90"/>
      <c r="C179" s="91">
        <v>46197</v>
      </c>
      <c r="D179" s="92" t="s">
        <v>157</v>
      </c>
      <c r="E179" s="100" t="s">
        <v>158</v>
      </c>
      <c r="F179" s="106" t="s">
        <v>481</v>
      </c>
      <c r="G179" s="102">
        <v>6292000</v>
      </c>
      <c r="H179" s="101"/>
    </row>
    <row r="180" spans="1:8" s="97" customFormat="1" ht="12">
      <c r="A180" s="90"/>
      <c r="B180" s="90"/>
      <c r="C180" s="91">
        <v>46197</v>
      </c>
      <c r="D180" s="92" t="s">
        <v>418</v>
      </c>
      <c r="E180" s="100" t="s">
        <v>419</v>
      </c>
      <c r="F180" s="106" t="s">
        <v>482</v>
      </c>
      <c r="G180" s="102">
        <v>332310</v>
      </c>
      <c r="H180" s="101"/>
    </row>
    <row r="181" spans="1:8" s="97" customFormat="1" ht="12">
      <c r="A181" s="90"/>
      <c r="B181" s="90"/>
      <c r="C181" s="91">
        <v>46197</v>
      </c>
      <c r="D181" s="92" t="s">
        <v>370</v>
      </c>
      <c r="E181" s="100" t="s">
        <v>371</v>
      </c>
      <c r="F181" s="106" t="s">
        <v>483</v>
      </c>
      <c r="G181" s="102">
        <v>550000</v>
      </c>
      <c r="H181" s="101"/>
    </row>
    <row r="182" spans="1:8" s="97" customFormat="1" ht="12">
      <c r="A182" s="90"/>
      <c r="B182" s="90"/>
      <c r="C182" s="91">
        <v>46197</v>
      </c>
      <c r="D182" s="92" t="s">
        <v>212</v>
      </c>
      <c r="E182" s="100" t="s">
        <v>213</v>
      </c>
      <c r="F182" s="106" t="s">
        <v>484</v>
      </c>
      <c r="G182" s="102">
        <v>1078000</v>
      </c>
      <c r="H182" s="101"/>
    </row>
    <row r="183" spans="1:8" s="97" customFormat="1" ht="12">
      <c r="A183" s="90"/>
      <c r="B183" s="90"/>
      <c r="C183" s="91">
        <v>46197</v>
      </c>
      <c r="D183" s="92" t="s">
        <v>485</v>
      </c>
      <c r="E183" s="100" t="s">
        <v>486</v>
      </c>
      <c r="F183" s="106" t="s">
        <v>487</v>
      </c>
      <c r="G183" s="102">
        <v>330000</v>
      </c>
      <c r="H183" s="101"/>
    </row>
    <row r="184" spans="1:8" s="97" customFormat="1" ht="12">
      <c r="A184" s="90"/>
      <c r="B184" s="90"/>
      <c r="C184" s="91">
        <v>46197</v>
      </c>
      <c r="D184" s="92" t="s">
        <v>485</v>
      </c>
      <c r="E184" s="100" t="s">
        <v>486</v>
      </c>
      <c r="F184" s="106" t="s">
        <v>488</v>
      </c>
      <c r="G184" s="102">
        <v>894300</v>
      </c>
      <c r="H184" s="101"/>
    </row>
    <row r="185" spans="1:8" s="97" customFormat="1" ht="12">
      <c r="A185" s="90"/>
      <c r="B185" s="90"/>
      <c r="C185" s="91">
        <v>46197</v>
      </c>
      <c r="D185" s="92" t="s">
        <v>489</v>
      </c>
      <c r="E185" s="100" t="s">
        <v>490</v>
      </c>
      <c r="F185" s="106" t="s">
        <v>491</v>
      </c>
      <c r="G185" s="102">
        <v>5500000</v>
      </c>
      <c r="H185" s="101"/>
    </row>
    <row r="186" spans="1:8" s="97" customFormat="1" ht="12">
      <c r="A186" s="90"/>
      <c r="B186" s="90"/>
      <c r="C186" s="91">
        <v>46198</v>
      </c>
      <c r="D186" s="92" t="s">
        <v>472</v>
      </c>
      <c r="E186" s="100" t="s">
        <v>473</v>
      </c>
      <c r="F186" s="106" t="s">
        <v>474</v>
      </c>
      <c r="G186" s="102">
        <v>57582</v>
      </c>
      <c r="H186" s="101"/>
    </row>
    <row r="187" spans="1:8" s="97" customFormat="1" ht="12">
      <c r="A187" s="90"/>
      <c r="B187" s="90"/>
      <c r="C187" s="91">
        <v>46198</v>
      </c>
      <c r="D187" s="92" t="s">
        <v>472</v>
      </c>
      <c r="E187" s="100" t="s">
        <v>473</v>
      </c>
      <c r="F187" s="106" t="s">
        <v>475</v>
      </c>
      <c r="G187" s="102">
        <v>7130</v>
      </c>
      <c r="H187" s="101"/>
    </row>
    <row r="188" spans="1:8" s="97" customFormat="1" ht="12">
      <c r="A188" s="90"/>
      <c r="B188" s="90"/>
      <c r="C188" s="91">
        <v>46198</v>
      </c>
      <c r="D188" s="92" t="s">
        <v>472</v>
      </c>
      <c r="E188" s="100" t="s">
        <v>473</v>
      </c>
      <c r="F188" s="106" t="s">
        <v>476</v>
      </c>
      <c r="G188" s="102">
        <v>10918225</v>
      </c>
      <c r="H188" s="101"/>
    </row>
    <row r="189" spans="1:8" s="97" customFormat="1" ht="12">
      <c r="A189" s="90"/>
      <c r="B189" s="90"/>
      <c r="C189" s="91">
        <v>46198</v>
      </c>
      <c r="D189" s="92" t="s">
        <v>492</v>
      </c>
      <c r="E189" s="100" t="s">
        <v>493</v>
      </c>
      <c r="F189" s="106" t="s">
        <v>494</v>
      </c>
      <c r="G189" s="102">
        <v>12438800</v>
      </c>
      <c r="H189" s="101"/>
    </row>
    <row r="190" spans="1:8" s="97" customFormat="1" ht="12">
      <c r="A190" s="90"/>
      <c r="B190" s="90"/>
      <c r="C190" s="91">
        <v>46198</v>
      </c>
      <c r="D190" s="92" t="s">
        <v>495</v>
      </c>
      <c r="E190" s="100" t="s">
        <v>496</v>
      </c>
      <c r="F190" s="106" t="s">
        <v>497</v>
      </c>
      <c r="G190" s="102">
        <v>222440</v>
      </c>
      <c r="H190" s="101"/>
    </row>
    <row r="191" spans="1:8" s="97" customFormat="1" ht="12">
      <c r="A191" s="90"/>
      <c r="B191" s="90"/>
      <c r="C191" s="91">
        <v>46198</v>
      </c>
      <c r="D191" s="92" t="s">
        <v>495</v>
      </c>
      <c r="E191" s="100" t="s">
        <v>496</v>
      </c>
      <c r="F191" s="106" t="s">
        <v>498</v>
      </c>
      <c r="G191" s="102">
        <v>5350</v>
      </c>
      <c r="H191" s="101"/>
    </row>
    <row r="192" spans="1:8" s="97" customFormat="1" ht="12">
      <c r="A192" s="90"/>
      <c r="B192" s="90"/>
      <c r="C192" s="91">
        <v>46198</v>
      </c>
      <c r="D192" s="92" t="s">
        <v>221</v>
      </c>
      <c r="E192" s="100" t="s">
        <v>222</v>
      </c>
      <c r="F192" s="106" t="s">
        <v>499</v>
      </c>
      <c r="G192" s="102">
        <v>1010350</v>
      </c>
      <c r="H192" s="101"/>
    </row>
    <row r="193" spans="1:8" s="97" customFormat="1" ht="12">
      <c r="A193" s="90"/>
      <c r="B193" s="90"/>
      <c r="C193" s="91">
        <v>46198</v>
      </c>
      <c r="D193" s="92" t="s">
        <v>500</v>
      </c>
      <c r="E193" s="107" t="s">
        <v>501</v>
      </c>
      <c r="F193" s="106" t="s">
        <v>502</v>
      </c>
      <c r="G193" s="102">
        <v>2948000</v>
      </c>
      <c r="H193" s="101"/>
    </row>
    <row r="194" spans="1:8" s="97" customFormat="1" ht="12">
      <c r="A194" s="90"/>
      <c r="B194" s="90"/>
      <c r="C194" s="91">
        <v>46198</v>
      </c>
      <c r="D194" s="92" t="s">
        <v>314</v>
      </c>
      <c r="E194" s="100" t="s">
        <v>315</v>
      </c>
      <c r="F194" s="106" t="s">
        <v>503</v>
      </c>
      <c r="G194" s="102">
        <v>721600</v>
      </c>
      <c r="H194" s="101"/>
    </row>
    <row r="195" spans="1:8" s="97" customFormat="1" ht="12">
      <c r="A195" s="90"/>
      <c r="B195" s="90"/>
      <c r="C195" s="91">
        <v>46198</v>
      </c>
      <c r="D195" s="92" t="s">
        <v>279</v>
      </c>
      <c r="E195" s="100" t="s">
        <v>280</v>
      </c>
      <c r="F195" s="106" t="s">
        <v>504</v>
      </c>
      <c r="G195" s="102">
        <v>254800</v>
      </c>
      <c r="H195" s="101"/>
    </row>
    <row r="196" spans="1:8" s="97" customFormat="1" ht="12">
      <c r="A196" s="90"/>
      <c r="B196" s="90"/>
      <c r="C196" s="91">
        <v>46198</v>
      </c>
      <c r="D196" s="92" t="s">
        <v>505</v>
      </c>
      <c r="E196" s="100" t="s">
        <v>506</v>
      </c>
      <c r="F196" s="106" t="s">
        <v>507</v>
      </c>
      <c r="G196" s="102">
        <v>148500</v>
      </c>
      <c r="H196" s="101"/>
    </row>
    <row r="197" spans="1:8" s="97" customFormat="1" ht="12">
      <c r="A197" s="90"/>
      <c r="B197" s="90"/>
      <c r="C197" s="91">
        <v>46199</v>
      </c>
      <c r="D197" s="92" t="s">
        <v>418</v>
      </c>
      <c r="E197" s="100" t="s">
        <v>419</v>
      </c>
      <c r="F197" s="106" t="s">
        <v>508</v>
      </c>
      <c r="G197" s="102">
        <v>115500</v>
      </c>
      <c r="H197" s="101"/>
    </row>
    <row r="198" spans="1:8" s="97" customFormat="1" ht="12">
      <c r="A198" s="90"/>
      <c r="B198" s="90"/>
      <c r="C198" s="91">
        <v>46199</v>
      </c>
      <c r="D198" s="92" t="s">
        <v>509</v>
      </c>
      <c r="E198" s="100" t="s">
        <v>510</v>
      </c>
      <c r="F198" s="106" t="s">
        <v>511</v>
      </c>
      <c r="G198" s="102">
        <v>990000</v>
      </c>
      <c r="H198" s="101"/>
    </row>
    <row r="199" spans="1:8" s="97" customFormat="1" ht="12">
      <c r="A199" s="90"/>
      <c r="B199" s="90"/>
      <c r="C199" s="91">
        <v>46199</v>
      </c>
      <c r="D199" s="92" t="s">
        <v>512</v>
      </c>
      <c r="E199" s="100" t="s">
        <v>513</v>
      </c>
      <c r="F199" s="106" t="s">
        <v>514</v>
      </c>
      <c r="G199" s="102">
        <v>451060</v>
      </c>
      <c r="H199" s="101"/>
    </row>
    <row r="200" spans="1:8" s="97" customFormat="1" ht="12">
      <c r="A200" s="90"/>
      <c r="B200" s="90"/>
      <c r="C200" s="91">
        <v>46199</v>
      </c>
      <c r="D200" s="92" t="s">
        <v>253</v>
      </c>
      <c r="E200" s="100" t="s">
        <v>254</v>
      </c>
      <c r="F200" s="106" t="s">
        <v>515</v>
      </c>
      <c r="G200" s="102">
        <v>2178000</v>
      </c>
      <c r="H200" s="101"/>
    </row>
    <row r="201" spans="1:8" s="97" customFormat="1" ht="12">
      <c r="A201" s="90"/>
      <c r="B201" s="90"/>
      <c r="C201" s="91">
        <v>46199</v>
      </c>
      <c r="D201" s="92" t="s">
        <v>189</v>
      </c>
      <c r="E201" s="100" t="s">
        <v>190</v>
      </c>
      <c r="F201" s="106" t="s">
        <v>516</v>
      </c>
      <c r="G201" s="102">
        <v>4693700</v>
      </c>
      <c r="H201" s="101"/>
    </row>
    <row r="202" spans="1:8" s="97" customFormat="1" ht="12">
      <c r="A202" s="90"/>
      <c r="B202" s="90"/>
      <c r="C202" s="91">
        <v>46200</v>
      </c>
      <c r="D202" s="92" t="s">
        <v>517</v>
      </c>
      <c r="E202" s="100" t="s">
        <v>518</v>
      </c>
      <c r="F202" s="106" t="s">
        <v>519</v>
      </c>
      <c r="G202" s="102">
        <v>2607000</v>
      </c>
      <c r="H202" s="101"/>
    </row>
    <row r="203" spans="1:8" s="97" customFormat="1" ht="12">
      <c r="A203" s="90"/>
      <c r="B203" s="90"/>
      <c r="C203" s="91">
        <v>46201</v>
      </c>
      <c r="D203" s="92" t="s">
        <v>472</v>
      </c>
      <c r="E203" s="100" t="s">
        <v>473</v>
      </c>
      <c r="F203" s="106" t="s">
        <v>474</v>
      </c>
      <c r="G203" s="102">
        <v>85585</v>
      </c>
      <c r="H203" s="101"/>
    </row>
    <row r="204" spans="1:8" s="97" customFormat="1" ht="12">
      <c r="A204" s="90"/>
      <c r="B204" s="90"/>
      <c r="C204" s="91">
        <v>46201</v>
      </c>
      <c r="D204" s="92" t="s">
        <v>472</v>
      </c>
      <c r="E204" s="100" t="s">
        <v>473</v>
      </c>
      <c r="F204" s="106" t="s">
        <v>475</v>
      </c>
      <c r="G204" s="102">
        <v>17536</v>
      </c>
      <c r="H204" s="101"/>
    </row>
    <row r="205" spans="1:8" s="97" customFormat="1" ht="12">
      <c r="A205" s="90"/>
      <c r="B205" s="90"/>
      <c r="C205" s="91">
        <v>46201</v>
      </c>
      <c r="D205" s="92" t="s">
        <v>472</v>
      </c>
      <c r="E205" s="100" t="s">
        <v>473</v>
      </c>
      <c r="F205" s="106" t="s">
        <v>476</v>
      </c>
      <c r="G205" s="102">
        <v>10329519</v>
      </c>
      <c r="H205" s="101"/>
    </row>
    <row r="206" spans="1:8" s="97" customFormat="1" ht="12">
      <c r="A206" s="90"/>
      <c r="B206" s="90"/>
      <c r="C206" s="91">
        <v>46201</v>
      </c>
      <c r="D206" s="92" t="s">
        <v>520</v>
      </c>
      <c r="E206" s="100" t="s">
        <v>521</v>
      </c>
      <c r="F206" s="106" t="s">
        <v>522</v>
      </c>
      <c r="G206" s="102">
        <v>7332310</v>
      </c>
      <c r="H206" s="101"/>
    </row>
    <row r="207" spans="1:8" s="97" customFormat="1" ht="12">
      <c r="A207" s="90"/>
      <c r="B207" s="90"/>
      <c r="C207" s="91">
        <v>46201</v>
      </c>
      <c r="D207" s="92" t="s">
        <v>520</v>
      </c>
      <c r="E207" s="100" t="s">
        <v>521</v>
      </c>
      <c r="F207" s="106" t="s">
        <v>523</v>
      </c>
      <c r="G207" s="102">
        <v>14057260</v>
      </c>
      <c r="H207" s="101"/>
    </row>
    <row r="208" spans="1:8" s="97" customFormat="1" ht="12">
      <c r="A208" s="90"/>
      <c r="B208" s="90"/>
      <c r="C208" s="91">
        <v>46202</v>
      </c>
      <c r="D208" s="92" t="s">
        <v>472</v>
      </c>
      <c r="E208" s="100" t="s">
        <v>473</v>
      </c>
      <c r="F208" s="106" t="s">
        <v>474</v>
      </c>
      <c r="G208" s="102">
        <v>68394</v>
      </c>
      <c r="H208" s="101"/>
    </row>
    <row r="209" spans="1:8" s="97" customFormat="1" ht="12">
      <c r="A209" s="90"/>
      <c r="B209" s="90"/>
      <c r="C209" s="91">
        <v>46202</v>
      </c>
      <c r="D209" s="92" t="s">
        <v>472</v>
      </c>
      <c r="E209" s="100" t="s">
        <v>473</v>
      </c>
      <c r="F209" s="106" t="s">
        <v>476</v>
      </c>
      <c r="G209" s="102">
        <v>8320751</v>
      </c>
      <c r="H209" s="101"/>
    </row>
    <row r="210" spans="1:8" s="97" customFormat="1" ht="12">
      <c r="A210" s="90"/>
      <c r="B210" s="90"/>
      <c r="C210" s="91">
        <v>46202</v>
      </c>
      <c r="D210" s="92" t="s">
        <v>524</v>
      </c>
      <c r="E210" s="107" t="s">
        <v>525</v>
      </c>
      <c r="F210" s="106" t="s">
        <v>526</v>
      </c>
      <c r="G210" s="102">
        <v>10605000</v>
      </c>
      <c r="H210" s="101"/>
    </row>
    <row r="211" spans="1:8" s="97" customFormat="1" ht="12">
      <c r="A211" s="90"/>
      <c r="B211" s="90"/>
      <c r="C211" s="91">
        <v>46202</v>
      </c>
      <c r="D211" s="92" t="s">
        <v>401</v>
      </c>
      <c r="E211" s="107" t="s">
        <v>402</v>
      </c>
      <c r="F211" s="106" t="s">
        <v>527</v>
      </c>
      <c r="G211" s="102">
        <v>770000</v>
      </c>
      <c r="H211" s="101"/>
    </row>
    <row r="212" spans="1:8" s="97" customFormat="1" ht="12">
      <c r="A212" s="90"/>
      <c r="B212" s="90"/>
      <c r="C212" s="91">
        <v>46202</v>
      </c>
      <c r="D212" s="92" t="s">
        <v>330</v>
      </c>
      <c r="E212" s="100" t="s">
        <v>331</v>
      </c>
      <c r="F212" s="106" t="s">
        <v>528</v>
      </c>
      <c r="G212" s="102">
        <v>143000</v>
      </c>
      <c r="H212" s="101"/>
    </row>
    <row r="213" spans="1:8" s="97" customFormat="1" ht="12">
      <c r="A213" s="90"/>
      <c r="B213" s="90"/>
      <c r="C213" s="91">
        <v>46202</v>
      </c>
      <c r="D213" s="92" t="s">
        <v>529</v>
      </c>
      <c r="E213" s="100" t="s">
        <v>530</v>
      </c>
      <c r="F213" s="106" t="s">
        <v>531</v>
      </c>
      <c r="G213" s="102">
        <v>865050</v>
      </c>
      <c r="H213" s="101"/>
    </row>
    <row r="214" spans="1:8" s="97" customFormat="1" ht="12">
      <c r="A214" s="90"/>
      <c r="B214" s="90"/>
      <c r="C214" s="91">
        <v>46202</v>
      </c>
      <c r="D214" s="92" t="s">
        <v>268</v>
      </c>
      <c r="E214" s="100" t="s">
        <v>269</v>
      </c>
      <c r="F214" s="106" t="s">
        <v>532</v>
      </c>
      <c r="G214" s="102">
        <v>30800</v>
      </c>
      <c r="H214" s="101"/>
    </row>
    <row r="215" spans="1:8" s="97" customFormat="1" ht="12">
      <c r="A215" s="90"/>
      <c r="B215" s="90"/>
      <c r="C215" s="91">
        <v>46202</v>
      </c>
      <c r="D215" s="92" t="s">
        <v>533</v>
      </c>
      <c r="E215" s="100" t="s">
        <v>534</v>
      </c>
      <c r="F215" s="106" t="s">
        <v>535</v>
      </c>
      <c r="G215" s="102">
        <v>440000</v>
      </c>
      <c r="H215" s="101"/>
    </row>
    <row r="216" spans="1:8" s="97" customFormat="1" ht="12">
      <c r="A216" s="90"/>
      <c r="B216" s="90"/>
      <c r="C216" s="91">
        <v>46202</v>
      </c>
      <c r="D216" s="92" t="s">
        <v>536</v>
      </c>
      <c r="E216" s="100" t="s">
        <v>537</v>
      </c>
      <c r="F216" s="106" t="s">
        <v>538</v>
      </c>
      <c r="G216" s="102">
        <v>879998</v>
      </c>
      <c r="H216" s="101"/>
    </row>
    <row r="217" spans="1:8" s="97" customFormat="1" ht="12">
      <c r="A217" s="90"/>
      <c r="B217" s="90"/>
      <c r="C217" s="91">
        <v>46202</v>
      </c>
      <c r="D217" s="92" t="s">
        <v>170</v>
      </c>
      <c r="E217" s="100" t="s">
        <v>171</v>
      </c>
      <c r="F217" s="106" t="s">
        <v>539</v>
      </c>
      <c r="G217" s="102">
        <v>148500</v>
      </c>
      <c r="H217" s="101"/>
    </row>
    <row r="218" spans="1:8" s="97" customFormat="1" ht="12">
      <c r="A218" s="90"/>
      <c r="B218" s="90"/>
      <c r="C218" s="91">
        <v>46203</v>
      </c>
      <c r="D218" s="92" t="s">
        <v>472</v>
      </c>
      <c r="E218" s="100" t="s">
        <v>473</v>
      </c>
      <c r="F218" s="106" t="s">
        <v>474</v>
      </c>
      <c r="G218" s="102">
        <v>57540</v>
      </c>
      <c r="H218" s="101"/>
    </row>
    <row r="219" spans="1:8" s="97" customFormat="1" ht="12">
      <c r="A219" s="90"/>
      <c r="B219" s="90"/>
      <c r="C219" s="91">
        <v>46203</v>
      </c>
      <c r="D219" s="92" t="s">
        <v>472</v>
      </c>
      <c r="E219" s="100" t="s">
        <v>473</v>
      </c>
      <c r="F219" s="106" t="s">
        <v>475</v>
      </c>
      <c r="G219" s="102">
        <v>5717</v>
      </c>
      <c r="H219" s="101"/>
    </row>
    <row r="220" spans="1:8" s="97" customFormat="1" ht="12">
      <c r="A220" s="90"/>
      <c r="B220" s="90"/>
      <c r="C220" s="91">
        <v>46203</v>
      </c>
      <c r="D220" s="92" t="s">
        <v>472</v>
      </c>
      <c r="E220" s="100" t="s">
        <v>473</v>
      </c>
      <c r="F220" s="106" t="s">
        <v>476</v>
      </c>
      <c r="G220" s="102">
        <v>7053023</v>
      </c>
      <c r="H220" s="101"/>
    </row>
    <row r="221" spans="1:8" s="97" customFormat="1" ht="12">
      <c r="A221" s="90"/>
      <c r="B221" s="90"/>
      <c r="C221" s="91">
        <v>46203</v>
      </c>
      <c r="D221" s="92" t="s">
        <v>540</v>
      </c>
      <c r="E221" s="100" t="s">
        <v>541</v>
      </c>
      <c r="F221" s="106" t="s">
        <v>542</v>
      </c>
      <c r="G221" s="102">
        <v>77600</v>
      </c>
      <c r="H221" s="101"/>
    </row>
    <row r="222" spans="1:8" s="97" customFormat="1" ht="12">
      <c r="A222" s="90"/>
      <c r="B222" s="90"/>
      <c r="C222" s="91">
        <v>46203</v>
      </c>
      <c r="D222" s="92" t="s">
        <v>540</v>
      </c>
      <c r="E222" s="100" t="s">
        <v>541</v>
      </c>
      <c r="F222" s="106" t="s">
        <v>543</v>
      </c>
      <c r="G222" s="102">
        <v>200000</v>
      </c>
      <c r="H222" s="101"/>
    </row>
    <row r="223" spans="1:8" s="97" customFormat="1" ht="12">
      <c r="A223" s="90"/>
      <c r="B223" s="90"/>
      <c r="C223" s="91">
        <v>46203</v>
      </c>
      <c r="D223" s="92" t="s">
        <v>540</v>
      </c>
      <c r="E223" s="100" t="s">
        <v>541</v>
      </c>
      <c r="F223" s="106" t="s">
        <v>544</v>
      </c>
      <c r="G223" s="102">
        <v>900</v>
      </c>
      <c r="H223" s="101"/>
    </row>
    <row r="224" spans="1:8" s="97" customFormat="1" ht="12">
      <c r="A224" s="90"/>
      <c r="B224" s="90"/>
      <c r="C224" s="91">
        <v>46203</v>
      </c>
      <c r="D224" s="92" t="s">
        <v>545</v>
      </c>
      <c r="E224" s="100" t="s">
        <v>546</v>
      </c>
      <c r="F224" s="106" t="s">
        <v>547</v>
      </c>
      <c r="G224" s="102">
        <v>3659140</v>
      </c>
      <c r="H224" s="101"/>
    </row>
    <row r="225" spans="1:8" s="97" customFormat="1" ht="12">
      <c r="A225" s="90"/>
      <c r="B225" s="90"/>
      <c r="C225" s="91">
        <v>46203</v>
      </c>
      <c r="D225" s="92" t="s">
        <v>545</v>
      </c>
      <c r="E225" s="100" t="s">
        <v>546</v>
      </c>
      <c r="F225" s="106" t="s">
        <v>548</v>
      </c>
      <c r="G225" s="102">
        <v>1548960</v>
      </c>
      <c r="H225" s="101"/>
    </row>
    <row r="226" spans="1:8" s="97" customFormat="1" ht="12">
      <c r="A226" s="90"/>
      <c r="B226" s="90"/>
      <c r="C226" s="91">
        <v>46203</v>
      </c>
      <c r="D226" s="92" t="s">
        <v>545</v>
      </c>
      <c r="E226" s="100" t="s">
        <v>546</v>
      </c>
      <c r="F226" s="106" t="s">
        <v>549</v>
      </c>
      <c r="G226" s="102">
        <v>4743530</v>
      </c>
      <c r="H226" s="101"/>
    </row>
    <row r="227" spans="1:8" s="97" customFormat="1" ht="12">
      <c r="A227" s="90"/>
      <c r="B227" s="90"/>
      <c r="C227" s="91">
        <v>46203</v>
      </c>
      <c r="D227" s="92" t="s">
        <v>545</v>
      </c>
      <c r="E227" s="100" t="s">
        <v>546</v>
      </c>
      <c r="F227" s="106" t="s">
        <v>550</v>
      </c>
      <c r="G227" s="102">
        <v>569170</v>
      </c>
      <c r="H227" s="101"/>
    </row>
    <row r="228" spans="1:8" s="97" customFormat="1" ht="12">
      <c r="A228" s="90"/>
      <c r="B228" s="90"/>
      <c r="C228" s="91">
        <v>46203</v>
      </c>
      <c r="D228" s="92" t="s">
        <v>551</v>
      </c>
      <c r="E228" s="100" t="s">
        <v>552</v>
      </c>
      <c r="F228" s="106" t="s">
        <v>553</v>
      </c>
      <c r="G228" s="102">
        <v>59700</v>
      </c>
      <c r="H228" s="101"/>
    </row>
    <row r="229" spans="1:8" s="97" customFormat="1" ht="12">
      <c r="A229" s="90"/>
      <c r="B229" s="90"/>
      <c r="C229" s="91">
        <v>46203</v>
      </c>
      <c r="D229" s="92" t="s">
        <v>554</v>
      </c>
      <c r="E229" s="100" t="s">
        <v>555</v>
      </c>
      <c r="F229" s="106" t="s">
        <v>556</v>
      </c>
      <c r="G229" s="102">
        <v>1081065</v>
      </c>
      <c r="H229" s="101"/>
    </row>
    <row r="230" spans="1:8" s="97" customFormat="1" ht="12">
      <c r="A230" s="90"/>
      <c r="B230" s="90"/>
      <c r="C230" s="91">
        <v>46203</v>
      </c>
      <c r="D230" s="92" t="s">
        <v>557</v>
      </c>
      <c r="E230" s="100" t="s">
        <v>558</v>
      </c>
      <c r="F230" s="106" t="s">
        <v>559</v>
      </c>
      <c r="G230" s="102">
        <v>31680</v>
      </c>
      <c r="H230" s="101"/>
    </row>
    <row r="231" spans="1:8" s="97" customFormat="1" ht="12">
      <c r="A231" s="90"/>
      <c r="B231" s="90"/>
      <c r="C231" s="91">
        <v>46203</v>
      </c>
      <c r="D231" s="92" t="s">
        <v>560</v>
      </c>
      <c r="E231" s="100" t="s">
        <v>561</v>
      </c>
      <c r="F231" s="106" t="s">
        <v>562</v>
      </c>
      <c r="G231" s="102">
        <v>108112</v>
      </c>
      <c r="H231" s="101"/>
    </row>
    <row r="232" spans="1:8" s="97" customFormat="1" ht="12">
      <c r="A232" s="90"/>
      <c r="B232" s="90"/>
      <c r="C232" s="91">
        <v>46203</v>
      </c>
      <c r="D232" s="92" t="s">
        <v>563</v>
      </c>
      <c r="E232" s="100" t="s">
        <v>564</v>
      </c>
      <c r="F232" s="106" t="s">
        <v>565</v>
      </c>
      <c r="G232" s="102">
        <v>114460</v>
      </c>
      <c r="H232" s="101"/>
    </row>
    <row r="233" spans="1:8" s="97" customFormat="1" ht="12">
      <c r="A233" s="90"/>
      <c r="B233" s="90"/>
      <c r="C233" s="91">
        <v>46203</v>
      </c>
      <c r="D233" s="92" t="s">
        <v>566</v>
      </c>
      <c r="E233" s="100" t="s">
        <v>567</v>
      </c>
      <c r="F233" s="106" t="s">
        <v>568</v>
      </c>
      <c r="G233" s="102">
        <v>319446</v>
      </c>
      <c r="H233" s="101"/>
    </row>
    <row r="234" spans="1:8" s="97" customFormat="1" ht="12">
      <c r="A234" s="90"/>
      <c r="B234" s="90"/>
      <c r="C234" s="91">
        <v>46203</v>
      </c>
      <c r="D234" s="92" t="s">
        <v>569</v>
      </c>
      <c r="E234" s="100" t="s">
        <v>570</v>
      </c>
      <c r="F234" s="106" t="s">
        <v>571</v>
      </c>
      <c r="G234" s="102">
        <v>299811</v>
      </c>
      <c r="H234" s="101"/>
    </row>
    <row r="235" spans="1:8" s="97" customFormat="1" ht="12">
      <c r="A235" s="90"/>
      <c r="B235" s="90"/>
      <c r="C235" s="91">
        <v>46203</v>
      </c>
      <c r="D235" s="92" t="s">
        <v>572</v>
      </c>
      <c r="E235" s="100" t="s">
        <v>573</v>
      </c>
      <c r="F235" s="106" t="s">
        <v>574</v>
      </c>
      <c r="G235" s="102">
        <v>46600</v>
      </c>
      <c r="H235" s="101"/>
    </row>
    <row r="236" spans="1:8" s="97" customFormat="1" ht="12">
      <c r="A236" s="90"/>
      <c r="B236" s="90"/>
      <c r="C236" s="91">
        <v>46203</v>
      </c>
      <c r="D236" s="92" t="s">
        <v>575</v>
      </c>
      <c r="E236" s="100" t="s">
        <v>576</v>
      </c>
      <c r="F236" s="106" t="s">
        <v>577</v>
      </c>
      <c r="G236" s="102">
        <v>2250</v>
      </c>
      <c r="H236" s="101"/>
    </row>
    <row r="237" spans="1:8" s="97" customFormat="1" ht="12">
      <c r="A237" s="90"/>
      <c r="B237" s="90"/>
      <c r="C237" s="91">
        <v>46203</v>
      </c>
      <c r="D237" s="92" t="s">
        <v>578</v>
      </c>
      <c r="E237" s="100" t="s">
        <v>579</v>
      </c>
      <c r="F237" s="106" t="s">
        <v>580</v>
      </c>
      <c r="G237" s="102">
        <v>4000</v>
      </c>
      <c r="H237" s="101"/>
    </row>
    <row r="238" spans="1:8" s="97" customFormat="1" ht="12">
      <c r="A238" s="90"/>
      <c r="B238" s="90"/>
      <c r="C238" s="91">
        <v>46203</v>
      </c>
      <c r="D238" s="92" t="s">
        <v>581</v>
      </c>
      <c r="E238" s="100" t="s">
        <v>582</v>
      </c>
      <c r="F238" s="106" t="s">
        <v>583</v>
      </c>
      <c r="G238" s="102">
        <v>423892</v>
      </c>
      <c r="H238" s="101"/>
    </row>
    <row r="239" spans="1:8" s="97" customFormat="1" ht="12">
      <c r="A239" s="90"/>
      <c r="B239" s="90"/>
      <c r="C239" s="91">
        <v>46203</v>
      </c>
      <c r="D239" s="92" t="s">
        <v>584</v>
      </c>
      <c r="E239" s="100" t="s">
        <v>585</v>
      </c>
      <c r="F239" s="106" t="s">
        <v>586</v>
      </c>
      <c r="G239" s="102">
        <v>324260</v>
      </c>
      <c r="H239" s="101"/>
    </row>
    <row r="240" spans="1:8" s="97" customFormat="1" ht="12">
      <c r="A240" s="90"/>
      <c r="B240" s="90"/>
      <c r="C240" s="91">
        <v>46203</v>
      </c>
      <c r="D240" s="92" t="s">
        <v>540</v>
      </c>
      <c r="E240" s="100" t="s">
        <v>541</v>
      </c>
      <c r="F240" s="106" t="s">
        <v>587</v>
      </c>
      <c r="G240" s="102">
        <v>2000</v>
      </c>
      <c r="H240" s="101"/>
    </row>
    <row r="241" spans="1:8" s="97" customFormat="1" ht="12">
      <c r="A241" s="90"/>
      <c r="B241" s="90"/>
      <c r="C241" s="91">
        <v>46203</v>
      </c>
      <c r="D241" s="92" t="s">
        <v>247</v>
      </c>
      <c r="E241" s="100" t="s">
        <v>248</v>
      </c>
      <c r="F241" s="106" t="s">
        <v>588</v>
      </c>
      <c r="G241" s="102">
        <v>100000</v>
      </c>
      <c r="H241" s="101"/>
    </row>
    <row r="242" spans="1:8" s="97" customFormat="1" ht="12">
      <c r="A242" s="90"/>
      <c r="B242" s="90"/>
      <c r="C242" s="91">
        <v>46203</v>
      </c>
      <c r="D242" s="92" t="s">
        <v>589</v>
      </c>
      <c r="E242" s="100" t="s">
        <v>590</v>
      </c>
      <c r="F242" s="106" t="s">
        <v>591</v>
      </c>
      <c r="G242" s="102">
        <v>10010</v>
      </c>
      <c r="H242" s="101"/>
    </row>
    <row r="243" spans="1:8" s="97" customFormat="1" ht="12">
      <c r="A243" s="90"/>
      <c r="B243" s="90"/>
      <c r="C243" s="91">
        <v>46203</v>
      </c>
      <c r="D243" s="92" t="s">
        <v>589</v>
      </c>
      <c r="E243" s="100" t="s">
        <v>590</v>
      </c>
      <c r="F243" s="106" t="s">
        <v>592</v>
      </c>
      <c r="G243" s="102">
        <v>1760</v>
      </c>
      <c r="H243" s="101"/>
    </row>
    <row r="244" spans="1:8" s="97" customFormat="1" ht="12">
      <c r="A244" s="90"/>
      <c r="B244" s="90"/>
      <c r="C244" s="91">
        <v>46203</v>
      </c>
      <c r="D244" s="92" t="s">
        <v>593</v>
      </c>
      <c r="E244" s="100" t="s">
        <v>594</v>
      </c>
      <c r="F244" s="106" t="s">
        <v>595</v>
      </c>
      <c r="G244" s="102">
        <v>16541910</v>
      </c>
      <c r="H244" s="101"/>
    </row>
    <row r="245" spans="1:8" s="97" customFormat="1" ht="12">
      <c r="A245" s="90"/>
      <c r="B245" s="90"/>
      <c r="C245" s="91">
        <v>46203</v>
      </c>
      <c r="D245" s="92" t="s">
        <v>596</v>
      </c>
      <c r="E245" s="100" t="s">
        <v>597</v>
      </c>
      <c r="F245" s="106" t="s">
        <v>598</v>
      </c>
      <c r="G245" s="102">
        <v>4548500</v>
      </c>
      <c r="H245" s="101"/>
    </row>
    <row r="246" spans="1:8" s="97" customFormat="1" ht="12">
      <c r="A246" s="90"/>
      <c r="B246" s="90"/>
      <c r="C246" s="91">
        <v>46203</v>
      </c>
      <c r="D246" s="92" t="s">
        <v>599</v>
      </c>
      <c r="E246" s="100" t="s">
        <v>600</v>
      </c>
      <c r="F246" s="106" t="s">
        <v>601</v>
      </c>
      <c r="G246" s="102">
        <v>330000</v>
      </c>
      <c r="H246" s="101"/>
    </row>
    <row r="247" spans="1:8" s="97" customFormat="1" ht="12">
      <c r="A247" s="90"/>
      <c r="B247" s="90"/>
      <c r="C247" s="91">
        <v>46203</v>
      </c>
      <c r="D247" s="92" t="s">
        <v>333</v>
      </c>
      <c r="E247" s="100" t="s">
        <v>334</v>
      </c>
      <c r="F247" s="106" t="s">
        <v>602</v>
      </c>
      <c r="G247" s="102">
        <v>242000</v>
      </c>
      <c r="H247" s="101"/>
    </row>
    <row r="248" spans="1:8" s="97" customFormat="1" ht="12">
      <c r="A248" s="90"/>
      <c r="B248" s="90"/>
      <c r="C248" s="91">
        <v>46203</v>
      </c>
      <c r="D248" s="92" t="s">
        <v>603</v>
      </c>
      <c r="E248" s="100" t="s">
        <v>604</v>
      </c>
      <c r="F248" s="106" t="s">
        <v>602</v>
      </c>
      <c r="G248" s="102">
        <v>242000</v>
      </c>
      <c r="H248" s="101"/>
    </row>
    <row r="249" spans="1:8" s="97" customFormat="1" ht="12">
      <c r="A249" s="90"/>
      <c r="B249" s="90"/>
      <c r="C249" s="91">
        <v>46203</v>
      </c>
      <c r="D249" s="92" t="s">
        <v>170</v>
      </c>
      <c r="E249" s="100" t="s">
        <v>171</v>
      </c>
      <c r="F249" s="106" t="s">
        <v>605</v>
      </c>
      <c r="G249" s="102">
        <v>231000</v>
      </c>
      <c r="H249" s="101"/>
    </row>
    <row r="250" spans="1:8" s="97" customFormat="1" ht="12">
      <c r="A250" s="90"/>
      <c r="B250" s="90"/>
      <c r="C250" s="91">
        <v>46203</v>
      </c>
      <c r="D250" s="92" t="s">
        <v>606</v>
      </c>
      <c r="E250" s="100" t="s">
        <v>607</v>
      </c>
      <c r="F250" s="106" t="s">
        <v>608</v>
      </c>
      <c r="G250" s="102">
        <v>174900</v>
      </c>
      <c r="H250" s="101"/>
    </row>
    <row r="251" spans="1:8" s="97" customFormat="1" ht="12">
      <c r="A251" s="90"/>
      <c r="B251" s="90"/>
      <c r="C251" s="91">
        <v>46203</v>
      </c>
      <c r="D251" s="92" t="s">
        <v>609</v>
      </c>
      <c r="E251" s="100" t="s">
        <v>610</v>
      </c>
      <c r="F251" s="106" t="s">
        <v>611</v>
      </c>
      <c r="G251" s="102">
        <v>118884</v>
      </c>
      <c r="H251" s="101"/>
    </row>
    <row r="252" spans="1:8" s="97" customFormat="1" ht="12">
      <c r="A252" s="90"/>
      <c r="B252" s="90"/>
      <c r="C252" s="91">
        <v>46203</v>
      </c>
      <c r="D252" s="92" t="s">
        <v>271</v>
      </c>
      <c r="E252" s="100" t="s">
        <v>272</v>
      </c>
      <c r="F252" s="106" t="s">
        <v>612</v>
      </c>
      <c r="G252" s="102">
        <v>1023550</v>
      </c>
      <c r="H252" s="101"/>
    </row>
    <row r="253" spans="1:8" s="97" customFormat="1" ht="12">
      <c r="A253" s="90"/>
      <c r="B253" s="90"/>
      <c r="C253" s="91">
        <v>46203</v>
      </c>
      <c r="D253" s="92" t="s">
        <v>244</v>
      </c>
      <c r="E253" s="100" t="s">
        <v>245</v>
      </c>
      <c r="F253" s="106" t="s">
        <v>613</v>
      </c>
      <c r="G253" s="102">
        <v>21632776</v>
      </c>
      <c r="H253" s="101"/>
    </row>
    <row r="254" spans="1:8" s="97" customFormat="1" ht="12">
      <c r="A254" s="90"/>
      <c r="B254" s="90"/>
      <c r="C254" s="91">
        <v>46203</v>
      </c>
      <c r="D254" s="92" t="s">
        <v>241</v>
      </c>
      <c r="E254" s="100" t="s">
        <v>242</v>
      </c>
      <c r="F254" s="106" t="s">
        <v>614</v>
      </c>
      <c r="G254" s="102">
        <v>2570568</v>
      </c>
      <c r="H254" s="101"/>
    </row>
    <row r="255" spans="1:8" s="97" customFormat="1" ht="12">
      <c r="A255" s="90"/>
      <c r="B255" s="90"/>
      <c r="C255" s="91">
        <v>46203</v>
      </c>
      <c r="D255" s="92" t="s">
        <v>291</v>
      </c>
      <c r="E255" s="100" t="s">
        <v>292</v>
      </c>
      <c r="F255" s="106" t="s">
        <v>293</v>
      </c>
      <c r="G255" s="102">
        <v>1062400</v>
      </c>
      <c r="H255" s="101"/>
    </row>
    <row r="256" spans="1:8" s="97" customFormat="1" ht="12">
      <c r="A256" s="90"/>
      <c r="B256" s="90"/>
      <c r="C256" s="91">
        <v>46203</v>
      </c>
      <c r="D256" s="92" t="s">
        <v>259</v>
      </c>
      <c r="E256" s="100" t="s">
        <v>260</v>
      </c>
      <c r="F256" s="106" t="s">
        <v>615</v>
      </c>
      <c r="G256" s="102">
        <v>329800</v>
      </c>
      <c r="H256" s="101"/>
    </row>
    <row r="257" spans="1:8" s="97" customFormat="1" ht="12">
      <c r="A257" s="90"/>
      <c r="B257" s="90"/>
      <c r="C257" s="91">
        <v>46203</v>
      </c>
      <c r="D257" s="92" t="s">
        <v>259</v>
      </c>
      <c r="E257" s="100" t="s">
        <v>260</v>
      </c>
      <c r="F257" s="106" t="s">
        <v>616</v>
      </c>
      <c r="G257" s="102">
        <v>400000</v>
      </c>
      <c r="H257" s="101"/>
    </row>
    <row r="258" spans="1:8" s="97" customFormat="1" ht="12">
      <c r="A258" s="90"/>
      <c r="B258" s="90"/>
      <c r="C258" s="91">
        <v>46203</v>
      </c>
      <c r="D258" s="92" t="s">
        <v>617</v>
      </c>
      <c r="E258" s="100" t="s">
        <v>618</v>
      </c>
      <c r="F258" s="106" t="s">
        <v>619</v>
      </c>
      <c r="G258" s="102">
        <v>6820000</v>
      </c>
      <c r="H258" s="101"/>
    </row>
    <row r="259" spans="1:8" s="97" customFormat="1" ht="12">
      <c r="A259" s="90"/>
      <c r="B259" s="90"/>
      <c r="C259" s="91">
        <v>46203</v>
      </c>
      <c r="D259" s="92" t="s">
        <v>259</v>
      </c>
      <c r="E259" s="100" t="s">
        <v>260</v>
      </c>
      <c r="F259" s="106" t="s">
        <v>620</v>
      </c>
      <c r="G259" s="102">
        <v>300000</v>
      </c>
      <c r="H259" s="101"/>
    </row>
    <row r="260" spans="1:8" s="97" customFormat="1" ht="12">
      <c r="A260" s="90"/>
      <c r="B260" s="90"/>
      <c r="C260" s="91">
        <v>46203</v>
      </c>
      <c r="D260" s="92" t="s">
        <v>282</v>
      </c>
      <c r="E260" s="100" t="s">
        <v>283</v>
      </c>
      <c r="F260" s="106" t="s">
        <v>621</v>
      </c>
      <c r="G260" s="102">
        <v>39870</v>
      </c>
      <c r="H260" s="101"/>
    </row>
    <row r="261" spans="1:8" s="97" customFormat="1" ht="12">
      <c r="A261" s="90"/>
      <c r="B261" s="90"/>
      <c r="C261" s="91">
        <v>46203</v>
      </c>
      <c r="D261" s="92" t="s">
        <v>259</v>
      </c>
      <c r="E261" s="100" t="s">
        <v>260</v>
      </c>
      <c r="F261" s="106" t="s">
        <v>622</v>
      </c>
      <c r="G261" s="102">
        <v>1000000</v>
      </c>
      <c r="H261" s="101"/>
    </row>
    <row r="262" spans="1:8" s="97" customFormat="1" ht="12">
      <c r="A262" s="90"/>
      <c r="B262" s="90"/>
      <c r="C262" s="91">
        <v>46203</v>
      </c>
      <c r="D262" s="92" t="s">
        <v>259</v>
      </c>
      <c r="E262" s="100" t="s">
        <v>260</v>
      </c>
      <c r="F262" s="106" t="s">
        <v>623</v>
      </c>
      <c r="G262" s="102">
        <v>1200000</v>
      </c>
      <c r="H262" s="101"/>
    </row>
    <row r="263" spans="1:8" s="97" customFormat="1" ht="12">
      <c r="A263" s="90"/>
      <c r="B263" s="90"/>
      <c r="C263" s="91">
        <v>46203</v>
      </c>
      <c r="D263" s="92" t="s">
        <v>624</v>
      </c>
      <c r="E263" s="100" t="s">
        <v>625</v>
      </c>
      <c r="F263" s="106" t="s">
        <v>626</v>
      </c>
      <c r="G263" s="102">
        <v>169400</v>
      </c>
      <c r="H263" s="101"/>
    </row>
    <row r="264" spans="1:8" s="97" customFormat="1" ht="12">
      <c r="A264" s="90"/>
      <c r="B264" s="90"/>
      <c r="C264" s="91">
        <v>46203</v>
      </c>
      <c r="D264" s="92" t="s">
        <v>276</v>
      </c>
      <c r="E264" s="100" t="s">
        <v>277</v>
      </c>
      <c r="F264" s="106" t="s">
        <v>627</v>
      </c>
      <c r="G264" s="102">
        <v>275000</v>
      </c>
      <c r="H264" s="101"/>
    </row>
    <row r="265" spans="1:8" s="97" customFormat="1" ht="12">
      <c r="A265" s="90"/>
      <c r="B265" s="90"/>
      <c r="C265" s="91">
        <v>46203</v>
      </c>
      <c r="D265" s="92" t="s">
        <v>282</v>
      </c>
      <c r="E265" s="100" t="s">
        <v>283</v>
      </c>
      <c r="F265" s="106" t="s">
        <v>628</v>
      </c>
      <c r="G265" s="102">
        <v>52520</v>
      </c>
      <c r="H265" s="101"/>
    </row>
    <row r="266" spans="1:8" s="97" customFormat="1" ht="12">
      <c r="A266" s="90"/>
      <c r="B266" s="90"/>
      <c r="C266" s="91">
        <v>46203</v>
      </c>
      <c r="D266" s="92" t="s">
        <v>282</v>
      </c>
      <c r="E266" s="100" t="s">
        <v>283</v>
      </c>
      <c r="F266" s="106" t="s">
        <v>629</v>
      </c>
      <c r="G266" s="102">
        <v>39600</v>
      </c>
      <c r="H266" s="101"/>
    </row>
    <row r="267" spans="1:8" s="97" customFormat="1" ht="12">
      <c r="A267" s="90"/>
      <c r="B267" s="90"/>
      <c r="C267" s="91">
        <v>46203</v>
      </c>
      <c r="D267" s="92" t="s">
        <v>282</v>
      </c>
      <c r="E267" s="100" t="s">
        <v>283</v>
      </c>
      <c r="F267" s="106" t="s">
        <v>630</v>
      </c>
      <c r="G267" s="102">
        <v>49780</v>
      </c>
      <c r="H267" s="101"/>
    </row>
    <row r="268" spans="1:8" s="97" customFormat="1" ht="12">
      <c r="A268" s="90"/>
      <c r="B268" s="90"/>
      <c r="C268" s="91">
        <v>46203</v>
      </c>
      <c r="D268" s="92" t="s">
        <v>282</v>
      </c>
      <c r="E268" s="100" t="s">
        <v>283</v>
      </c>
      <c r="F268" s="106" t="s">
        <v>631</v>
      </c>
      <c r="G268" s="102">
        <v>54710</v>
      </c>
      <c r="H268" s="101"/>
    </row>
    <row r="269" spans="1:8" s="97" customFormat="1" ht="12">
      <c r="A269" s="90"/>
      <c r="B269" s="90"/>
      <c r="C269" s="91">
        <v>46203</v>
      </c>
      <c r="D269" s="92" t="s">
        <v>287</v>
      </c>
      <c r="E269" s="100" t="s">
        <v>288</v>
      </c>
      <c r="F269" s="106" t="s">
        <v>632</v>
      </c>
      <c r="G269" s="102">
        <v>600000</v>
      </c>
      <c r="H269" s="101"/>
    </row>
    <row r="270" spans="1:8" s="97" customFormat="1" ht="12">
      <c r="A270" s="90"/>
      <c r="B270" s="90"/>
      <c r="C270" s="91">
        <v>46203</v>
      </c>
      <c r="D270" s="92" t="s">
        <v>287</v>
      </c>
      <c r="E270" s="100" t="s">
        <v>288</v>
      </c>
      <c r="F270" s="106" t="s">
        <v>633</v>
      </c>
      <c r="G270" s="102">
        <v>350000</v>
      </c>
      <c r="H270" s="101"/>
    </row>
    <row r="271" spans="1:8" s="97" customFormat="1" ht="12">
      <c r="A271" s="90"/>
      <c r="B271" s="90"/>
      <c r="C271" s="91">
        <v>46203</v>
      </c>
      <c r="D271" s="92" t="s">
        <v>287</v>
      </c>
      <c r="E271" s="100" t="s">
        <v>288</v>
      </c>
      <c r="F271" s="106" t="s">
        <v>634</v>
      </c>
      <c r="G271" s="102">
        <v>400000</v>
      </c>
      <c r="H271" s="101"/>
    </row>
    <row r="272" spans="1:8" s="97" customFormat="1" ht="12">
      <c r="A272" s="90"/>
      <c r="B272" s="90"/>
      <c r="C272" s="91">
        <v>46203</v>
      </c>
      <c r="D272" s="92" t="s">
        <v>282</v>
      </c>
      <c r="E272" s="100" t="s">
        <v>294</v>
      </c>
      <c r="F272" s="106" t="s">
        <v>295</v>
      </c>
      <c r="G272" s="102">
        <v>109920</v>
      </c>
      <c r="H272" s="101"/>
    </row>
    <row r="273" spans="1:8" s="97" customFormat="1" ht="12">
      <c r="A273" s="90"/>
      <c r="B273" s="90"/>
      <c r="C273" s="91">
        <v>46203</v>
      </c>
      <c r="D273" s="92" t="s">
        <v>282</v>
      </c>
      <c r="E273" s="100" t="s">
        <v>294</v>
      </c>
      <c r="F273" s="106" t="s">
        <v>635</v>
      </c>
      <c r="G273" s="102">
        <v>428490</v>
      </c>
      <c r="H273" s="101"/>
    </row>
    <row r="274" spans="1:8" s="97" customFormat="1" ht="12">
      <c r="A274" s="90"/>
      <c r="B274" s="90"/>
      <c r="C274" s="91">
        <v>46203</v>
      </c>
      <c r="D274" s="92" t="s">
        <v>395</v>
      </c>
      <c r="E274" s="100" t="s">
        <v>396</v>
      </c>
      <c r="F274" s="106" t="s">
        <v>636</v>
      </c>
      <c r="G274" s="102">
        <v>38500</v>
      </c>
      <c r="H274" s="101"/>
    </row>
    <row r="275" spans="1:8" s="97" customFormat="1" ht="12">
      <c r="A275" s="90"/>
      <c r="B275" s="90"/>
      <c r="C275" s="91">
        <v>46203</v>
      </c>
      <c r="D275" s="92" t="s">
        <v>297</v>
      </c>
      <c r="E275" s="100" t="s">
        <v>298</v>
      </c>
      <c r="F275" s="106" t="s">
        <v>637</v>
      </c>
      <c r="G275" s="102">
        <v>170000</v>
      </c>
      <c r="H275" s="101"/>
    </row>
    <row r="276" spans="1:8" s="97" customFormat="1" ht="12">
      <c r="A276" s="90"/>
      <c r="B276" s="90"/>
      <c r="C276" s="91">
        <v>46203</v>
      </c>
      <c r="D276" s="92" t="s">
        <v>638</v>
      </c>
      <c r="E276" s="100" t="s">
        <v>639</v>
      </c>
      <c r="F276" s="106" t="s">
        <v>640</v>
      </c>
      <c r="G276" s="102">
        <v>139300</v>
      </c>
      <c r="H276" s="101"/>
    </row>
    <row r="277" spans="1:8" s="97" customFormat="1" ht="12">
      <c r="A277" s="90"/>
      <c r="B277" s="90"/>
      <c r="C277" s="91">
        <v>46203</v>
      </c>
      <c r="D277" s="92" t="s">
        <v>641</v>
      </c>
      <c r="E277" s="100" t="s">
        <v>642</v>
      </c>
      <c r="F277" s="106" t="s">
        <v>643</v>
      </c>
      <c r="G277" s="102">
        <v>1120341</v>
      </c>
      <c r="H277" s="101"/>
    </row>
    <row r="278" spans="1:8" s="97" customFormat="1" ht="12">
      <c r="A278" s="90"/>
      <c r="B278" s="90"/>
      <c r="C278" s="91">
        <v>46203</v>
      </c>
      <c r="D278" s="92" t="s">
        <v>265</v>
      </c>
      <c r="E278" s="100" t="s">
        <v>266</v>
      </c>
      <c r="F278" s="106" t="s">
        <v>644</v>
      </c>
      <c r="G278" s="102">
        <v>108162098</v>
      </c>
      <c r="H278" s="101"/>
    </row>
    <row r="279" spans="1:8" s="97" customFormat="1" ht="12">
      <c r="A279" s="90"/>
      <c r="B279" s="90"/>
      <c r="C279" s="91">
        <v>46203</v>
      </c>
      <c r="D279" s="92" t="s">
        <v>282</v>
      </c>
      <c r="E279" s="100" t="s">
        <v>283</v>
      </c>
      <c r="F279" s="106" t="s">
        <v>645</v>
      </c>
      <c r="G279" s="102">
        <v>80160</v>
      </c>
      <c r="H279" s="101"/>
    </row>
    <row r="280" spans="1:8" s="97" customFormat="1" ht="12">
      <c r="A280" s="90"/>
      <c r="B280" s="90"/>
      <c r="C280" s="91">
        <v>46203</v>
      </c>
      <c r="D280" s="92" t="s">
        <v>395</v>
      </c>
      <c r="E280" s="100" t="s">
        <v>396</v>
      </c>
      <c r="F280" s="106" t="s">
        <v>646</v>
      </c>
      <c r="G280" s="102">
        <v>211750</v>
      </c>
      <c r="H280" s="101"/>
    </row>
    <row r="281" spans="1:8" s="97" customFormat="1" ht="12">
      <c r="A281" s="90"/>
      <c r="B281" s="90"/>
      <c r="C281" s="91">
        <v>46203</v>
      </c>
      <c r="D281" s="92" t="s">
        <v>282</v>
      </c>
      <c r="E281" s="100" t="s">
        <v>294</v>
      </c>
      <c r="F281" s="106" t="s">
        <v>306</v>
      </c>
      <c r="G281" s="102">
        <v>161980</v>
      </c>
      <c r="H281" s="106"/>
    </row>
    <row r="282" spans="1:8" s="97" customFormat="1" ht="12">
      <c r="A282" s="90"/>
      <c r="B282" s="90"/>
      <c r="C282" s="91">
        <v>46203</v>
      </c>
      <c r="D282" s="92" t="s">
        <v>282</v>
      </c>
      <c r="E282" s="100" t="s">
        <v>294</v>
      </c>
      <c r="F282" s="106" t="s">
        <v>307</v>
      </c>
      <c r="G282" s="102">
        <v>79200</v>
      </c>
      <c r="H282" s="101"/>
    </row>
    <row r="283" spans="1:8" s="97" customFormat="1" ht="12">
      <c r="A283" s="90"/>
      <c r="B283" s="90"/>
      <c r="C283" s="91">
        <v>46203</v>
      </c>
      <c r="D283" s="92" t="s">
        <v>395</v>
      </c>
      <c r="E283" s="100" t="s">
        <v>396</v>
      </c>
      <c r="F283" s="106" t="s">
        <v>647</v>
      </c>
      <c r="G283" s="102">
        <v>44000</v>
      </c>
      <c r="H283" s="101"/>
    </row>
    <row r="284" spans="1:8" s="97" customFormat="1" ht="12">
      <c r="A284" s="90"/>
      <c r="B284" s="90"/>
      <c r="C284" s="91">
        <v>46203</v>
      </c>
      <c r="D284" s="92" t="s">
        <v>282</v>
      </c>
      <c r="E284" s="100" t="s">
        <v>283</v>
      </c>
      <c r="F284" s="106" t="s">
        <v>302</v>
      </c>
      <c r="G284" s="102">
        <v>164280</v>
      </c>
      <c r="H284" s="101"/>
    </row>
    <row r="285" spans="1:8" s="97" customFormat="1" ht="12">
      <c r="A285" s="90"/>
      <c r="B285" s="90"/>
      <c r="C285" s="91">
        <v>46203</v>
      </c>
      <c r="D285" s="92" t="s">
        <v>282</v>
      </c>
      <c r="E285" s="100" t="s">
        <v>283</v>
      </c>
      <c r="F285" s="106" t="s">
        <v>301</v>
      </c>
      <c r="G285" s="102">
        <v>129720</v>
      </c>
      <c r="H285" s="101"/>
    </row>
    <row r="286" spans="1:8" s="97" customFormat="1" ht="12">
      <c r="A286" s="90"/>
      <c r="B286" s="90"/>
      <c r="C286" s="91">
        <v>46203</v>
      </c>
      <c r="D286" s="92" t="s">
        <v>524</v>
      </c>
      <c r="E286" s="100" t="s">
        <v>525</v>
      </c>
      <c r="F286" s="106" t="s">
        <v>648</v>
      </c>
      <c r="G286" s="102">
        <v>4200000</v>
      </c>
      <c r="H286" s="101"/>
    </row>
    <row r="287" spans="1:8" s="97" customFormat="1" ht="12">
      <c r="A287" s="90"/>
      <c r="B287" s="90"/>
      <c r="C287" s="91">
        <v>46203</v>
      </c>
      <c r="D287" s="92" t="s">
        <v>256</v>
      </c>
      <c r="E287" s="100" t="s">
        <v>257</v>
      </c>
      <c r="F287" s="106" t="s">
        <v>649</v>
      </c>
      <c r="G287" s="102">
        <v>600000</v>
      </c>
      <c r="H287" s="101"/>
    </row>
    <row r="288" spans="1:8" s="97" customFormat="1" ht="12">
      <c r="A288" s="90"/>
      <c r="B288" s="90"/>
      <c r="C288" s="91">
        <v>46203</v>
      </c>
      <c r="D288" s="92" t="s">
        <v>282</v>
      </c>
      <c r="E288" s="100" t="s">
        <v>294</v>
      </c>
      <c r="F288" s="106" t="s">
        <v>650</v>
      </c>
      <c r="G288" s="102">
        <v>490140</v>
      </c>
      <c r="H288" s="101"/>
    </row>
    <row r="289" spans="1:8" s="97" customFormat="1" ht="12">
      <c r="A289" s="90"/>
      <c r="B289" s="90"/>
      <c r="C289" s="91">
        <v>46203</v>
      </c>
      <c r="D289" s="92" t="s">
        <v>256</v>
      </c>
      <c r="E289" s="100" t="s">
        <v>257</v>
      </c>
      <c r="F289" s="106" t="s">
        <v>651</v>
      </c>
      <c r="G289" s="102">
        <v>234000</v>
      </c>
      <c r="H289" s="101"/>
    </row>
    <row r="290" spans="1:8" s="97" customFormat="1" ht="12">
      <c r="A290" s="90"/>
      <c r="B290" s="90"/>
      <c r="C290" s="91">
        <v>46203</v>
      </c>
      <c r="D290" s="92" t="s">
        <v>609</v>
      </c>
      <c r="E290" s="107" t="s">
        <v>610</v>
      </c>
      <c r="F290" s="106" t="s">
        <v>652</v>
      </c>
      <c r="G290" s="102">
        <v>400000</v>
      </c>
      <c r="H290" s="101"/>
    </row>
    <row r="291" spans="1:8" s="97" customFormat="1" ht="12">
      <c r="A291" s="90"/>
      <c r="B291" s="90"/>
      <c r="C291" s="91">
        <v>46203</v>
      </c>
      <c r="D291" s="92" t="s">
        <v>282</v>
      </c>
      <c r="E291" s="107" t="s">
        <v>283</v>
      </c>
      <c r="F291" s="106" t="s">
        <v>653</v>
      </c>
      <c r="G291" s="102">
        <v>12880</v>
      </c>
      <c r="H291" s="101"/>
    </row>
    <row r="292" spans="1:8" s="97" customFormat="1" ht="12">
      <c r="A292" s="90"/>
      <c r="B292" s="90"/>
      <c r="C292" s="91">
        <v>46203</v>
      </c>
      <c r="D292" s="92" t="s">
        <v>282</v>
      </c>
      <c r="E292" s="100" t="s">
        <v>283</v>
      </c>
      <c r="F292" s="106" t="s">
        <v>654</v>
      </c>
      <c r="G292" s="102">
        <v>58680</v>
      </c>
      <c r="H292" s="101"/>
    </row>
    <row r="293" spans="1:8" s="97" customFormat="1" ht="12">
      <c r="A293" s="90"/>
      <c r="B293" s="90"/>
      <c r="C293" s="91">
        <v>46203</v>
      </c>
      <c r="D293" s="92" t="s">
        <v>655</v>
      </c>
      <c r="E293" s="100" t="s">
        <v>656</v>
      </c>
      <c r="F293" s="106" t="s">
        <v>657</v>
      </c>
      <c r="G293" s="102">
        <v>880000</v>
      </c>
      <c r="H293" s="101"/>
    </row>
    <row r="294" spans="1:8" s="97" customFormat="1" ht="12">
      <c r="A294" s="90"/>
      <c r="B294" s="90"/>
      <c r="C294" s="91">
        <v>46203</v>
      </c>
      <c r="D294" s="92" t="s">
        <v>658</v>
      </c>
      <c r="E294" s="100" t="s">
        <v>659</v>
      </c>
      <c r="F294" s="106" t="s">
        <v>660</v>
      </c>
      <c r="G294" s="102">
        <v>1098900</v>
      </c>
      <c r="H294" s="101"/>
    </row>
    <row r="295" spans="1:8" s="97" customFormat="1" ht="12">
      <c r="A295" s="90"/>
      <c r="B295" s="90"/>
      <c r="C295" s="91">
        <v>46203</v>
      </c>
      <c r="D295" s="92" t="s">
        <v>661</v>
      </c>
      <c r="E295" s="100" t="s">
        <v>662</v>
      </c>
      <c r="F295" s="106" t="s">
        <v>663</v>
      </c>
      <c r="G295" s="102">
        <v>239800</v>
      </c>
      <c r="H295" s="101"/>
    </row>
    <row r="296" spans="1:8" s="97" customFormat="1" ht="12">
      <c r="A296" s="90"/>
      <c r="B296" s="90"/>
      <c r="C296" s="91">
        <v>46203</v>
      </c>
      <c r="D296" s="92" t="s">
        <v>664</v>
      </c>
      <c r="E296" s="100" t="s">
        <v>665</v>
      </c>
      <c r="F296" s="106" t="s">
        <v>666</v>
      </c>
      <c r="G296" s="102">
        <v>72889759</v>
      </c>
      <c r="H296" s="101"/>
    </row>
    <row r="297" spans="1:8" s="97" customFormat="1" ht="12">
      <c r="A297" s="90"/>
      <c r="B297" s="90"/>
      <c r="C297" s="91">
        <v>46203</v>
      </c>
      <c r="D297" s="92" t="s">
        <v>667</v>
      </c>
      <c r="E297" s="100" t="s">
        <v>668</v>
      </c>
      <c r="F297" s="106" t="s">
        <v>669</v>
      </c>
      <c r="G297" s="102">
        <v>159610</v>
      </c>
      <c r="H297" s="101"/>
    </row>
    <row r="298" spans="1:8" s="97" customFormat="1" ht="12">
      <c r="A298" s="90"/>
      <c r="B298" s="90"/>
      <c r="C298" s="91">
        <v>46203</v>
      </c>
      <c r="D298" s="92" t="s">
        <v>670</v>
      </c>
      <c r="E298" s="100" t="s">
        <v>671</v>
      </c>
      <c r="F298" s="106" t="s">
        <v>672</v>
      </c>
      <c r="G298" s="102">
        <v>56265</v>
      </c>
      <c r="H298" s="101"/>
    </row>
    <row r="299" spans="1:8" s="97" customFormat="1" ht="12">
      <c r="A299" s="90"/>
      <c r="B299" s="90"/>
      <c r="C299" s="91">
        <v>46203</v>
      </c>
      <c r="D299" s="92" t="s">
        <v>297</v>
      </c>
      <c r="E299" s="100" t="s">
        <v>298</v>
      </c>
      <c r="F299" s="106" t="s">
        <v>673</v>
      </c>
      <c r="G299" s="102">
        <v>490000</v>
      </c>
      <c r="H299" s="101"/>
    </row>
    <row r="300" spans="1:8" s="97" customFormat="1" ht="12">
      <c r="A300" s="90"/>
      <c r="B300" s="90"/>
      <c r="C300" s="91">
        <v>46203</v>
      </c>
      <c r="D300" s="92" t="s">
        <v>674</v>
      </c>
      <c r="E300" s="107" t="s">
        <v>675</v>
      </c>
      <c r="F300" s="106" t="s">
        <v>676</v>
      </c>
      <c r="G300" s="102">
        <v>40421810</v>
      </c>
      <c r="H300" s="101"/>
    </row>
    <row r="301" spans="1:8" s="97" customFormat="1" ht="12">
      <c r="A301" s="90"/>
      <c r="B301" s="90"/>
      <c r="C301" s="91">
        <v>46203</v>
      </c>
      <c r="D301" s="92" t="s">
        <v>677</v>
      </c>
      <c r="E301" s="107" t="s">
        <v>678</v>
      </c>
      <c r="F301" s="106" t="s">
        <v>679</v>
      </c>
      <c r="G301" s="102">
        <v>33000</v>
      </c>
      <c r="H301" s="101"/>
    </row>
    <row r="302" spans="1:8" s="97" customFormat="1" ht="12">
      <c r="A302" s="90"/>
      <c r="B302" s="90"/>
      <c r="C302" s="91">
        <v>46203</v>
      </c>
      <c r="D302" s="92" t="s">
        <v>680</v>
      </c>
      <c r="E302" s="107" t="s">
        <v>681</v>
      </c>
      <c r="F302" s="106" t="s">
        <v>682</v>
      </c>
      <c r="G302" s="102">
        <v>109851</v>
      </c>
      <c r="H302" s="101"/>
    </row>
    <row r="303" spans="1:8" s="97" customFormat="1" ht="12">
      <c r="A303" s="90"/>
      <c r="B303" s="90"/>
      <c r="C303" s="91">
        <v>46203</v>
      </c>
      <c r="D303" s="92" t="s">
        <v>683</v>
      </c>
      <c r="E303" s="100" t="s">
        <v>684</v>
      </c>
      <c r="F303" s="106" t="s">
        <v>685</v>
      </c>
      <c r="G303" s="102">
        <v>221791</v>
      </c>
      <c r="H303" s="101"/>
    </row>
    <row r="304" spans="1:8" s="97" customFormat="1" ht="12">
      <c r="A304" s="90"/>
      <c r="B304" s="90"/>
      <c r="C304" s="91">
        <v>46203</v>
      </c>
      <c r="D304" s="92" t="s">
        <v>686</v>
      </c>
      <c r="E304" s="100" t="s">
        <v>687</v>
      </c>
      <c r="F304" s="106" t="s">
        <v>688</v>
      </c>
      <c r="G304" s="102">
        <v>1504008</v>
      </c>
      <c r="H304" s="101"/>
    </row>
    <row r="305" spans="1:8" s="97" customFormat="1" ht="12">
      <c r="A305" s="90"/>
      <c r="B305" s="90"/>
      <c r="C305" s="91">
        <v>46203</v>
      </c>
      <c r="D305" s="92" t="s">
        <v>689</v>
      </c>
      <c r="E305" s="100" t="s">
        <v>690</v>
      </c>
      <c r="F305" s="106" t="s">
        <v>691</v>
      </c>
      <c r="G305" s="102">
        <v>1069200</v>
      </c>
      <c r="H305" s="101"/>
    </row>
    <row r="306" spans="1:8" s="97" customFormat="1" ht="12">
      <c r="A306" s="90"/>
      <c r="B306" s="90"/>
      <c r="C306" s="91">
        <v>46203</v>
      </c>
      <c r="D306" s="92" t="s">
        <v>692</v>
      </c>
      <c r="E306" s="100" t="s">
        <v>693</v>
      </c>
      <c r="F306" s="106" t="s">
        <v>694</v>
      </c>
      <c r="G306" s="102">
        <v>2854500</v>
      </c>
      <c r="H306" s="101"/>
    </row>
    <row r="307" spans="1:8" s="97" customFormat="1" ht="12">
      <c r="A307" s="90"/>
      <c r="B307" s="90"/>
      <c r="C307" s="91">
        <v>46203</v>
      </c>
      <c r="D307" s="92" t="s">
        <v>695</v>
      </c>
      <c r="E307" s="100" t="s">
        <v>696</v>
      </c>
      <c r="F307" s="106" t="s">
        <v>697</v>
      </c>
      <c r="G307" s="102">
        <v>882750</v>
      </c>
      <c r="H307" s="101"/>
    </row>
    <row r="308" spans="1:8" s="97" customFormat="1" ht="12">
      <c r="A308" s="90"/>
      <c r="B308" s="90"/>
      <c r="C308" s="91">
        <v>46203</v>
      </c>
      <c r="D308" s="92" t="s">
        <v>698</v>
      </c>
      <c r="E308" s="100" t="s">
        <v>699</v>
      </c>
      <c r="F308" s="106" t="s">
        <v>700</v>
      </c>
      <c r="G308" s="102">
        <v>1848000</v>
      </c>
      <c r="H308" s="101"/>
    </row>
    <row r="309" spans="1:8" s="97" customFormat="1" ht="12">
      <c r="A309" s="90"/>
      <c r="B309" s="90"/>
      <c r="C309" s="91">
        <v>46203</v>
      </c>
      <c r="D309" s="92" t="s">
        <v>701</v>
      </c>
      <c r="E309" s="100" t="s">
        <v>702</v>
      </c>
      <c r="F309" s="106" t="s">
        <v>703</v>
      </c>
      <c r="G309" s="102">
        <v>468600</v>
      </c>
      <c r="H309" s="101"/>
    </row>
    <row r="310" spans="1:8" s="97" customFormat="1" ht="12">
      <c r="A310" s="90"/>
      <c r="B310" s="90"/>
      <c r="C310" s="91">
        <v>46203</v>
      </c>
      <c r="D310" s="92" t="s">
        <v>704</v>
      </c>
      <c r="E310" s="100" t="s">
        <v>705</v>
      </c>
      <c r="F310" s="106" t="s">
        <v>706</v>
      </c>
      <c r="G310" s="102">
        <v>4360</v>
      </c>
      <c r="H310" s="101"/>
    </row>
    <row r="311" spans="1:8" s="97" customFormat="1" ht="12">
      <c r="A311" s="90"/>
      <c r="B311" s="90"/>
      <c r="C311" s="91">
        <v>46203</v>
      </c>
      <c r="D311" s="92" t="s">
        <v>707</v>
      </c>
      <c r="E311" s="100" t="s">
        <v>708</v>
      </c>
      <c r="F311" s="106" t="s">
        <v>709</v>
      </c>
      <c r="G311" s="102">
        <v>780684</v>
      </c>
      <c r="H311" s="101"/>
    </row>
    <row r="312" spans="1:8" s="97" customFormat="1" ht="12">
      <c r="A312" s="90"/>
      <c r="B312" s="90"/>
      <c r="C312" s="91">
        <v>46203</v>
      </c>
      <c r="D312" s="92" t="s">
        <v>710</v>
      </c>
      <c r="E312" s="100" t="s">
        <v>711</v>
      </c>
      <c r="F312" s="106" t="s">
        <v>712</v>
      </c>
      <c r="G312" s="102">
        <v>1060960</v>
      </c>
      <c r="H312" s="101"/>
    </row>
    <row r="313" spans="1:8" s="97" customFormat="1" ht="12">
      <c r="A313" s="90"/>
      <c r="B313" s="90"/>
      <c r="C313" s="91">
        <v>46203</v>
      </c>
      <c r="D313" s="92" t="s">
        <v>713</v>
      </c>
      <c r="E313" s="100" t="s">
        <v>714</v>
      </c>
      <c r="F313" s="106" t="s">
        <v>715</v>
      </c>
      <c r="G313" s="102">
        <v>621382</v>
      </c>
      <c r="H313" s="101"/>
    </row>
    <row r="314" spans="1:8" s="97" customFormat="1" ht="12">
      <c r="A314" s="90"/>
      <c r="B314" s="90"/>
      <c r="C314" s="91">
        <v>46203</v>
      </c>
      <c r="D314" s="92" t="s">
        <v>716</v>
      </c>
      <c r="E314" s="100" t="s">
        <v>717</v>
      </c>
      <c r="F314" s="106" t="s">
        <v>718</v>
      </c>
      <c r="G314" s="102">
        <v>286246</v>
      </c>
      <c r="H314" s="101"/>
    </row>
    <row r="315" spans="1:8" s="97" customFormat="1" ht="12">
      <c r="A315" s="90"/>
      <c r="B315" s="90"/>
      <c r="C315" s="91">
        <v>46203</v>
      </c>
      <c r="D315" s="92" t="s">
        <v>719</v>
      </c>
      <c r="E315" s="100" t="s">
        <v>720</v>
      </c>
      <c r="F315" s="106" t="s">
        <v>721</v>
      </c>
      <c r="G315" s="102">
        <v>1151308</v>
      </c>
      <c r="H315" s="101"/>
    </row>
    <row r="316" spans="1:8" s="97" customFormat="1" ht="12">
      <c r="A316" s="90"/>
      <c r="B316" s="90"/>
      <c r="C316" s="91">
        <v>46203</v>
      </c>
      <c r="D316" s="92" t="s">
        <v>722</v>
      </c>
      <c r="E316" s="100" t="s">
        <v>723</v>
      </c>
      <c r="F316" s="106" t="s">
        <v>724</v>
      </c>
      <c r="G316" s="102">
        <v>131973</v>
      </c>
      <c r="H316" s="101"/>
    </row>
    <row r="317" spans="1:8" s="97" customFormat="1" ht="12">
      <c r="A317" s="90"/>
      <c r="B317" s="90"/>
      <c r="C317" s="91">
        <v>46203</v>
      </c>
      <c r="D317" s="92" t="s">
        <v>725</v>
      </c>
      <c r="E317" s="100" t="s">
        <v>726</v>
      </c>
      <c r="F317" s="106" t="s">
        <v>727</v>
      </c>
      <c r="G317" s="102">
        <v>179300</v>
      </c>
      <c r="H317" s="101"/>
    </row>
    <row r="318" spans="1:8" s="97" customFormat="1" ht="12">
      <c r="A318" s="90"/>
      <c r="B318" s="90"/>
      <c r="C318" s="91">
        <v>46203</v>
      </c>
      <c r="D318" s="92" t="s">
        <v>728</v>
      </c>
      <c r="E318" s="100" t="s">
        <v>729</v>
      </c>
      <c r="F318" s="106" t="s">
        <v>730</v>
      </c>
      <c r="G318" s="102">
        <v>156457</v>
      </c>
      <c r="H318" s="101"/>
    </row>
    <row r="319" spans="1:8" s="97" customFormat="1" ht="12">
      <c r="A319" s="90"/>
      <c r="B319" s="90"/>
      <c r="C319" s="91">
        <v>46203</v>
      </c>
      <c r="D319" s="92" t="s">
        <v>731</v>
      </c>
      <c r="E319" s="100" t="s">
        <v>732</v>
      </c>
      <c r="F319" s="106" t="s">
        <v>733</v>
      </c>
      <c r="G319" s="102">
        <v>373912</v>
      </c>
      <c r="H319" s="101"/>
    </row>
    <row r="320" spans="1:8" s="97" customFormat="1" ht="12">
      <c r="A320" s="90"/>
      <c r="B320" s="90"/>
      <c r="C320" s="91">
        <v>46203</v>
      </c>
      <c r="D320" s="92" t="s">
        <v>734</v>
      </c>
      <c r="E320" s="100" t="s">
        <v>735</v>
      </c>
      <c r="F320" s="106" t="s">
        <v>736</v>
      </c>
      <c r="G320" s="102">
        <v>318609</v>
      </c>
      <c r="H320" s="101"/>
    </row>
    <row r="321" spans="1:8" s="97" customFormat="1" ht="12">
      <c r="A321" s="90"/>
      <c r="B321" s="90"/>
      <c r="C321" s="91">
        <v>46203</v>
      </c>
      <c r="D321" s="92" t="s">
        <v>737</v>
      </c>
      <c r="E321" s="107" t="s">
        <v>738</v>
      </c>
      <c r="F321" s="106" t="s">
        <v>739</v>
      </c>
      <c r="G321" s="102">
        <v>25433171</v>
      </c>
      <c r="H321" s="101"/>
    </row>
    <row r="322" spans="1:8" s="97" customFormat="1" ht="12">
      <c r="A322" s="90"/>
      <c r="B322" s="90"/>
      <c r="C322" s="91">
        <v>46203</v>
      </c>
      <c r="D322" s="92" t="s">
        <v>737</v>
      </c>
      <c r="E322" s="107" t="s">
        <v>738</v>
      </c>
      <c r="F322" s="106" t="s">
        <v>740</v>
      </c>
      <c r="G322" s="102">
        <v>11286198</v>
      </c>
      <c r="H322" s="101"/>
    </row>
    <row r="323" spans="1:8" s="97" customFormat="1" ht="12">
      <c r="A323" s="90"/>
      <c r="B323" s="90"/>
      <c r="C323" s="91">
        <v>46203</v>
      </c>
      <c r="D323" s="92" t="s">
        <v>737</v>
      </c>
      <c r="E323" s="107" t="s">
        <v>738</v>
      </c>
      <c r="F323" s="106" t="s">
        <v>741</v>
      </c>
      <c r="G323" s="102">
        <v>18810331</v>
      </c>
      <c r="H323" s="101"/>
    </row>
    <row r="324" spans="1:8" s="97" customFormat="1" ht="12">
      <c r="A324" s="90"/>
      <c r="B324" s="90"/>
      <c r="C324" s="91">
        <v>46203</v>
      </c>
      <c r="D324" s="92" t="s">
        <v>737</v>
      </c>
      <c r="E324" s="100" t="s">
        <v>738</v>
      </c>
      <c r="F324" s="106" t="s">
        <v>742</v>
      </c>
      <c r="G324" s="102">
        <v>1368405</v>
      </c>
      <c r="H324" s="101"/>
    </row>
    <row r="325" spans="1:8" s="97" customFormat="1" ht="12">
      <c r="A325" s="90"/>
      <c r="B325" s="90"/>
      <c r="C325" s="91">
        <v>46203</v>
      </c>
      <c r="D325" s="92" t="s">
        <v>737</v>
      </c>
      <c r="E325" s="100" t="s">
        <v>738</v>
      </c>
      <c r="F325" s="106" t="s">
        <v>742</v>
      </c>
      <c r="G325" s="102">
        <v>2118025</v>
      </c>
      <c r="H325" s="101"/>
    </row>
    <row r="326" spans="1:8" s="97" customFormat="1" ht="12">
      <c r="A326" s="90"/>
      <c r="B326" s="90"/>
      <c r="C326" s="91">
        <v>46203</v>
      </c>
      <c r="D326" s="92" t="s">
        <v>737</v>
      </c>
      <c r="E326" s="100" t="s">
        <v>738</v>
      </c>
      <c r="F326" s="106" t="s">
        <v>742</v>
      </c>
      <c r="G326" s="102">
        <v>1609202</v>
      </c>
      <c r="H326" s="101"/>
    </row>
    <row r="327" spans="1:8" s="97" customFormat="1" ht="12">
      <c r="A327" s="90"/>
      <c r="B327" s="90"/>
      <c r="C327" s="91">
        <v>46203</v>
      </c>
      <c r="D327" s="92" t="s">
        <v>737</v>
      </c>
      <c r="E327" s="100" t="s">
        <v>738</v>
      </c>
      <c r="F327" s="106" t="s">
        <v>742</v>
      </c>
      <c r="G327" s="102">
        <v>12457089</v>
      </c>
      <c r="H327" s="101"/>
    </row>
    <row r="328" spans="1:8" s="97" customFormat="1" ht="12">
      <c r="A328" s="90"/>
      <c r="B328" s="90"/>
      <c r="C328" s="91">
        <v>46203</v>
      </c>
      <c r="D328" s="92" t="s">
        <v>737</v>
      </c>
      <c r="E328" s="100" t="s">
        <v>738</v>
      </c>
      <c r="F328" s="106" t="s">
        <v>742</v>
      </c>
      <c r="G328" s="102">
        <v>130528</v>
      </c>
      <c r="H328" s="101"/>
    </row>
    <row r="329" spans="1:8" s="97" customFormat="1" ht="12">
      <c r="A329" s="90"/>
      <c r="B329" s="90"/>
      <c r="C329" s="91">
        <v>46203</v>
      </c>
      <c r="D329" s="92" t="s">
        <v>743</v>
      </c>
      <c r="E329" s="100" t="s">
        <v>744</v>
      </c>
      <c r="F329" s="106" t="s">
        <v>745</v>
      </c>
      <c r="G329" s="102">
        <v>32282</v>
      </c>
      <c r="H329" s="101"/>
    </row>
    <row r="330" spans="1:8" s="97" customFormat="1" ht="12">
      <c r="A330" s="90"/>
      <c r="B330" s="90"/>
      <c r="C330" s="91">
        <v>46203</v>
      </c>
      <c r="D330" s="92" t="s">
        <v>746</v>
      </c>
      <c r="E330" s="100" t="s">
        <v>747</v>
      </c>
      <c r="F330" s="106" t="s">
        <v>748</v>
      </c>
      <c r="G330" s="102">
        <v>16141</v>
      </c>
      <c r="H330" s="101"/>
    </row>
    <row r="331" spans="1:8" s="97" customFormat="1" ht="12">
      <c r="A331" s="90"/>
      <c r="B331" s="90"/>
      <c r="C331" s="91">
        <v>46203</v>
      </c>
      <c r="D331" s="92" t="s">
        <v>749</v>
      </c>
      <c r="E331" s="100" t="s">
        <v>750</v>
      </c>
      <c r="F331" s="106" t="s">
        <v>751</v>
      </c>
      <c r="G331" s="102">
        <v>16141</v>
      </c>
      <c r="H331" s="101"/>
    </row>
    <row r="332" spans="1:8" s="97" customFormat="1" ht="12">
      <c r="A332" s="90"/>
      <c r="B332" s="90"/>
      <c r="C332" s="91">
        <v>46203</v>
      </c>
      <c r="D332" s="92" t="s">
        <v>752</v>
      </c>
      <c r="E332" s="100" t="s">
        <v>753</v>
      </c>
      <c r="F332" s="106" t="s">
        <v>754</v>
      </c>
      <c r="G332" s="102">
        <v>16141</v>
      </c>
      <c r="H332" s="101"/>
    </row>
    <row r="333" spans="1:8" s="97" customFormat="1" ht="12">
      <c r="A333" s="90"/>
      <c r="B333" s="90"/>
      <c r="C333" s="91">
        <v>46203</v>
      </c>
      <c r="D333" s="92" t="s">
        <v>755</v>
      </c>
      <c r="E333" s="107" t="s">
        <v>756</v>
      </c>
      <c r="F333" s="106" t="s">
        <v>757</v>
      </c>
      <c r="G333" s="102">
        <v>16141</v>
      </c>
      <c r="H333" s="101"/>
    </row>
    <row r="334" spans="1:8" s="97" customFormat="1" ht="12">
      <c r="A334" s="90"/>
      <c r="B334" s="90"/>
      <c r="C334" s="91">
        <v>46203</v>
      </c>
      <c r="D334" s="92" t="s">
        <v>758</v>
      </c>
      <c r="E334" s="107" t="s">
        <v>759</v>
      </c>
      <c r="F334" s="106" t="s">
        <v>760</v>
      </c>
      <c r="G334" s="102">
        <v>64565</v>
      </c>
      <c r="H334" s="101"/>
    </row>
    <row r="335" spans="1:8" s="97" customFormat="1" ht="12">
      <c r="A335" s="90"/>
      <c r="B335" s="90"/>
      <c r="C335" s="91">
        <v>46203</v>
      </c>
      <c r="D335" s="92" t="s">
        <v>761</v>
      </c>
      <c r="E335" s="107" t="s">
        <v>762</v>
      </c>
      <c r="F335" s="106" t="s">
        <v>763</v>
      </c>
      <c r="G335" s="102">
        <v>80705</v>
      </c>
      <c r="H335" s="101"/>
    </row>
    <row r="336" spans="1:8" s="97" customFormat="1" ht="12">
      <c r="A336" s="90"/>
      <c r="B336" s="90"/>
      <c r="C336" s="91">
        <v>46203</v>
      </c>
      <c r="D336" s="92" t="s">
        <v>764</v>
      </c>
      <c r="E336" s="100" t="s">
        <v>765</v>
      </c>
      <c r="F336" s="106" t="s">
        <v>766</v>
      </c>
      <c r="G336" s="102">
        <v>48424</v>
      </c>
      <c r="H336" s="101"/>
    </row>
    <row r="337" spans="1:8" s="97" customFormat="1" ht="12">
      <c r="A337" s="90"/>
      <c r="B337" s="90"/>
      <c r="C337" s="91">
        <v>46203</v>
      </c>
      <c r="D337" s="92" t="s">
        <v>767</v>
      </c>
      <c r="E337" s="100" t="s">
        <v>768</v>
      </c>
      <c r="F337" s="106" t="s">
        <v>769</v>
      </c>
      <c r="G337" s="102">
        <v>32282</v>
      </c>
      <c r="H337" s="101"/>
    </row>
    <row r="338" spans="1:8" s="97" customFormat="1" ht="12">
      <c r="A338" s="90"/>
      <c r="B338" s="90"/>
      <c r="C338" s="91">
        <v>46203</v>
      </c>
      <c r="D338" s="92" t="s">
        <v>770</v>
      </c>
      <c r="E338" s="107" t="s">
        <v>771</v>
      </c>
      <c r="F338" s="106" t="s">
        <v>772</v>
      </c>
      <c r="G338" s="102">
        <v>80706</v>
      </c>
      <c r="H338" s="101"/>
    </row>
    <row r="339" spans="1:8" s="97" customFormat="1" ht="12">
      <c r="A339" s="90"/>
      <c r="B339" s="90"/>
      <c r="C339" s="91">
        <v>46203</v>
      </c>
      <c r="D339" s="92" t="s">
        <v>773</v>
      </c>
      <c r="E339" s="107" t="s">
        <v>774</v>
      </c>
      <c r="F339" s="106" t="s">
        <v>775</v>
      </c>
      <c r="G339" s="102">
        <v>32282</v>
      </c>
      <c r="H339" s="101"/>
    </row>
    <row r="340" spans="1:8" s="97" customFormat="1" ht="12">
      <c r="A340" s="90"/>
      <c r="B340" s="90"/>
      <c r="C340" s="91">
        <v>46203</v>
      </c>
      <c r="D340" s="92" t="s">
        <v>776</v>
      </c>
      <c r="E340" s="107" t="s">
        <v>777</v>
      </c>
      <c r="F340" s="106" t="s">
        <v>778</v>
      </c>
      <c r="G340" s="102">
        <v>64564</v>
      </c>
      <c r="H340" s="101"/>
    </row>
    <row r="341" spans="1:8" s="97" customFormat="1" ht="12">
      <c r="A341" s="90"/>
      <c r="B341" s="90"/>
      <c r="C341" s="91">
        <v>46203</v>
      </c>
      <c r="D341" s="92" t="s">
        <v>779</v>
      </c>
      <c r="E341" s="100" t="s">
        <v>780</v>
      </c>
      <c r="F341" s="106" t="s">
        <v>781</v>
      </c>
      <c r="G341" s="102">
        <v>177555</v>
      </c>
      <c r="H341" s="101"/>
    </row>
    <row r="342" spans="1:8" s="97" customFormat="1" ht="12">
      <c r="A342" s="90"/>
      <c r="B342" s="90"/>
      <c r="C342" s="91">
        <v>46203</v>
      </c>
      <c r="D342" s="92" t="s">
        <v>782</v>
      </c>
      <c r="E342" s="107" t="s">
        <v>783</v>
      </c>
      <c r="F342" s="106" t="s">
        <v>784</v>
      </c>
      <c r="G342" s="102">
        <v>16141</v>
      </c>
      <c r="H342" s="101"/>
    </row>
    <row r="343" spans="1:8" s="97" customFormat="1" ht="12">
      <c r="A343" s="90"/>
      <c r="B343" s="90"/>
      <c r="C343" s="91">
        <v>46203</v>
      </c>
      <c r="D343" s="92" t="s">
        <v>785</v>
      </c>
      <c r="E343" s="107" t="s">
        <v>786</v>
      </c>
      <c r="F343" s="106" t="s">
        <v>787</v>
      </c>
      <c r="G343" s="102">
        <v>32282</v>
      </c>
      <c r="H343" s="101"/>
    </row>
    <row r="344" spans="1:8" s="97" customFormat="1" ht="12">
      <c r="A344" s="90"/>
      <c r="B344" s="90"/>
      <c r="C344" s="91">
        <v>46203</v>
      </c>
      <c r="D344" s="92" t="s">
        <v>788</v>
      </c>
      <c r="E344" s="107" t="s">
        <v>789</v>
      </c>
      <c r="F344" s="106" t="s">
        <v>790</v>
      </c>
      <c r="G344" s="102">
        <v>48424</v>
      </c>
      <c r="H344" s="101"/>
    </row>
    <row r="345" spans="1:8" s="97" customFormat="1" ht="12">
      <c r="A345" s="90"/>
      <c r="B345" s="90"/>
      <c r="C345" s="91">
        <v>46203</v>
      </c>
      <c r="D345" s="92" t="s">
        <v>791</v>
      </c>
      <c r="E345" s="100" t="s">
        <v>792</v>
      </c>
      <c r="F345" s="106" t="s">
        <v>793</v>
      </c>
      <c r="G345" s="102">
        <v>48424</v>
      </c>
      <c r="H345" s="101"/>
    </row>
    <row r="346" spans="1:8" s="97" customFormat="1" ht="12">
      <c r="A346" s="90"/>
      <c r="B346" s="90"/>
      <c r="C346" s="91">
        <v>46203</v>
      </c>
      <c r="D346" s="92" t="s">
        <v>794</v>
      </c>
      <c r="E346" s="100" t="s">
        <v>795</v>
      </c>
      <c r="F346" s="106" t="s">
        <v>796</v>
      </c>
      <c r="G346" s="102">
        <v>32282</v>
      </c>
      <c r="H346" s="101"/>
    </row>
    <row r="347" spans="1:8" s="97" customFormat="1" ht="12">
      <c r="A347" s="90"/>
      <c r="B347" s="90"/>
      <c r="C347" s="91">
        <v>46203</v>
      </c>
      <c r="D347" s="92" t="s">
        <v>797</v>
      </c>
      <c r="E347" s="100" t="s">
        <v>798</v>
      </c>
      <c r="F347" s="106" t="s">
        <v>799</v>
      </c>
      <c r="G347" s="102">
        <v>32282</v>
      </c>
      <c r="H347" s="101"/>
    </row>
    <row r="348" spans="1:8" s="97" customFormat="1" ht="12">
      <c r="A348" s="90"/>
      <c r="B348" s="90"/>
      <c r="C348" s="91">
        <v>46203</v>
      </c>
      <c r="D348" s="92" t="s">
        <v>800</v>
      </c>
      <c r="E348" s="100" t="s">
        <v>801</v>
      </c>
      <c r="F348" s="106" t="s">
        <v>802</v>
      </c>
      <c r="G348" s="102">
        <v>16141</v>
      </c>
      <c r="H348" s="101"/>
    </row>
    <row r="349" spans="1:8" s="97" customFormat="1" ht="12">
      <c r="A349" s="90"/>
      <c r="B349" s="90"/>
      <c r="C349" s="91">
        <v>46203</v>
      </c>
      <c r="D349" s="92" t="s">
        <v>803</v>
      </c>
      <c r="E349" s="100" t="s">
        <v>804</v>
      </c>
      <c r="F349" s="106" t="s">
        <v>805</v>
      </c>
      <c r="G349" s="102">
        <v>96847</v>
      </c>
      <c r="H349" s="101"/>
    </row>
    <row r="350" spans="1:8" s="97" customFormat="1" ht="12">
      <c r="A350" s="90"/>
      <c r="B350" s="90"/>
      <c r="C350" s="91">
        <v>46203</v>
      </c>
      <c r="D350" s="92" t="s">
        <v>806</v>
      </c>
      <c r="E350" s="100" t="s">
        <v>807</v>
      </c>
      <c r="F350" s="106" t="s">
        <v>808</v>
      </c>
      <c r="G350" s="102">
        <v>96847</v>
      </c>
      <c r="H350" s="101"/>
    </row>
    <row r="351" spans="1:8" s="97" customFormat="1" ht="12">
      <c r="A351" s="90"/>
      <c r="B351" s="90"/>
      <c r="C351" s="91">
        <v>46203</v>
      </c>
      <c r="D351" s="92" t="s">
        <v>809</v>
      </c>
      <c r="E351" s="100" t="s">
        <v>810</v>
      </c>
      <c r="F351" s="106" t="s">
        <v>811</v>
      </c>
      <c r="G351" s="102">
        <v>48424</v>
      </c>
      <c r="H351" s="101"/>
    </row>
    <row r="352" spans="1:8" s="97" customFormat="1" ht="12">
      <c r="A352" s="90"/>
      <c r="B352" s="90"/>
      <c r="C352" s="91">
        <v>46203</v>
      </c>
      <c r="D352" s="92" t="s">
        <v>812</v>
      </c>
      <c r="E352" s="100" t="s">
        <v>813</v>
      </c>
      <c r="F352" s="106" t="s">
        <v>814</v>
      </c>
      <c r="G352" s="102">
        <v>129131</v>
      </c>
      <c r="H352" s="101"/>
    </row>
    <row r="353" spans="1:8" s="97" customFormat="1" ht="12">
      <c r="A353" s="90"/>
      <c r="B353" s="90"/>
      <c r="C353" s="91">
        <v>46203</v>
      </c>
      <c r="D353" s="92" t="s">
        <v>815</v>
      </c>
      <c r="E353" s="100" t="s">
        <v>816</v>
      </c>
      <c r="F353" s="106" t="s">
        <v>817</v>
      </c>
      <c r="G353" s="102">
        <v>32282</v>
      </c>
      <c r="H353" s="101"/>
    </row>
    <row r="354" spans="1:8" s="97" customFormat="1" ht="12">
      <c r="A354" s="90"/>
      <c r="B354" s="90"/>
      <c r="C354" s="91">
        <v>46203</v>
      </c>
      <c r="D354" s="92" t="s">
        <v>818</v>
      </c>
      <c r="E354" s="100" t="s">
        <v>819</v>
      </c>
      <c r="F354" s="106" t="s">
        <v>820</v>
      </c>
      <c r="G354" s="102">
        <v>16141</v>
      </c>
      <c r="H354" s="101"/>
    </row>
    <row r="355" spans="1:8" s="97" customFormat="1" ht="12">
      <c r="A355" s="90"/>
      <c r="B355" s="90"/>
      <c r="C355" s="91">
        <v>46203</v>
      </c>
      <c r="D355" s="92" t="s">
        <v>821</v>
      </c>
      <c r="E355" s="100" t="s">
        <v>822</v>
      </c>
      <c r="F355" s="106" t="s">
        <v>823</v>
      </c>
      <c r="G355" s="102">
        <v>32282</v>
      </c>
      <c r="H355" s="101"/>
    </row>
    <row r="356" spans="1:8" s="97" customFormat="1" ht="12">
      <c r="A356" s="90"/>
      <c r="B356" s="90"/>
      <c r="C356" s="91">
        <v>46203</v>
      </c>
      <c r="D356" s="92" t="s">
        <v>824</v>
      </c>
      <c r="E356" s="100" t="s">
        <v>825</v>
      </c>
      <c r="F356" s="106" t="s">
        <v>826</v>
      </c>
      <c r="G356" s="102">
        <v>16141</v>
      </c>
      <c r="H356" s="101"/>
    </row>
    <row r="357" spans="1:8" s="97" customFormat="1" ht="12">
      <c r="A357" s="90"/>
      <c r="B357" s="90"/>
      <c r="C357" s="91">
        <v>46203</v>
      </c>
      <c r="D357" s="92" t="s">
        <v>827</v>
      </c>
      <c r="E357" s="100" t="s">
        <v>828</v>
      </c>
      <c r="F357" s="106" t="s">
        <v>829</v>
      </c>
      <c r="G357" s="102">
        <v>48424</v>
      </c>
      <c r="H357" s="101"/>
    </row>
    <row r="358" spans="1:8" s="97" customFormat="1" ht="12">
      <c r="A358" s="90"/>
      <c r="B358" s="90"/>
      <c r="C358" s="91">
        <v>46203</v>
      </c>
      <c r="D358" s="92" t="s">
        <v>830</v>
      </c>
      <c r="E358" s="100" t="s">
        <v>831</v>
      </c>
      <c r="F358" s="106" t="s">
        <v>832</v>
      </c>
      <c r="G358" s="102">
        <v>290544</v>
      </c>
      <c r="H358" s="101"/>
    </row>
    <row r="359" spans="1:8" s="97" customFormat="1" ht="12">
      <c r="A359" s="90"/>
      <c r="B359" s="90"/>
      <c r="C359" s="91">
        <v>46203</v>
      </c>
      <c r="D359" s="92" t="s">
        <v>833</v>
      </c>
      <c r="E359" s="100" t="s">
        <v>834</v>
      </c>
      <c r="F359" s="106" t="s">
        <v>835</v>
      </c>
      <c r="G359" s="102">
        <v>1693131</v>
      </c>
      <c r="H359" s="101"/>
    </row>
    <row r="360" spans="1:8" s="97" customFormat="1" ht="12">
      <c r="A360" s="90"/>
      <c r="B360" s="90"/>
      <c r="C360" s="91">
        <v>46203</v>
      </c>
      <c r="D360" s="92" t="s">
        <v>836</v>
      </c>
      <c r="E360" s="100" t="s">
        <v>837</v>
      </c>
      <c r="F360" s="106" t="s">
        <v>838</v>
      </c>
      <c r="G360" s="102">
        <v>1681939</v>
      </c>
      <c r="H360" s="101"/>
    </row>
    <row r="361" spans="1:8" s="97" customFormat="1" ht="12">
      <c r="A361" s="90"/>
      <c r="B361" s="90"/>
      <c r="C361" s="91">
        <v>46203</v>
      </c>
      <c r="D361" s="92" t="s">
        <v>836</v>
      </c>
      <c r="E361" s="100" t="s">
        <v>837</v>
      </c>
      <c r="F361" s="106" t="s">
        <v>839</v>
      </c>
      <c r="G361" s="102">
        <v>236990</v>
      </c>
      <c r="H361" s="101"/>
    </row>
    <row r="362" spans="1:8" s="97" customFormat="1" ht="12">
      <c r="A362" s="90"/>
      <c r="B362" s="90"/>
      <c r="C362" s="91">
        <v>46203</v>
      </c>
      <c r="D362" s="92" t="s">
        <v>737</v>
      </c>
      <c r="E362" s="100" t="s">
        <v>738</v>
      </c>
      <c r="F362" s="106" t="s">
        <v>739</v>
      </c>
      <c r="G362" s="102">
        <v>1896</v>
      </c>
      <c r="H362" s="101"/>
    </row>
    <row r="363" spans="1:8" s="97" customFormat="1" ht="12">
      <c r="A363" s="90"/>
      <c r="B363" s="90"/>
      <c r="C363" s="91">
        <v>46203</v>
      </c>
      <c r="D363" s="92" t="s">
        <v>737</v>
      </c>
      <c r="E363" s="100" t="s">
        <v>738</v>
      </c>
      <c r="F363" s="106" t="s">
        <v>740</v>
      </c>
      <c r="G363" s="102">
        <v>811</v>
      </c>
      <c r="H363" s="101"/>
    </row>
    <row r="364" spans="1:8" s="97" customFormat="1" ht="12">
      <c r="A364" s="90"/>
      <c r="B364" s="90"/>
      <c r="C364" s="91">
        <v>46203</v>
      </c>
      <c r="D364" s="92" t="s">
        <v>840</v>
      </c>
      <c r="E364" s="100" t="s">
        <v>841</v>
      </c>
      <c r="F364" s="106" t="s">
        <v>842</v>
      </c>
      <c r="G364" s="102">
        <v>239160</v>
      </c>
      <c r="H364" s="101"/>
    </row>
    <row r="365" spans="1:8" s="97" customFormat="1" ht="12">
      <c r="A365" s="90"/>
      <c r="B365" s="90"/>
      <c r="C365" s="91">
        <v>46203</v>
      </c>
      <c r="D365" s="92" t="s">
        <v>843</v>
      </c>
      <c r="E365" s="100" t="s">
        <v>844</v>
      </c>
      <c r="F365" s="106" t="s">
        <v>845</v>
      </c>
      <c r="G365" s="102">
        <v>43429489</v>
      </c>
      <c r="H365" s="101"/>
    </row>
    <row r="366" spans="1:8" s="97" customFormat="1" ht="12">
      <c r="A366" s="90"/>
      <c r="B366" s="90"/>
      <c r="C366" s="91">
        <v>46203</v>
      </c>
      <c r="D366" s="92" t="s">
        <v>846</v>
      </c>
      <c r="E366" s="100" t="s">
        <v>847</v>
      </c>
      <c r="F366" s="106" t="s">
        <v>848</v>
      </c>
      <c r="G366" s="102">
        <v>186870</v>
      </c>
      <c r="H366" s="101"/>
    </row>
    <row r="367" spans="1:8" s="97" customFormat="1" ht="12">
      <c r="A367" s="90"/>
      <c r="B367" s="90"/>
      <c r="C367" s="91">
        <v>46203</v>
      </c>
      <c r="D367" s="92" t="s">
        <v>849</v>
      </c>
      <c r="E367" s="100" t="s">
        <v>850</v>
      </c>
      <c r="F367" s="106" t="s">
        <v>851</v>
      </c>
      <c r="G367" s="102">
        <v>73735</v>
      </c>
      <c r="H367" s="101"/>
    </row>
    <row r="368" spans="1:8" s="97" customFormat="1" ht="12">
      <c r="A368" s="90"/>
      <c r="B368" s="90"/>
      <c r="C368" s="91">
        <v>46203</v>
      </c>
      <c r="D368" s="92" t="s">
        <v>852</v>
      </c>
      <c r="E368" s="100" t="s">
        <v>853</v>
      </c>
      <c r="F368" s="106" t="s">
        <v>854</v>
      </c>
      <c r="G368" s="102">
        <v>924598</v>
      </c>
      <c r="H368" s="101"/>
    </row>
    <row r="369" spans="1:8" s="97" customFormat="1" ht="12">
      <c r="A369" s="90"/>
      <c r="B369" s="90"/>
      <c r="C369" s="91">
        <v>46203</v>
      </c>
      <c r="D369" s="92" t="s">
        <v>297</v>
      </c>
      <c r="E369" s="100" t="s">
        <v>298</v>
      </c>
      <c r="F369" s="106" t="s">
        <v>855</v>
      </c>
      <c r="G369" s="102">
        <v>66000</v>
      </c>
      <c r="H369" s="101"/>
    </row>
    <row r="370" spans="1:8" s="97" customFormat="1" ht="12">
      <c r="A370" s="90"/>
      <c r="B370" s="90"/>
      <c r="C370" s="91">
        <v>46203</v>
      </c>
      <c r="D370" s="92" t="s">
        <v>297</v>
      </c>
      <c r="E370" s="107" t="s">
        <v>298</v>
      </c>
      <c r="F370" s="106" t="s">
        <v>856</v>
      </c>
      <c r="G370" s="102">
        <v>70000</v>
      </c>
      <c r="H370" s="101"/>
    </row>
    <row r="371" spans="1:8" s="97" customFormat="1" ht="12">
      <c r="A371" s="90"/>
      <c r="B371" s="90"/>
      <c r="C371" s="91">
        <v>46203</v>
      </c>
      <c r="D371" s="92" t="s">
        <v>857</v>
      </c>
      <c r="E371" s="107" t="s">
        <v>858</v>
      </c>
      <c r="F371" s="106" t="s">
        <v>859</v>
      </c>
      <c r="G371" s="102">
        <v>2442000</v>
      </c>
      <c r="H371" s="101"/>
    </row>
    <row r="372" spans="1:8" s="97" customFormat="1" ht="12">
      <c r="A372" s="90"/>
      <c r="B372" s="90"/>
      <c r="C372" s="91">
        <v>46203</v>
      </c>
      <c r="D372" s="92" t="s">
        <v>860</v>
      </c>
      <c r="E372" s="107" t="s">
        <v>861</v>
      </c>
      <c r="F372" s="106" t="s">
        <v>862</v>
      </c>
      <c r="G372" s="102">
        <v>23498400</v>
      </c>
      <c r="H372" s="101"/>
    </row>
    <row r="373" spans="1:8" s="97" customFormat="1" ht="12">
      <c r="A373" s="90"/>
      <c r="B373" s="90"/>
      <c r="C373" s="91">
        <v>46203</v>
      </c>
      <c r="D373" s="92" t="s">
        <v>860</v>
      </c>
      <c r="E373" s="100" t="s">
        <v>861</v>
      </c>
      <c r="F373" s="106" t="s">
        <v>863</v>
      </c>
      <c r="G373" s="102">
        <v>3124660</v>
      </c>
      <c r="H373" s="101"/>
    </row>
    <row r="374" spans="1:8" s="97" customFormat="1" ht="12">
      <c r="A374" s="90"/>
      <c r="B374" s="90"/>
      <c r="C374" s="91">
        <v>46203</v>
      </c>
      <c r="D374" s="92" t="s">
        <v>860</v>
      </c>
      <c r="E374" s="100" t="s">
        <v>861</v>
      </c>
      <c r="F374" s="106" t="s">
        <v>864</v>
      </c>
      <c r="G374" s="102">
        <v>-69000</v>
      </c>
      <c r="H374" s="101"/>
    </row>
    <row r="375" spans="1:8" s="97" customFormat="1" ht="12">
      <c r="A375" s="90"/>
      <c r="B375" s="90"/>
      <c r="C375" s="91">
        <v>46203</v>
      </c>
      <c r="D375" s="92" t="s">
        <v>865</v>
      </c>
      <c r="E375" s="100" t="s">
        <v>866</v>
      </c>
      <c r="F375" s="106" t="s">
        <v>867</v>
      </c>
      <c r="G375" s="102">
        <v>84298</v>
      </c>
      <c r="H375" s="101"/>
    </row>
    <row r="376" spans="1:8" s="97" customFormat="1" ht="12">
      <c r="A376" s="90"/>
      <c r="B376" s="90"/>
      <c r="C376" s="91">
        <v>46203</v>
      </c>
      <c r="D376" s="92" t="s">
        <v>868</v>
      </c>
      <c r="E376" s="100" t="s">
        <v>869</v>
      </c>
      <c r="F376" s="106" t="s">
        <v>870</v>
      </c>
      <c r="G376" s="102">
        <v>16638</v>
      </c>
      <c r="H376" s="101"/>
    </row>
    <row r="377" spans="1:8" s="97" customFormat="1" ht="12">
      <c r="A377" s="90"/>
      <c r="B377" s="90"/>
      <c r="C377" s="91">
        <v>46203</v>
      </c>
      <c r="D377" s="92" t="s">
        <v>129</v>
      </c>
      <c r="E377" s="100" t="s">
        <v>130</v>
      </c>
      <c r="F377" s="106" t="s">
        <v>871</v>
      </c>
      <c r="G377" s="102">
        <v>1678</v>
      </c>
      <c r="H377" s="101"/>
    </row>
    <row r="378" spans="1:8" s="97" customFormat="1" ht="12">
      <c r="A378" s="90"/>
      <c r="B378" s="90"/>
      <c r="C378" s="91">
        <v>46203</v>
      </c>
      <c r="D378" s="92" t="s">
        <v>872</v>
      </c>
      <c r="E378" s="100" t="s">
        <v>873</v>
      </c>
      <c r="F378" s="106" t="s">
        <v>874</v>
      </c>
      <c r="G378" s="102">
        <v>2376840</v>
      </c>
      <c r="H378" s="101"/>
    </row>
    <row r="379" spans="1:8" s="97" customFormat="1" ht="12">
      <c r="A379" s="90"/>
      <c r="B379" s="90"/>
      <c r="C379" s="91">
        <v>46203</v>
      </c>
      <c r="D379" s="92" t="s">
        <v>872</v>
      </c>
      <c r="E379" s="100" t="s">
        <v>873</v>
      </c>
      <c r="F379" s="106" t="s">
        <v>875</v>
      </c>
      <c r="G379" s="102">
        <v>55000</v>
      </c>
      <c r="H379" s="101"/>
    </row>
    <row r="380" spans="1:8" s="97" customFormat="1" ht="12">
      <c r="A380" s="90"/>
      <c r="B380" s="90"/>
      <c r="C380" s="91">
        <v>46203</v>
      </c>
      <c r="D380" s="92" t="s">
        <v>876</v>
      </c>
      <c r="E380" s="100" t="s">
        <v>877</v>
      </c>
      <c r="F380" s="106" t="s">
        <v>878</v>
      </c>
      <c r="G380" s="102">
        <v>42217</v>
      </c>
      <c r="H380" s="101"/>
    </row>
    <row r="381" spans="1:8" s="97" customFormat="1" ht="12">
      <c r="A381" s="90"/>
      <c r="B381" s="90"/>
      <c r="C381" s="91">
        <v>46203</v>
      </c>
      <c r="D381" s="92" t="s">
        <v>876</v>
      </c>
      <c r="E381" s="100" t="s">
        <v>877</v>
      </c>
      <c r="F381" s="106" t="s">
        <v>879</v>
      </c>
      <c r="G381" s="102">
        <v>363</v>
      </c>
      <c r="H381" s="101"/>
    </row>
    <row r="382" spans="1:8" s="97" customFormat="1" ht="12">
      <c r="A382" s="90"/>
      <c r="B382" s="90"/>
      <c r="C382" s="91">
        <v>46203</v>
      </c>
      <c r="D382" s="92" t="s">
        <v>880</v>
      </c>
      <c r="E382" s="100" t="s">
        <v>881</v>
      </c>
      <c r="F382" s="106" t="s">
        <v>882</v>
      </c>
      <c r="G382" s="102">
        <v>914762</v>
      </c>
      <c r="H382" s="106"/>
    </row>
    <row r="383" spans="1:8" s="97" customFormat="1" ht="12">
      <c r="A383" s="90"/>
      <c r="B383" s="90"/>
      <c r="C383" s="91">
        <v>46203</v>
      </c>
      <c r="D383" s="92" t="s">
        <v>883</v>
      </c>
      <c r="E383" s="100" t="s">
        <v>884</v>
      </c>
      <c r="F383" s="106" t="s">
        <v>885</v>
      </c>
      <c r="G383" s="102">
        <v>4709441</v>
      </c>
      <c r="H383" s="101"/>
    </row>
    <row r="384" spans="1:8" s="97" customFormat="1" ht="12">
      <c r="A384" s="90"/>
      <c r="B384" s="90"/>
      <c r="C384" s="91">
        <v>46203</v>
      </c>
      <c r="D384" s="92" t="s">
        <v>883</v>
      </c>
      <c r="E384" s="100" t="s">
        <v>884</v>
      </c>
      <c r="F384" s="106" t="s">
        <v>886</v>
      </c>
      <c r="G384" s="102">
        <v>1650000</v>
      </c>
      <c r="H384" s="101"/>
    </row>
    <row r="385" spans="1:8" s="97" customFormat="1" ht="12">
      <c r="A385" s="90"/>
      <c r="B385" s="90"/>
      <c r="C385" s="91">
        <v>46203</v>
      </c>
      <c r="D385" s="92" t="s">
        <v>883</v>
      </c>
      <c r="E385" s="100" t="s">
        <v>884</v>
      </c>
      <c r="F385" s="106" t="s">
        <v>887</v>
      </c>
      <c r="G385" s="102">
        <v>9038371</v>
      </c>
      <c r="H385" s="101"/>
    </row>
    <row r="386" spans="1:8" s="97" customFormat="1" ht="12">
      <c r="A386" s="90"/>
      <c r="B386" s="90"/>
      <c r="C386" s="91">
        <v>46203</v>
      </c>
      <c r="D386" s="92" t="s">
        <v>282</v>
      </c>
      <c r="E386" s="100" t="s">
        <v>294</v>
      </c>
      <c r="F386" s="106" t="s">
        <v>888</v>
      </c>
      <c r="G386" s="102">
        <v>650500</v>
      </c>
      <c r="H386" s="101"/>
    </row>
    <row r="387" spans="1:8" s="97" customFormat="1" ht="12">
      <c r="A387" s="90"/>
      <c r="B387" s="90"/>
      <c r="C387" s="91">
        <v>46203</v>
      </c>
      <c r="D387" s="92" t="s">
        <v>889</v>
      </c>
      <c r="E387" s="100" t="s">
        <v>890</v>
      </c>
      <c r="F387" s="106" t="s">
        <v>891</v>
      </c>
      <c r="G387" s="102">
        <v>281035</v>
      </c>
      <c r="H387" s="101"/>
    </row>
    <row r="388" spans="1:8" s="97" customFormat="1" ht="12">
      <c r="A388" s="90"/>
      <c r="B388" s="90"/>
      <c r="C388" s="91">
        <v>46203</v>
      </c>
      <c r="D388" s="92" t="s">
        <v>892</v>
      </c>
      <c r="E388" s="100" t="s">
        <v>893</v>
      </c>
      <c r="F388" s="106" t="s">
        <v>894</v>
      </c>
      <c r="G388" s="102">
        <v>85419</v>
      </c>
      <c r="H388" s="101"/>
    </row>
    <row r="389" spans="1:8" s="97" customFormat="1" ht="12">
      <c r="A389" s="90"/>
      <c r="B389" s="90"/>
      <c r="C389" s="91">
        <v>46203</v>
      </c>
      <c r="D389" s="92" t="s">
        <v>892</v>
      </c>
      <c r="E389" s="100" t="s">
        <v>893</v>
      </c>
      <c r="F389" s="106" t="s">
        <v>895</v>
      </c>
      <c r="G389" s="102">
        <v>2597</v>
      </c>
      <c r="H389" s="101"/>
    </row>
    <row r="390" spans="1:8" s="97" customFormat="1" ht="12">
      <c r="A390" s="90"/>
      <c r="B390" s="90"/>
      <c r="C390" s="91">
        <v>46203</v>
      </c>
      <c r="D390" s="92" t="s">
        <v>896</v>
      </c>
      <c r="E390" s="100" t="s">
        <v>897</v>
      </c>
      <c r="F390" s="106" t="s">
        <v>898</v>
      </c>
      <c r="G390" s="102">
        <v>238267</v>
      </c>
      <c r="H390" s="101"/>
    </row>
    <row r="391" spans="1:8" s="97" customFormat="1" ht="12">
      <c r="A391" s="90"/>
      <c r="B391" s="90"/>
      <c r="C391" s="91">
        <v>46203</v>
      </c>
      <c r="D391" s="92" t="s">
        <v>896</v>
      </c>
      <c r="E391" s="100" t="s">
        <v>897</v>
      </c>
      <c r="F391" s="106" t="s">
        <v>899</v>
      </c>
      <c r="G391" s="102">
        <v>55000</v>
      </c>
      <c r="H391" s="101"/>
    </row>
    <row r="392" spans="1:8" s="97" customFormat="1" ht="12">
      <c r="A392" s="90"/>
      <c r="B392" s="90"/>
      <c r="C392" s="91">
        <v>46203</v>
      </c>
      <c r="D392" s="92" t="s">
        <v>900</v>
      </c>
      <c r="E392" s="100" t="s">
        <v>901</v>
      </c>
      <c r="F392" s="106" t="s">
        <v>902</v>
      </c>
      <c r="G392" s="102">
        <v>87884880</v>
      </c>
      <c r="H392" s="101"/>
    </row>
    <row r="393" spans="1:8" s="97" customFormat="1" ht="12">
      <c r="A393" s="90"/>
      <c r="B393" s="90"/>
      <c r="C393" s="91">
        <v>46203</v>
      </c>
      <c r="D393" s="92" t="s">
        <v>900</v>
      </c>
      <c r="E393" s="100" t="s">
        <v>901</v>
      </c>
      <c r="F393" s="106" t="s">
        <v>903</v>
      </c>
      <c r="G393" s="102">
        <v>86250080</v>
      </c>
      <c r="H393" s="101"/>
    </row>
    <row r="394" spans="1:8" s="97" customFormat="1" ht="12">
      <c r="A394" s="90"/>
      <c r="B394" s="90"/>
      <c r="C394" s="91">
        <v>46203</v>
      </c>
      <c r="D394" s="92" t="s">
        <v>900</v>
      </c>
      <c r="E394" s="100" t="s">
        <v>901</v>
      </c>
      <c r="F394" s="106" t="s">
        <v>904</v>
      </c>
      <c r="G394" s="102">
        <v>20994200</v>
      </c>
      <c r="H394" s="101"/>
    </row>
    <row r="395" spans="1:8" s="97" customFormat="1" ht="12">
      <c r="A395" s="90"/>
      <c r="B395" s="90"/>
      <c r="C395" s="91">
        <v>46203</v>
      </c>
      <c r="D395" s="92" t="s">
        <v>900</v>
      </c>
      <c r="E395" s="100" t="s">
        <v>901</v>
      </c>
      <c r="F395" s="106" t="s">
        <v>905</v>
      </c>
      <c r="G395" s="102">
        <v>449540</v>
      </c>
      <c r="H395" s="101"/>
    </row>
    <row r="396" spans="1:8" s="97" customFormat="1" ht="12">
      <c r="A396" s="90"/>
      <c r="B396" s="90"/>
      <c r="C396" s="91">
        <v>46203</v>
      </c>
      <c r="D396" s="92" t="s">
        <v>900</v>
      </c>
      <c r="E396" s="100" t="s">
        <v>901</v>
      </c>
      <c r="F396" s="106" t="s">
        <v>906</v>
      </c>
      <c r="G396" s="102">
        <v>4112260</v>
      </c>
      <c r="H396" s="101"/>
    </row>
    <row r="397" spans="1:8" s="97" customFormat="1" ht="12">
      <c r="A397" s="90"/>
      <c r="B397" s="90"/>
      <c r="C397" s="91">
        <v>46203</v>
      </c>
      <c r="D397" s="92" t="s">
        <v>900</v>
      </c>
      <c r="E397" s="100" t="s">
        <v>901</v>
      </c>
      <c r="F397" s="106" t="s">
        <v>907</v>
      </c>
      <c r="G397" s="102">
        <v>2997620</v>
      </c>
      <c r="H397" s="101"/>
    </row>
    <row r="398" spans="1:8" s="97" customFormat="1" ht="12">
      <c r="A398" s="90"/>
      <c r="B398" s="90"/>
      <c r="C398" s="91">
        <v>46203</v>
      </c>
      <c r="D398" s="92" t="s">
        <v>908</v>
      </c>
      <c r="E398" s="100" t="s">
        <v>909</v>
      </c>
      <c r="F398" s="106" t="s">
        <v>910</v>
      </c>
      <c r="G398" s="102">
        <v>198628</v>
      </c>
      <c r="H398" s="101"/>
    </row>
    <row r="399" spans="1:8" s="97" customFormat="1" ht="12">
      <c r="A399" s="90"/>
      <c r="B399" s="90"/>
      <c r="C399" s="91">
        <v>46203</v>
      </c>
      <c r="D399" s="92" t="s">
        <v>911</v>
      </c>
      <c r="E399" s="100" t="s">
        <v>912</v>
      </c>
      <c r="F399" s="106" t="s">
        <v>913</v>
      </c>
      <c r="G399" s="102">
        <v>14771</v>
      </c>
      <c r="H399" s="101"/>
    </row>
    <row r="400" spans="1:8" s="97" customFormat="1" ht="12">
      <c r="A400" s="90"/>
      <c r="B400" s="90"/>
      <c r="C400" s="91">
        <v>46203</v>
      </c>
      <c r="D400" s="92" t="s">
        <v>129</v>
      </c>
      <c r="E400" s="100" t="s">
        <v>130</v>
      </c>
      <c r="F400" s="106" t="s">
        <v>914</v>
      </c>
      <c r="G400" s="102">
        <v>62638</v>
      </c>
      <c r="H400" s="101"/>
    </row>
    <row r="401" spans="1:8" s="97" customFormat="1" ht="12">
      <c r="A401" s="90"/>
      <c r="B401" s="90"/>
      <c r="C401" s="91">
        <v>46203</v>
      </c>
      <c r="D401" s="92" t="s">
        <v>129</v>
      </c>
      <c r="E401" s="100" t="s">
        <v>130</v>
      </c>
      <c r="F401" s="106" t="s">
        <v>915</v>
      </c>
      <c r="G401" s="102">
        <v>289497</v>
      </c>
      <c r="H401" s="101"/>
    </row>
    <row r="402" spans="1:8" s="97" customFormat="1" ht="12">
      <c r="A402" s="90"/>
      <c r="B402" s="90"/>
      <c r="C402" s="91">
        <v>46203</v>
      </c>
      <c r="D402" s="92" t="s">
        <v>916</v>
      </c>
      <c r="E402" s="100" t="s">
        <v>917</v>
      </c>
      <c r="F402" s="106" t="s">
        <v>918</v>
      </c>
      <c r="G402" s="102">
        <v>14044</v>
      </c>
      <c r="H402" s="101"/>
    </row>
    <row r="403" spans="1:8" s="97" customFormat="1" ht="12">
      <c r="A403" s="90"/>
      <c r="B403" s="90"/>
      <c r="C403" s="91">
        <v>46203</v>
      </c>
      <c r="D403" s="92" t="s">
        <v>919</v>
      </c>
      <c r="E403" s="100" t="s">
        <v>920</v>
      </c>
      <c r="F403" s="106" t="s">
        <v>921</v>
      </c>
      <c r="G403" s="102">
        <v>3354</v>
      </c>
      <c r="H403" s="101"/>
    </row>
    <row r="404" spans="1:8" s="97" customFormat="1" ht="12">
      <c r="A404" s="90"/>
      <c r="B404" s="90"/>
      <c r="C404" s="91">
        <v>46203</v>
      </c>
      <c r="D404" s="92" t="s">
        <v>922</v>
      </c>
      <c r="E404" s="100" t="s">
        <v>923</v>
      </c>
      <c r="F404" s="106" t="s">
        <v>924</v>
      </c>
      <c r="G404" s="102">
        <v>13846860</v>
      </c>
      <c r="H404" s="101"/>
    </row>
    <row r="405" spans="1:8" s="97" customFormat="1" ht="12">
      <c r="A405" s="90"/>
      <c r="B405" s="90"/>
      <c r="C405" s="91">
        <v>46203</v>
      </c>
      <c r="D405" s="92" t="s">
        <v>925</v>
      </c>
      <c r="E405" s="100" t="s">
        <v>926</v>
      </c>
      <c r="F405" s="106" t="s">
        <v>927</v>
      </c>
      <c r="G405" s="102">
        <v>44054</v>
      </c>
      <c r="H405" s="101"/>
    </row>
    <row r="406" spans="1:8" s="97" customFormat="1" ht="12">
      <c r="A406" s="90"/>
      <c r="B406" s="90"/>
      <c r="C406" s="91">
        <v>46203</v>
      </c>
      <c r="D406" s="92" t="s">
        <v>928</v>
      </c>
      <c r="E406" s="100" t="s">
        <v>929</v>
      </c>
      <c r="F406" s="106" t="s">
        <v>930</v>
      </c>
      <c r="G406" s="102">
        <v>2200000</v>
      </c>
      <c r="H406" s="101"/>
    </row>
    <row r="407" spans="1:8" s="97" customFormat="1" ht="12">
      <c r="A407" s="90"/>
      <c r="B407" s="90"/>
      <c r="C407" s="91">
        <v>46203</v>
      </c>
      <c r="D407" s="92" t="s">
        <v>617</v>
      </c>
      <c r="E407" s="100" t="s">
        <v>618</v>
      </c>
      <c r="F407" s="106" t="s">
        <v>931</v>
      </c>
      <c r="G407" s="102">
        <v>1870000</v>
      </c>
      <c r="H407" s="101"/>
    </row>
    <row r="408" spans="1:8" s="97" customFormat="1" ht="12">
      <c r="A408" s="90"/>
      <c r="B408" s="90"/>
      <c r="C408" s="91">
        <v>46203</v>
      </c>
      <c r="D408" s="92" t="s">
        <v>928</v>
      </c>
      <c r="E408" s="100" t="s">
        <v>929</v>
      </c>
      <c r="F408" s="106" t="s">
        <v>932</v>
      </c>
      <c r="G408" s="102">
        <v>16897980</v>
      </c>
      <c r="H408" s="101"/>
    </row>
    <row r="409" spans="1:8" s="97" customFormat="1" ht="12">
      <c r="A409" s="90"/>
      <c r="B409" s="90"/>
      <c r="C409" s="91">
        <v>46203</v>
      </c>
      <c r="D409" s="92" t="s">
        <v>933</v>
      </c>
      <c r="E409" s="100" t="s">
        <v>934</v>
      </c>
      <c r="F409" s="106" t="s">
        <v>935</v>
      </c>
      <c r="G409" s="102">
        <v>1509820</v>
      </c>
      <c r="H409" s="101"/>
    </row>
    <row r="410" spans="1:8" s="97" customFormat="1" ht="12">
      <c r="A410" s="90"/>
      <c r="B410" s="90"/>
      <c r="C410" s="91">
        <v>46203</v>
      </c>
      <c r="D410" s="92" t="s">
        <v>448</v>
      </c>
      <c r="E410" s="100" t="s">
        <v>449</v>
      </c>
      <c r="F410" s="106" t="s">
        <v>936</v>
      </c>
      <c r="G410" s="102">
        <v>2071990</v>
      </c>
      <c r="H410" s="101"/>
    </row>
    <row r="411" spans="1:8" s="97" customFormat="1" ht="12">
      <c r="A411" s="90"/>
      <c r="B411" s="90"/>
      <c r="C411" s="91">
        <v>46203</v>
      </c>
      <c r="D411" s="92" t="s">
        <v>937</v>
      </c>
      <c r="E411" s="100" t="s">
        <v>938</v>
      </c>
      <c r="F411" s="106" t="s">
        <v>939</v>
      </c>
      <c r="G411" s="102">
        <v>10793</v>
      </c>
      <c r="H411" s="101"/>
    </row>
    <row r="412" spans="1:8" s="97" customFormat="1" ht="12">
      <c r="A412" s="90"/>
      <c r="B412" s="90"/>
      <c r="C412" s="91">
        <v>46203</v>
      </c>
      <c r="D412" s="92" t="s">
        <v>940</v>
      </c>
      <c r="E412" s="100" t="s">
        <v>941</v>
      </c>
      <c r="F412" s="106" t="s">
        <v>942</v>
      </c>
      <c r="G412" s="102">
        <v>550000</v>
      </c>
      <c r="H412" s="101"/>
    </row>
    <row r="413" spans="1:8" s="97" customFormat="1" ht="12">
      <c r="A413" s="90"/>
      <c r="B413" s="90"/>
      <c r="C413" s="91">
        <v>46203</v>
      </c>
      <c r="D413" s="92" t="s">
        <v>943</v>
      </c>
      <c r="E413" s="100" t="s">
        <v>944</v>
      </c>
      <c r="F413" s="106" t="s">
        <v>945</v>
      </c>
      <c r="G413" s="102">
        <v>42827</v>
      </c>
      <c r="H413" s="101"/>
    </row>
    <row r="414" spans="1:8" s="97" customFormat="1" ht="12">
      <c r="A414" s="90"/>
      <c r="B414" s="90"/>
      <c r="C414" s="91">
        <v>46203</v>
      </c>
      <c r="D414" s="92" t="s">
        <v>946</v>
      </c>
      <c r="E414" s="100" t="s">
        <v>947</v>
      </c>
      <c r="F414" s="106" t="s">
        <v>948</v>
      </c>
      <c r="G414" s="102">
        <v>85654</v>
      </c>
      <c r="H414" s="101"/>
    </row>
    <row r="415" spans="1:8" s="97" customFormat="1" ht="12">
      <c r="A415" s="90"/>
      <c r="B415" s="90"/>
      <c r="C415" s="91">
        <v>46203</v>
      </c>
      <c r="D415" s="92" t="s">
        <v>949</v>
      </c>
      <c r="E415" s="100" t="s">
        <v>950</v>
      </c>
      <c r="F415" s="106" t="s">
        <v>951</v>
      </c>
      <c r="G415" s="102">
        <v>28551</v>
      </c>
      <c r="H415" s="101"/>
    </row>
    <row r="416" spans="1:8" s="97" customFormat="1" ht="12">
      <c r="A416" s="90"/>
      <c r="B416" s="90"/>
      <c r="C416" s="91">
        <v>46203</v>
      </c>
      <c r="D416" s="92" t="s">
        <v>952</v>
      </c>
      <c r="E416" s="100" t="s">
        <v>953</v>
      </c>
      <c r="F416" s="106" t="s">
        <v>954</v>
      </c>
      <c r="G416" s="102">
        <v>114206</v>
      </c>
      <c r="H416" s="101"/>
    </row>
    <row r="417" spans="1:8" s="97" customFormat="1" ht="12">
      <c r="A417" s="90"/>
      <c r="B417" s="90"/>
      <c r="C417" s="91">
        <v>46203</v>
      </c>
      <c r="D417" s="92" t="s">
        <v>955</v>
      </c>
      <c r="E417" s="100" t="s">
        <v>956</v>
      </c>
      <c r="F417" s="106" t="s">
        <v>957</v>
      </c>
      <c r="G417" s="102">
        <v>14275</v>
      </c>
      <c r="H417" s="101"/>
    </row>
    <row r="418" spans="1:8" s="97" customFormat="1" ht="12">
      <c r="A418" s="90"/>
      <c r="B418" s="90"/>
      <c r="C418" s="91">
        <v>46203</v>
      </c>
      <c r="D418" s="92" t="s">
        <v>958</v>
      </c>
      <c r="E418" s="100" t="s">
        <v>959</v>
      </c>
      <c r="F418" s="106" t="s">
        <v>960</v>
      </c>
      <c r="G418" s="102">
        <v>99930</v>
      </c>
      <c r="H418" s="101"/>
    </row>
    <row r="419" spans="1:8" s="97" customFormat="1" ht="12">
      <c r="A419" s="90"/>
      <c r="B419" s="90"/>
      <c r="C419" s="91">
        <v>46203</v>
      </c>
      <c r="D419" s="92" t="s">
        <v>961</v>
      </c>
      <c r="E419" s="100" t="s">
        <v>962</v>
      </c>
      <c r="F419" s="106" t="s">
        <v>963</v>
      </c>
      <c r="G419" s="102">
        <v>28551</v>
      </c>
      <c r="H419" s="101"/>
    </row>
    <row r="420" spans="1:8" s="97" customFormat="1" ht="12">
      <c r="A420" s="90"/>
      <c r="B420" s="90"/>
      <c r="C420" s="91">
        <v>46203</v>
      </c>
      <c r="D420" s="92" t="s">
        <v>964</v>
      </c>
      <c r="E420" s="100" t="s">
        <v>965</v>
      </c>
      <c r="F420" s="106" t="s">
        <v>966</v>
      </c>
      <c r="G420" s="102">
        <v>57103</v>
      </c>
      <c r="H420" s="101"/>
    </row>
    <row r="421" spans="1:8" s="97" customFormat="1" ht="12">
      <c r="A421" s="90"/>
      <c r="B421" s="90"/>
      <c r="C421" s="91">
        <v>46203</v>
      </c>
      <c r="D421" s="92" t="s">
        <v>967</v>
      </c>
      <c r="E421" s="100" t="s">
        <v>968</v>
      </c>
      <c r="F421" s="106" t="s">
        <v>969</v>
      </c>
      <c r="G421" s="102">
        <v>28551</v>
      </c>
      <c r="H421" s="101"/>
    </row>
    <row r="422" spans="1:8" s="97" customFormat="1" ht="12">
      <c r="A422" s="90"/>
      <c r="B422" s="90"/>
      <c r="C422" s="91">
        <v>46203</v>
      </c>
      <c r="D422" s="92" t="s">
        <v>970</v>
      </c>
      <c r="E422" s="100" t="s">
        <v>971</v>
      </c>
      <c r="F422" s="106" t="s">
        <v>972</v>
      </c>
      <c r="G422" s="102">
        <v>85654</v>
      </c>
      <c r="H422" s="101"/>
    </row>
    <row r="423" spans="1:8" s="97" customFormat="1" ht="12">
      <c r="A423" s="90"/>
      <c r="B423" s="90"/>
      <c r="C423" s="91">
        <v>46203</v>
      </c>
      <c r="D423" s="92" t="s">
        <v>973</v>
      </c>
      <c r="E423" s="100" t="s">
        <v>974</v>
      </c>
      <c r="F423" s="106" t="s">
        <v>975</v>
      </c>
      <c r="G423" s="102">
        <v>57103</v>
      </c>
      <c r="H423" s="101"/>
    </row>
    <row r="424" spans="1:8" s="97" customFormat="1" ht="12">
      <c r="A424" s="90"/>
      <c r="B424" s="90"/>
      <c r="C424" s="91">
        <v>46203</v>
      </c>
      <c r="D424" s="92" t="s">
        <v>976</v>
      </c>
      <c r="E424" s="100" t="s">
        <v>977</v>
      </c>
      <c r="F424" s="106" t="s">
        <v>978</v>
      </c>
      <c r="G424" s="102">
        <v>71379</v>
      </c>
      <c r="H424" s="101"/>
    </row>
    <row r="425" spans="1:8" s="97" customFormat="1" ht="12">
      <c r="A425" s="90"/>
      <c r="B425" s="90"/>
      <c r="C425" s="91">
        <v>46203</v>
      </c>
      <c r="D425" s="92" t="s">
        <v>979</v>
      </c>
      <c r="E425" s="100" t="s">
        <v>980</v>
      </c>
      <c r="F425" s="106" t="s">
        <v>981</v>
      </c>
      <c r="G425" s="102">
        <v>28551</v>
      </c>
      <c r="H425" s="101"/>
    </row>
    <row r="426" spans="1:8" s="97" customFormat="1" ht="12">
      <c r="A426" s="90"/>
      <c r="B426" s="90"/>
      <c r="C426" s="91">
        <v>46203</v>
      </c>
      <c r="D426" s="92" t="s">
        <v>943</v>
      </c>
      <c r="E426" s="100" t="s">
        <v>944</v>
      </c>
      <c r="F426" s="106" t="s">
        <v>982</v>
      </c>
      <c r="G426" s="102">
        <v>24102</v>
      </c>
      <c r="H426" s="101"/>
    </row>
    <row r="427" spans="1:8" s="97" customFormat="1" ht="12">
      <c r="A427" s="90"/>
      <c r="B427" s="90"/>
      <c r="C427" s="91">
        <v>46203</v>
      </c>
      <c r="D427" s="92" t="s">
        <v>946</v>
      </c>
      <c r="E427" s="100" t="s">
        <v>947</v>
      </c>
      <c r="F427" s="106" t="s">
        <v>983</v>
      </c>
      <c r="G427" s="102">
        <v>48204</v>
      </c>
      <c r="H427" s="101"/>
    </row>
    <row r="428" spans="1:8" s="97" customFormat="1" ht="12">
      <c r="A428" s="90"/>
      <c r="B428" s="90"/>
      <c r="C428" s="91">
        <v>46203</v>
      </c>
      <c r="D428" s="92" t="s">
        <v>949</v>
      </c>
      <c r="E428" s="100" t="s">
        <v>950</v>
      </c>
      <c r="F428" s="106" t="s">
        <v>984</v>
      </c>
      <c r="G428" s="102">
        <v>16068</v>
      </c>
      <c r="H428" s="101"/>
    </row>
    <row r="429" spans="1:8" s="97" customFormat="1" ht="12">
      <c r="A429" s="90"/>
      <c r="B429" s="90"/>
      <c r="C429" s="91">
        <v>46203</v>
      </c>
      <c r="D429" s="92" t="s">
        <v>952</v>
      </c>
      <c r="E429" s="100" t="s">
        <v>953</v>
      </c>
      <c r="F429" s="106" t="s">
        <v>985</v>
      </c>
      <c r="G429" s="102">
        <v>64272</v>
      </c>
      <c r="H429" s="101"/>
    </row>
    <row r="430" spans="1:8" s="97" customFormat="1" ht="12">
      <c r="A430" s="90"/>
      <c r="B430" s="90"/>
      <c r="C430" s="91">
        <v>46203</v>
      </c>
      <c r="D430" s="92" t="s">
        <v>955</v>
      </c>
      <c r="E430" s="100" t="s">
        <v>956</v>
      </c>
      <c r="F430" s="106" t="s">
        <v>986</v>
      </c>
      <c r="G430" s="102">
        <v>8034</v>
      </c>
      <c r="H430" s="101"/>
    </row>
    <row r="431" spans="1:8" s="97" customFormat="1" ht="12">
      <c r="A431" s="90"/>
      <c r="B431" s="90"/>
      <c r="C431" s="91">
        <v>46203</v>
      </c>
      <c r="D431" s="92" t="s">
        <v>958</v>
      </c>
      <c r="E431" s="100" t="s">
        <v>959</v>
      </c>
      <c r="F431" s="106" t="s">
        <v>987</v>
      </c>
      <c r="G431" s="102">
        <v>56238</v>
      </c>
      <c r="H431" s="101"/>
    </row>
    <row r="432" spans="1:8" s="97" customFormat="1" ht="12">
      <c r="A432" s="90"/>
      <c r="B432" s="90"/>
      <c r="C432" s="91">
        <v>46203</v>
      </c>
      <c r="D432" s="92" t="s">
        <v>961</v>
      </c>
      <c r="E432" s="100" t="s">
        <v>962</v>
      </c>
      <c r="F432" s="106" t="s">
        <v>988</v>
      </c>
      <c r="G432" s="102">
        <v>16068</v>
      </c>
      <c r="H432" s="101"/>
    </row>
    <row r="433" spans="1:8" s="97" customFormat="1" ht="12">
      <c r="A433" s="90"/>
      <c r="B433" s="90"/>
      <c r="C433" s="91">
        <v>46203</v>
      </c>
      <c r="D433" s="92" t="s">
        <v>964</v>
      </c>
      <c r="E433" s="100" t="s">
        <v>965</v>
      </c>
      <c r="F433" s="106" t="s">
        <v>989</v>
      </c>
      <c r="G433" s="102">
        <v>32136</v>
      </c>
      <c r="H433" s="101"/>
    </row>
    <row r="434" spans="1:8" s="97" customFormat="1" ht="12">
      <c r="A434" s="90"/>
      <c r="B434" s="90"/>
      <c r="C434" s="91">
        <v>46203</v>
      </c>
      <c r="D434" s="92" t="s">
        <v>967</v>
      </c>
      <c r="E434" s="100" t="s">
        <v>968</v>
      </c>
      <c r="F434" s="106" t="s">
        <v>990</v>
      </c>
      <c r="G434" s="102">
        <v>16068</v>
      </c>
      <c r="H434" s="101"/>
    </row>
    <row r="435" spans="1:8" s="97" customFormat="1" ht="12">
      <c r="A435" s="90"/>
      <c r="B435" s="90"/>
      <c r="C435" s="91">
        <v>46203</v>
      </c>
      <c r="D435" s="92" t="s">
        <v>970</v>
      </c>
      <c r="E435" s="100" t="s">
        <v>971</v>
      </c>
      <c r="F435" s="106" t="s">
        <v>991</v>
      </c>
      <c r="G435" s="102">
        <v>48204</v>
      </c>
      <c r="H435" s="101"/>
    </row>
    <row r="436" spans="1:8" s="97" customFormat="1" ht="12">
      <c r="A436" s="90"/>
      <c r="B436" s="90"/>
      <c r="C436" s="91">
        <v>46203</v>
      </c>
      <c r="D436" s="92" t="s">
        <v>973</v>
      </c>
      <c r="E436" s="100" t="s">
        <v>974</v>
      </c>
      <c r="F436" s="106" t="s">
        <v>992</v>
      </c>
      <c r="G436" s="102">
        <v>32136</v>
      </c>
      <c r="H436" s="101"/>
    </row>
    <row r="437" spans="1:8" s="97" customFormat="1" ht="12">
      <c r="A437" s="90"/>
      <c r="B437" s="90"/>
      <c r="C437" s="91">
        <v>46203</v>
      </c>
      <c r="D437" s="92" t="s">
        <v>976</v>
      </c>
      <c r="E437" s="100" t="s">
        <v>977</v>
      </c>
      <c r="F437" s="106" t="s">
        <v>993</v>
      </c>
      <c r="G437" s="102">
        <v>40170</v>
      </c>
      <c r="H437" s="101"/>
    </row>
    <row r="438" spans="1:8" s="97" customFormat="1" ht="12">
      <c r="A438" s="90"/>
      <c r="B438" s="90"/>
      <c r="C438" s="91">
        <v>46203</v>
      </c>
      <c r="D438" s="92" t="s">
        <v>979</v>
      </c>
      <c r="E438" s="100" t="s">
        <v>980</v>
      </c>
      <c r="F438" s="106" t="s">
        <v>994</v>
      </c>
      <c r="G438" s="102">
        <v>16068</v>
      </c>
      <c r="H438" s="101"/>
    </row>
    <row r="439" spans="1:8" s="97" customFormat="1" ht="12">
      <c r="A439" s="90"/>
      <c r="B439" s="90"/>
      <c r="C439" s="91">
        <v>46203</v>
      </c>
      <c r="D439" s="92" t="s">
        <v>737</v>
      </c>
      <c r="E439" s="100" t="s">
        <v>738</v>
      </c>
      <c r="F439" s="106" t="s">
        <v>995</v>
      </c>
      <c r="G439" s="102">
        <v>1354</v>
      </c>
      <c r="H439" s="101"/>
    </row>
    <row r="440" spans="1:8" s="97" customFormat="1" ht="12">
      <c r="A440" s="90"/>
      <c r="B440" s="90"/>
      <c r="C440" s="91">
        <v>46203</v>
      </c>
      <c r="D440" s="92" t="s">
        <v>996</v>
      </c>
      <c r="E440" s="100" t="s">
        <v>997</v>
      </c>
      <c r="F440" s="106" t="s">
        <v>998</v>
      </c>
      <c r="G440" s="102">
        <v>23464509</v>
      </c>
      <c r="H440" s="101"/>
    </row>
    <row r="441" spans="1:8" s="97" customFormat="1" ht="12">
      <c r="A441" s="108"/>
      <c r="B441" s="108"/>
      <c r="C441" s="91">
        <v>46203</v>
      </c>
      <c r="D441" s="92" t="s">
        <v>999</v>
      </c>
      <c r="E441" s="100" t="s">
        <v>1000</v>
      </c>
      <c r="F441" s="106" t="s">
        <v>1001</v>
      </c>
      <c r="G441" s="102">
        <v>62539</v>
      </c>
      <c r="H441" s="101"/>
    </row>
    <row r="442" spans="1:8" s="97" customFormat="1" ht="12">
      <c r="A442" s="108"/>
      <c r="B442" s="108"/>
      <c r="C442" s="91">
        <v>46203</v>
      </c>
      <c r="D442" s="92" t="s">
        <v>1002</v>
      </c>
      <c r="E442" s="100" t="s">
        <v>1003</v>
      </c>
      <c r="F442" s="106" t="s">
        <v>1004</v>
      </c>
      <c r="G442" s="102">
        <v>43297</v>
      </c>
      <c r="H442" s="101"/>
    </row>
    <row r="443" spans="1:8" s="97" customFormat="1" ht="12">
      <c r="A443" s="108"/>
      <c r="B443" s="108"/>
      <c r="C443" s="91">
        <v>46203</v>
      </c>
      <c r="D443" s="92" t="s">
        <v>1005</v>
      </c>
      <c r="E443" s="100" t="s">
        <v>1006</v>
      </c>
      <c r="F443" s="106" t="s">
        <v>1007</v>
      </c>
      <c r="G443" s="102">
        <v>86601</v>
      </c>
      <c r="H443" s="101"/>
    </row>
    <row r="444" spans="1:8" s="97" customFormat="1" ht="12">
      <c r="A444" s="108"/>
      <c r="B444" s="108"/>
      <c r="C444" s="91">
        <v>46203</v>
      </c>
      <c r="D444" s="92" t="s">
        <v>1008</v>
      </c>
      <c r="E444" s="100" t="s">
        <v>1009</v>
      </c>
      <c r="F444" s="106" t="s">
        <v>1010</v>
      </c>
      <c r="G444" s="102">
        <v>113859</v>
      </c>
      <c r="H444" s="101"/>
    </row>
    <row r="445" spans="1:8" s="97" customFormat="1" ht="12">
      <c r="A445" s="108"/>
      <c r="B445" s="108"/>
      <c r="C445" s="91">
        <v>46203</v>
      </c>
      <c r="D445" s="92" t="s">
        <v>1011</v>
      </c>
      <c r="E445" s="100" t="s">
        <v>1012</v>
      </c>
      <c r="F445" s="106" t="s">
        <v>1013</v>
      </c>
      <c r="G445" s="102">
        <v>83383</v>
      </c>
      <c r="H445" s="101"/>
    </row>
    <row r="446" spans="1:8" s="97" customFormat="1" ht="12">
      <c r="A446" s="108"/>
      <c r="B446" s="108"/>
      <c r="C446" s="91">
        <v>46203</v>
      </c>
      <c r="D446" s="92" t="s">
        <v>1014</v>
      </c>
      <c r="E446" s="100" t="s">
        <v>1015</v>
      </c>
      <c r="F446" s="106" t="s">
        <v>1016</v>
      </c>
      <c r="G446" s="102">
        <v>68953</v>
      </c>
      <c r="H446" s="101"/>
    </row>
    <row r="447" spans="1:8" s="97" customFormat="1" ht="12">
      <c r="A447" s="108"/>
      <c r="B447" s="108"/>
      <c r="C447" s="91">
        <v>46203</v>
      </c>
      <c r="D447" s="92" t="s">
        <v>1017</v>
      </c>
      <c r="E447" s="100" t="s">
        <v>1018</v>
      </c>
      <c r="F447" s="106" t="s">
        <v>1019</v>
      </c>
      <c r="G447" s="102">
        <v>115453</v>
      </c>
      <c r="H447" s="101"/>
    </row>
    <row r="448" spans="1:8" s="97" customFormat="1" ht="12">
      <c r="A448" s="108"/>
      <c r="B448" s="108"/>
      <c r="C448" s="91">
        <v>46203</v>
      </c>
      <c r="D448" s="92" t="s">
        <v>1020</v>
      </c>
      <c r="E448" s="100" t="s">
        <v>1021</v>
      </c>
      <c r="F448" s="106" t="s">
        <v>1022</v>
      </c>
      <c r="G448" s="102">
        <v>113852</v>
      </c>
      <c r="H448" s="101"/>
    </row>
    <row r="449" spans="1:8" s="97" customFormat="1" ht="12">
      <c r="A449" s="108"/>
      <c r="B449" s="108"/>
      <c r="C449" s="91">
        <v>46203</v>
      </c>
      <c r="D449" s="92" t="s">
        <v>1023</v>
      </c>
      <c r="E449" s="100" t="s">
        <v>1024</v>
      </c>
      <c r="F449" s="106" t="s">
        <v>1025</v>
      </c>
      <c r="G449" s="102">
        <v>78586</v>
      </c>
      <c r="H449" s="101"/>
    </row>
    <row r="450" spans="1:8" s="97" customFormat="1" ht="12">
      <c r="A450" s="108"/>
      <c r="B450" s="108"/>
      <c r="C450" s="91">
        <v>46203</v>
      </c>
      <c r="D450" s="92" t="s">
        <v>1026</v>
      </c>
      <c r="E450" s="100" t="s">
        <v>1027</v>
      </c>
      <c r="F450" s="106" t="s">
        <v>1028</v>
      </c>
      <c r="G450" s="102">
        <v>102625</v>
      </c>
      <c r="H450" s="101"/>
    </row>
    <row r="451" spans="1:8" s="97" customFormat="1" ht="12">
      <c r="A451" s="108"/>
      <c r="B451" s="108"/>
      <c r="C451" s="91">
        <v>46203</v>
      </c>
      <c r="D451" s="92" t="s">
        <v>1029</v>
      </c>
      <c r="E451" s="100" t="s">
        <v>1030</v>
      </c>
      <c r="F451" s="106" t="s">
        <v>1031</v>
      </c>
      <c r="G451" s="102">
        <v>49711</v>
      </c>
      <c r="H451" s="101"/>
    </row>
    <row r="452" spans="1:8" s="97" customFormat="1" ht="12">
      <c r="A452" s="108"/>
      <c r="B452" s="108"/>
      <c r="C452" s="91">
        <v>46203</v>
      </c>
      <c r="D452" s="92" t="s">
        <v>1032</v>
      </c>
      <c r="E452" s="100" t="s">
        <v>1033</v>
      </c>
      <c r="F452" s="106" t="s">
        <v>1034</v>
      </c>
      <c r="G452" s="102">
        <v>112250</v>
      </c>
      <c r="H452" s="101"/>
    </row>
    <row r="453" spans="1:8" s="97" customFormat="1" ht="12">
      <c r="A453" s="108"/>
      <c r="B453" s="108"/>
      <c r="C453" s="91">
        <v>46203</v>
      </c>
      <c r="D453" s="92" t="s">
        <v>1035</v>
      </c>
      <c r="E453" s="100" t="s">
        <v>1036</v>
      </c>
      <c r="F453" s="106" t="s">
        <v>1037</v>
      </c>
      <c r="G453" s="102">
        <v>144321</v>
      </c>
      <c r="H453" s="101"/>
    </row>
    <row r="454" spans="1:8" s="97" customFormat="1" ht="12">
      <c r="A454" s="108"/>
      <c r="B454" s="108"/>
      <c r="C454" s="91">
        <v>46203</v>
      </c>
      <c r="D454" s="92" t="s">
        <v>1038</v>
      </c>
      <c r="E454" s="100" t="s">
        <v>1039</v>
      </c>
      <c r="F454" s="106" t="s">
        <v>1040</v>
      </c>
      <c r="G454" s="102">
        <v>52922</v>
      </c>
      <c r="H454" s="101"/>
    </row>
    <row r="455" spans="1:8" s="97" customFormat="1" ht="12">
      <c r="A455" s="108"/>
      <c r="B455" s="108"/>
      <c r="C455" s="91">
        <v>46203</v>
      </c>
      <c r="D455" s="92" t="s">
        <v>1041</v>
      </c>
      <c r="E455" s="100" t="s">
        <v>1042</v>
      </c>
      <c r="F455" s="106" t="s">
        <v>1043</v>
      </c>
      <c r="G455" s="102">
        <v>174790</v>
      </c>
      <c r="H455" s="101"/>
    </row>
    <row r="456" spans="1:8" s="97" customFormat="1" ht="12">
      <c r="A456" s="108"/>
      <c r="B456" s="108"/>
      <c r="C456" s="91">
        <v>46203</v>
      </c>
      <c r="D456" s="92" t="s">
        <v>1044</v>
      </c>
      <c r="E456" s="100" t="s">
        <v>1045</v>
      </c>
      <c r="F456" s="106" t="s">
        <v>1046</v>
      </c>
      <c r="G456" s="102">
        <v>89797</v>
      </c>
      <c r="H456" s="101"/>
    </row>
    <row r="457" spans="1:8" s="97" customFormat="1" ht="12">
      <c r="A457" s="108"/>
      <c r="B457" s="108"/>
      <c r="C457" s="91">
        <v>46203</v>
      </c>
      <c r="D457" s="92" t="s">
        <v>1047</v>
      </c>
      <c r="E457" s="100" t="s">
        <v>1048</v>
      </c>
      <c r="F457" s="106" t="s">
        <v>1049</v>
      </c>
      <c r="G457" s="102">
        <v>288634</v>
      </c>
      <c r="H457" s="101"/>
    </row>
    <row r="458" spans="1:8" s="97" customFormat="1" ht="12">
      <c r="A458" s="108"/>
      <c r="B458" s="108"/>
      <c r="C458" s="91">
        <v>46203</v>
      </c>
      <c r="D458" s="92" t="s">
        <v>1050</v>
      </c>
      <c r="E458" s="100" t="s">
        <v>1051</v>
      </c>
      <c r="F458" s="106" t="s">
        <v>1052</v>
      </c>
      <c r="G458" s="102">
        <v>120266</v>
      </c>
      <c r="H458" s="101"/>
    </row>
    <row r="459" spans="1:8" s="97" customFormat="1" ht="12">
      <c r="A459" s="108"/>
      <c r="B459" s="108"/>
      <c r="C459" s="91">
        <v>46203</v>
      </c>
      <c r="D459" s="92" t="s">
        <v>1053</v>
      </c>
      <c r="E459" s="100" t="s">
        <v>1054</v>
      </c>
      <c r="F459" s="106" t="s">
        <v>1055</v>
      </c>
      <c r="G459" s="102">
        <v>93008</v>
      </c>
      <c r="H459" s="101"/>
    </row>
    <row r="460" spans="1:8" s="97" customFormat="1" ht="12">
      <c r="A460" s="108"/>
      <c r="B460" s="108"/>
      <c r="C460" s="91">
        <v>46203</v>
      </c>
      <c r="D460" s="92" t="s">
        <v>1056</v>
      </c>
      <c r="E460" s="100" t="s">
        <v>1057</v>
      </c>
      <c r="F460" s="106" t="s">
        <v>1058</v>
      </c>
      <c r="G460" s="102">
        <v>202048</v>
      </c>
      <c r="H460" s="101"/>
    </row>
    <row r="461" spans="1:8" s="97" customFormat="1" ht="12">
      <c r="A461" s="108"/>
      <c r="B461" s="108"/>
      <c r="C461" s="91">
        <v>46203</v>
      </c>
      <c r="D461" s="92" t="s">
        <v>1059</v>
      </c>
      <c r="E461" s="100" t="s">
        <v>1060</v>
      </c>
      <c r="F461" s="106" t="s">
        <v>1061</v>
      </c>
      <c r="G461" s="102">
        <v>197235</v>
      </c>
      <c r="H461" s="101"/>
    </row>
    <row r="462" spans="1:8" s="97" customFormat="1" ht="12">
      <c r="A462" s="108"/>
      <c r="B462" s="108"/>
      <c r="C462" s="91">
        <v>46203</v>
      </c>
      <c r="D462" s="92" t="s">
        <v>1062</v>
      </c>
      <c r="E462" s="100" t="s">
        <v>1063</v>
      </c>
      <c r="F462" s="106" t="s">
        <v>1064</v>
      </c>
      <c r="G462" s="102">
        <v>315900</v>
      </c>
      <c r="H462" s="101"/>
    </row>
    <row r="463" spans="1:8" s="97" customFormat="1" ht="12">
      <c r="A463" s="108"/>
      <c r="B463" s="108"/>
      <c r="C463" s="91">
        <v>46203</v>
      </c>
      <c r="D463" s="92" t="s">
        <v>1065</v>
      </c>
      <c r="E463" s="100" t="s">
        <v>1066</v>
      </c>
      <c r="F463" s="106" t="s">
        <v>1067</v>
      </c>
      <c r="G463" s="102">
        <v>89797</v>
      </c>
      <c r="H463" s="101"/>
    </row>
    <row r="464" spans="1:8" s="97" customFormat="1" ht="12">
      <c r="A464" s="108"/>
      <c r="B464" s="108"/>
      <c r="C464" s="91">
        <v>46203</v>
      </c>
      <c r="D464" s="92" t="s">
        <v>1068</v>
      </c>
      <c r="E464" s="100" t="s">
        <v>1069</v>
      </c>
      <c r="F464" s="106" t="s">
        <v>1070</v>
      </c>
      <c r="G464" s="102">
        <v>99422</v>
      </c>
      <c r="H464" s="101"/>
    </row>
    <row r="465" spans="1:8" s="97" customFormat="1" ht="12">
      <c r="A465" s="108"/>
      <c r="B465" s="108"/>
      <c r="C465" s="91">
        <v>46203</v>
      </c>
      <c r="D465" s="92" t="s">
        <v>1071</v>
      </c>
      <c r="E465" s="100" t="s">
        <v>1072</v>
      </c>
      <c r="F465" s="106" t="s">
        <v>1073</v>
      </c>
      <c r="G465" s="102">
        <v>107438</v>
      </c>
      <c r="H465" s="101"/>
    </row>
    <row r="466" spans="1:8" s="97" customFormat="1" ht="12">
      <c r="A466" s="108"/>
      <c r="B466" s="108"/>
      <c r="C466" s="91">
        <v>46203</v>
      </c>
      <c r="D466" s="92" t="s">
        <v>1074</v>
      </c>
      <c r="E466" s="100" t="s">
        <v>1075</v>
      </c>
      <c r="F466" s="106" t="s">
        <v>1076</v>
      </c>
      <c r="G466" s="102">
        <v>11577</v>
      </c>
      <c r="H466" s="101"/>
    </row>
    <row r="467" spans="1:8" s="97" customFormat="1" ht="12">
      <c r="A467" s="108"/>
      <c r="B467" s="108"/>
      <c r="C467" s="91">
        <v>46203</v>
      </c>
      <c r="D467" s="92" t="s">
        <v>1077</v>
      </c>
      <c r="E467" s="100" t="s">
        <v>1078</v>
      </c>
      <c r="F467" s="106" t="s">
        <v>1079</v>
      </c>
      <c r="G467" s="102">
        <v>2225561</v>
      </c>
      <c r="H467" s="101"/>
    </row>
    <row r="468" spans="1:8" s="97" customFormat="1" ht="12">
      <c r="A468" s="108"/>
      <c r="B468" s="108"/>
      <c r="C468" s="91">
        <v>46203</v>
      </c>
      <c r="D468" s="92" t="s">
        <v>1080</v>
      </c>
      <c r="E468" s="100" t="s">
        <v>1081</v>
      </c>
      <c r="F468" s="106" t="s">
        <v>1082</v>
      </c>
      <c r="G468" s="102">
        <v>51312</v>
      </c>
      <c r="H468" s="101"/>
    </row>
    <row r="469" spans="1:8" s="97" customFormat="1" ht="12">
      <c r="A469" s="108"/>
      <c r="B469" s="108"/>
      <c r="C469" s="91">
        <v>46203</v>
      </c>
      <c r="D469" s="92" t="s">
        <v>1080</v>
      </c>
      <c r="E469" s="100" t="s">
        <v>1081</v>
      </c>
      <c r="F469" s="106" t="s">
        <v>1083</v>
      </c>
      <c r="G469" s="102">
        <v>11577</v>
      </c>
      <c r="H469" s="101"/>
    </row>
    <row r="470" spans="1:8" s="97" customFormat="1" ht="12">
      <c r="A470" s="108"/>
      <c r="B470" s="108"/>
      <c r="C470" s="91">
        <v>46203</v>
      </c>
      <c r="D470" s="92" t="s">
        <v>308</v>
      </c>
      <c r="E470" s="100" t="s">
        <v>309</v>
      </c>
      <c r="F470" s="106" t="s">
        <v>1084</v>
      </c>
      <c r="G470" s="102">
        <v>2438030</v>
      </c>
      <c r="H470" s="101"/>
    </row>
    <row r="471" spans="1:8" s="97" customFormat="1" ht="12">
      <c r="A471" s="108"/>
      <c r="B471" s="108"/>
      <c r="C471" s="91">
        <v>46203</v>
      </c>
      <c r="D471" s="92" t="s">
        <v>308</v>
      </c>
      <c r="E471" s="100" t="s">
        <v>309</v>
      </c>
      <c r="F471" s="106" t="s">
        <v>1085</v>
      </c>
      <c r="G471" s="102">
        <v>21627772</v>
      </c>
      <c r="H471" s="101"/>
    </row>
    <row r="472" spans="1:8" s="97" customFormat="1" ht="12">
      <c r="A472" s="108"/>
      <c r="B472" s="108"/>
      <c r="C472" s="91">
        <v>46203</v>
      </c>
      <c r="D472" s="92" t="s">
        <v>1086</v>
      </c>
      <c r="E472" s="100" t="s">
        <v>1087</v>
      </c>
      <c r="F472" s="106" t="s">
        <v>1088</v>
      </c>
      <c r="G472" s="102">
        <v>42331919</v>
      </c>
      <c r="H472" s="101"/>
    </row>
    <row r="473" spans="1:8" s="97" customFormat="1" ht="12">
      <c r="A473" s="108"/>
      <c r="B473" s="108"/>
      <c r="C473" s="91">
        <v>46203</v>
      </c>
      <c r="D473" s="92" t="s">
        <v>1089</v>
      </c>
      <c r="E473" s="100" t="s">
        <v>1090</v>
      </c>
      <c r="F473" s="106" t="s">
        <v>1091</v>
      </c>
      <c r="G473" s="102">
        <v>17737967</v>
      </c>
      <c r="H473" s="101"/>
    </row>
    <row r="474" spans="1:8" s="97" customFormat="1" ht="12">
      <c r="A474" s="108"/>
      <c r="B474" s="108"/>
      <c r="C474" s="91">
        <v>46203</v>
      </c>
      <c r="D474" s="92" t="s">
        <v>719</v>
      </c>
      <c r="E474" s="100" t="s">
        <v>720</v>
      </c>
      <c r="F474" s="106" t="s">
        <v>1092</v>
      </c>
      <c r="G474" s="102">
        <v>289856</v>
      </c>
      <c r="H474" s="101"/>
    </row>
    <row r="475" spans="1:8" s="97" customFormat="1" ht="12">
      <c r="A475" s="108"/>
      <c r="B475" s="108"/>
      <c r="C475" s="91">
        <v>46203</v>
      </c>
      <c r="D475" s="92" t="s">
        <v>722</v>
      </c>
      <c r="E475" s="100" t="s">
        <v>723</v>
      </c>
      <c r="F475" s="106" t="s">
        <v>1092</v>
      </c>
      <c r="G475" s="102">
        <v>22498</v>
      </c>
      <c r="H475" s="101"/>
    </row>
    <row r="476" spans="1:8" s="97" customFormat="1" ht="12">
      <c r="A476" s="108"/>
      <c r="B476" s="108"/>
      <c r="C476" s="91">
        <v>46203</v>
      </c>
      <c r="D476" s="92" t="s">
        <v>719</v>
      </c>
      <c r="E476" s="100" t="s">
        <v>720</v>
      </c>
      <c r="F476" s="106" t="s">
        <v>1093</v>
      </c>
      <c r="G476" s="102">
        <v>3000000</v>
      </c>
      <c r="H476" s="101"/>
    </row>
    <row r="477" spans="1:8" s="97" customFormat="1" ht="12">
      <c r="A477" s="108"/>
      <c r="B477" s="108"/>
      <c r="C477" s="91">
        <v>46203</v>
      </c>
      <c r="D477" s="92" t="s">
        <v>1094</v>
      </c>
      <c r="E477" s="100" t="s">
        <v>1095</v>
      </c>
      <c r="F477" s="106" t="s">
        <v>1096</v>
      </c>
      <c r="G477" s="102">
        <v>18787065</v>
      </c>
      <c r="H477" s="101"/>
    </row>
    <row r="478" spans="1:8" s="97" customFormat="1" ht="12">
      <c r="A478" s="108"/>
      <c r="B478" s="108"/>
      <c r="C478" s="91">
        <v>46203</v>
      </c>
      <c r="D478" s="92" t="s">
        <v>1097</v>
      </c>
      <c r="E478" s="100" t="s">
        <v>1098</v>
      </c>
      <c r="F478" s="106" t="s">
        <v>1099</v>
      </c>
      <c r="G478" s="102">
        <v>385544</v>
      </c>
      <c r="H478" s="101"/>
    </row>
    <row r="479" spans="1:8" s="97" customFormat="1" ht="12">
      <c r="A479" s="108"/>
      <c r="B479" s="108"/>
      <c r="C479" s="91">
        <v>46203</v>
      </c>
      <c r="D479" s="92" t="s">
        <v>1100</v>
      </c>
      <c r="E479" s="100" t="s">
        <v>1101</v>
      </c>
      <c r="F479" s="106" t="s">
        <v>1102</v>
      </c>
      <c r="G479" s="109"/>
      <c r="H479" s="101"/>
    </row>
    <row r="480" spans="1:8" s="97" customFormat="1" ht="12">
      <c r="A480" s="108"/>
      <c r="B480" s="108"/>
      <c r="C480" s="91">
        <v>46203</v>
      </c>
      <c r="D480" s="92" t="s">
        <v>1103</v>
      </c>
      <c r="E480" s="100" t="s">
        <v>1104</v>
      </c>
      <c r="F480" s="106" t="s">
        <v>1105</v>
      </c>
      <c r="G480" s="102">
        <v>1065538</v>
      </c>
      <c r="H480" s="101"/>
    </row>
    <row r="481" spans="1:9" s="97" customFormat="1" ht="12">
      <c r="A481" s="108"/>
      <c r="B481" s="108"/>
      <c r="C481" s="91">
        <v>46203</v>
      </c>
      <c r="D481" s="92" t="s">
        <v>680</v>
      </c>
      <c r="E481" s="100" t="s">
        <v>681</v>
      </c>
      <c r="F481" s="106" t="s">
        <v>1106</v>
      </c>
      <c r="G481" s="102">
        <v>129209</v>
      </c>
      <c r="H481" s="101"/>
    </row>
    <row r="482" spans="1:9" s="97" customFormat="1" ht="12">
      <c r="A482" s="108"/>
      <c r="B482" s="108"/>
      <c r="C482" s="91">
        <v>46203</v>
      </c>
      <c r="D482" s="92" t="s">
        <v>1107</v>
      </c>
      <c r="E482" s="100" t="s">
        <v>1108</v>
      </c>
      <c r="F482" s="106" t="s">
        <v>1109</v>
      </c>
      <c r="G482" s="102">
        <v>385000</v>
      </c>
      <c r="H482" s="101"/>
    </row>
    <row r="483" spans="1:9" s="97" customFormat="1" ht="12">
      <c r="A483" s="108"/>
      <c r="B483" s="108"/>
      <c r="C483" s="91">
        <v>46203</v>
      </c>
      <c r="D483" s="92" t="s">
        <v>395</v>
      </c>
      <c r="E483" s="100" t="s">
        <v>396</v>
      </c>
      <c r="F483" s="106" t="s">
        <v>1110</v>
      </c>
      <c r="G483" s="102">
        <v>214500</v>
      </c>
      <c r="H483" s="101"/>
    </row>
    <row r="484" spans="1:9" s="97" customFormat="1" ht="12">
      <c r="A484" s="108"/>
      <c r="B484" s="108"/>
      <c r="C484" s="91">
        <v>46203</v>
      </c>
      <c r="D484" s="92" t="s">
        <v>1111</v>
      </c>
      <c r="E484" s="100" t="s">
        <v>1112</v>
      </c>
      <c r="F484" s="110" t="s">
        <v>1113</v>
      </c>
      <c r="G484" s="102">
        <v>370355590</v>
      </c>
      <c r="H484" s="111"/>
    </row>
    <row r="485" spans="1:9">
      <c r="A485" s="112"/>
      <c r="B485" s="112"/>
      <c r="C485" s="113" t="s">
        <v>1114</v>
      </c>
      <c r="D485" s="113"/>
      <c r="E485" s="113"/>
      <c r="F485" s="114"/>
      <c r="G485" s="115">
        <f>SUM(G14:G484)</f>
        <v>1552435966</v>
      </c>
      <c r="H485" s="116"/>
      <c r="I485" s="72">
        <f>1552435966-G485</f>
        <v>0</v>
      </c>
    </row>
    <row r="487" spans="1:9">
      <c r="G487" s="119" t="b">
        <f>G485+'5300-계정명세_미지급금(사원)상세'!E204='5300_기타유동부채'!H12</f>
        <v>1</v>
      </c>
    </row>
    <row r="492" spans="1:9" ht="15.75" customHeight="1"/>
  </sheetData>
  <autoFilter ref="A13:J440" xr:uid="{3DBABC57-73D2-41AA-B7BD-5CAEC627E309}"/>
  <mergeCells count="9">
    <mergeCell ref="C8:G8"/>
    <mergeCell ref="C9:G9"/>
    <mergeCell ref="A14:B440"/>
    <mergeCell ref="C485:F485"/>
    <mergeCell ref="A1:J1"/>
    <mergeCell ref="A2:F2"/>
    <mergeCell ref="G2:J2"/>
    <mergeCell ref="A3:J3"/>
    <mergeCell ref="A4:J4"/>
  </mergeCells>
  <phoneticPr fontId="9" type="noConversion"/>
  <hyperlinks>
    <hyperlink ref="A8:H8" location="부채!A1" display="미 지 급 금 명 세 서" xr:uid="{82097138-780C-4833-84B5-16A91A0308B6}"/>
  </hyperlinks>
  <printOptions horizontalCentered="1"/>
  <pageMargins left="0.15748031496062992" right="0.15748031496062992" top="0.31496062992125984" bottom="0.27559055118110237" header="0.23622047244094491" footer="0.31496062992125984"/>
  <pageSetup paperSize="9" scale="63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C4DD-9907-4C8A-A785-566CB9526DAC}">
  <sheetPr>
    <tabColor theme="0" tint="-0.14999847407452621"/>
  </sheetPr>
  <dimension ref="A1:L206"/>
  <sheetViews>
    <sheetView workbookViewId="0">
      <pane ySplit="9" topLeftCell="A10" activePane="bottomLeft" state="frozen"/>
      <selection activeCell="G473" sqref="G473"/>
      <selection pane="bottomLeft" sqref="A1:XFD4"/>
    </sheetView>
  </sheetViews>
  <sheetFormatPr defaultRowHeight="11.5"/>
  <cols>
    <col min="1" max="1" width="13" style="120" customWidth="1"/>
    <col min="2" max="2" width="8.08203125" style="121" bestFit="1" customWidth="1"/>
    <col min="3" max="3" width="10.25" style="121" bestFit="1" customWidth="1"/>
    <col min="4" max="4" width="97.58203125" style="122" bestFit="1" customWidth="1"/>
    <col min="5" max="5" width="12.58203125" style="124" bestFit="1" customWidth="1"/>
    <col min="6" max="9" width="8.6640625" style="122"/>
    <col min="10" max="10" width="6.58203125" style="122" hidden="1" customWidth="1"/>
    <col min="11" max="11" width="15.4140625" style="122" hidden="1" customWidth="1"/>
    <col min="12" max="12" width="7.08203125" style="122" hidden="1" customWidth="1"/>
    <col min="13" max="16384" width="8.6640625" style="122"/>
  </cols>
  <sheetData>
    <row r="1" spans="1:12" customFormat="1" ht="8" customHeight="1">
      <c r="A1" s="36"/>
      <c r="B1" s="37"/>
      <c r="C1" s="37"/>
      <c r="D1" s="37"/>
      <c r="E1" s="37"/>
      <c r="F1" s="37"/>
      <c r="G1" s="37"/>
      <c r="H1" s="37"/>
      <c r="I1" s="37"/>
      <c r="J1" s="37"/>
    </row>
    <row r="2" spans="1:12" customFormat="1" ht="18" customHeight="1">
      <c r="A2" s="60" t="s">
        <v>1</v>
      </c>
      <c r="B2" s="37"/>
      <c r="C2" s="37"/>
      <c r="D2" s="37"/>
      <c r="E2" s="37"/>
      <c r="F2" s="37"/>
      <c r="G2" s="54" t="s">
        <v>1598</v>
      </c>
      <c r="H2" s="37"/>
      <c r="I2" s="37"/>
      <c r="J2" s="37"/>
    </row>
    <row r="3" spans="1:12" customFormat="1" ht="30" customHeight="1">
      <c r="A3" s="61" t="s">
        <v>63</v>
      </c>
      <c r="B3" s="37"/>
      <c r="C3" s="37"/>
      <c r="D3" s="37"/>
      <c r="E3" s="37"/>
      <c r="F3" s="37"/>
      <c r="G3" s="37"/>
      <c r="H3" s="37"/>
      <c r="I3" s="37"/>
      <c r="J3" s="37"/>
    </row>
    <row r="4" spans="1:12" customFormat="1" ht="18" customHeight="1">
      <c r="A4" s="65" t="s">
        <v>1597</v>
      </c>
      <c r="B4" s="37"/>
      <c r="C4" s="37"/>
      <c r="D4" s="37"/>
      <c r="E4" s="37"/>
      <c r="F4" s="37"/>
      <c r="G4" s="37"/>
      <c r="H4" s="37"/>
      <c r="I4" s="37"/>
      <c r="J4" s="37"/>
    </row>
    <row r="8" spans="1:12">
      <c r="E8" s="123">
        <f>SUM(E10:E203)</f>
        <v>452379472</v>
      </c>
    </row>
    <row r="9" spans="1:12" ht="12" thickBot="1">
      <c r="A9" s="120" t="s">
        <v>110</v>
      </c>
      <c r="B9" s="121" t="s">
        <v>111</v>
      </c>
      <c r="C9" s="121" t="s">
        <v>112</v>
      </c>
      <c r="D9" s="122" t="s">
        <v>1115</v>
      </c>
      <c r="E9" s="124" t="s">
        <v>114</v>
      </c>
    </row>
    <row r="10" spans="1:12" ht="16">
      <c r="A10" s="125">
        <v>44470</v>
      </c>
      <c r="B10" s="126" t="s">
        <v>1116</v>
      </c>
      <c r="C10" s="127" t="s">
        <v>1117</v>
      </c>
      <c r="D10" s="128" t="s">
        <v>1118</v>
      </c>
      <c r="E10" s="128">
        <v>40726790</v>
      </c>
      <c r="J10" s="129" t="s">
        <v>1119</v>
      </c>
      <c r="K10" s="130" t="s">
        <v>1120</v>
      </c>
      <c r="L10" s="131" t="s">
        <v>1121</v>
      </c>
    </row>
    <row r="11" spans="1:12" ht="16">
      <c r="A11" s="125">
        <v>46182</v>
      </c>
      <c r="B11" s="126">
        <f>VLOOKUP(C11,$J:$L,3,0)</f>
        <v>223026</v>
      </c>
      <c r="C11" s="127" t="s">
        <v>1122</v>
      </c>
      <c r="D11" s="128" t="s">
        <v>1123</v>
      </c>
      <c r="E11" s="128">
        <v>70000</v>
      </c>
      <c r="J11" s="132" t="s">
        <v>1124</v>
      </c>
      <c r="K11" s="133" t="s">
        <v>1125</v>
      </c>
      <c r="L11" s="133" t="s">
        <v>1126</v>
      </c>
    </row>
    <row r="12" spans="1:12" ht="16">
      <c r="A12" s="125">
        <v>46197</v>
      </c>
      <c r="B12" s="126">
        <f>VLOOKUP(C12,$J:$L,3,0)</f>
        <v>223040</v>
      </c>
      <c r="C12" s="127" t="s">
        <v>1127</v>
      </c>
      <c r="D12" s="128" t="s">
        <v>1128</v>
      </c>
      <c r="E12" s="128">
        <v>55476</v>
      </c>
      <c r="J12" s="132" t="s">
        <v>1129</v>
      </c>
      <c r="K12" s="133" t="s">
        <v>1130</v>
      </c>
      <c r="L12" s="133" t="s">
        <v>1131</v>
      </c>
    </row>
    <row r="13" spans="1:12" ht="16">
      <c r="A13" s="125">
        <v>46197</v>
      </c>
      <c r="B13" s="126">
        <f>VLOOKUP(C13,$J:$L,3,0)</f>
        <v>223040</v>
      </c>
      <c r="C13" s="127" t="s">
        <v>1127</v>
      </c>
      <c r="D13" s="128" t="s">
        <v>1132</v>
      </c>
      <c r="E13" s="128">
        <v>16300</v>
      </c>
      <c r="J13" s="132" t="s">
        <v>1133</v>
      </c>
      <c r="K13" s="133" t="s">
        <v>1134</v>
      </c>
      <c r="L13" s="133" t="s">
        <v>1135</v>
      </c>
    </row>
    <row r="14" spans="1:12" ht="16">
      <c r="A14" s="125">
        <v>46199</v>
      </c>
      <c r="B14" s="126">
        <f>VLOOKUP(C14,$J:$L,3,0)</f>
        <v>225027</v>
      </c>
      <c r="C14" s="127" t="s">
        <v>1136</v>
      </c>
      <c r="D14" s="128" t="s">
        <v>1137</v>
      </c>
      <c r="E14" s="128">
        <v>175000</v>
      </c>
      <c r="J14" s="132" t="s">
        <v>1138</v>
      </c>
      <c r="K14" s="133" t="s">
        <v>1139</v>
      </c>
      <c r="L14" s="133">
        <v>220034</v>
      </c>
    </row>
    <row r="15" spans="1:12" ht="16">
      <c r="A15" s="125">
        <v>46202</v>
      </c>
      <c r="B15" s="126">
        <f>VLOOKUP(C15,$J:$L,3,0)</f>
        <v>220048</v>
      </c>
      <c r="C15" s="127" t="s">
        <v>1140</v>
      </c>
      <c r="D15" s="128" t="s">
        <v>1141</v>
      </c>
      <c r="E15" s="128">
        <v>46100</v>
      </c>
      <c r="J15" s="132" t="s">
        <v>1142</v>
      </c>
      <c r="K15" s="133" t="s">
        <v>1139</v>
      </c>
      <c r="L15" s="133">
        <v>220034</v>
      </c>
    </row>
    <row r="16" spans="1:12" ht="16">
      <c r="A16" s="125">
        <v>46202</v>
      </c>
      <c r="B16" s="126">
        <f>VLOOKUP(C16,$J:$L,3,0)</f>
        <v>210082</v>
      </c>
      <c r="C16" s="127" t="s">
        <v>1143</v>
      </c>
      <c r="D16" s="128" t="s">
        <v>1144</v>
      </c>
      <c r="E16" s="128">
        <v>29450</v>
      </c>
      <c r="J16" s="132" t="s">
        <v>1145</v>
      </c>
      <c r="K16" s="133" t="s">
        <v>1146</v>
      </c>
      <c r="L16" s="133">
        <v>223011</v>
      </c>
    </row>
    <row r="17" spans="1:12" ht="16">
      <c r="A17" s="125">
        <v>46203</v>
      </c>
      <c r="B17" s="126">
        <f>VLOOKUP(C17,$J:$L,3,0)</f>
        <v>225001</v>
      </c>
      <c r="C17" s="127" t="s">
        <v>1147</v>
      </c>
      <c r="D17" s="128" t="s">
        <v>1148</v>
      </c>
      <c r="E17" s="128">
        <v>4500</v>
      </c>
      <c r="J17" s="132" t="s">
        <v>1149</v>
      </c>
      <c r="K17" s="133" t="s">
        <v>1146</v>
      </c>
      <c r="L17" s="133">
        <v>224004</v>
      </c>
    </row>
    <row r="18" spans="1:12" ht="16">
      <c r="A18" s="125">
        <v>46203</v>
      </c>
      <c r="B18" s="126">
        <f>VLOOKUP(C18,$J:$L,3,0)</f>
        <v>225001</v>
      </c>
      <c r="C18" s="127" t="s">
        <v>1147</v>
      </c>
      <c r="D18" s="128" t="s">
        <v>1150</v>
      </c>
      <c r="E18" s="128">
        <v>10000</v>
      </c>
      <c r="J18" s="132" t="s">
        <v>1151</v>
      </c>
      <c r="K18" s="133" t="s">
        <v>1152</v>
      </c>
      <c r="L18" s="133">
        <v>223024</v>
      </c>
    </row>
    <row r="19" spans="1:12" ht="16">
      <c r="A19" s="125">
        <v>46203</v>
      </c>
      <c r="B19" s="126">
        <f>VLOOKUP(C19,$J:$L,3,0)</f>
        <v>225001</v>
      </c>
      <c r="C19" s="127" t="s">
        <v>1147</v>
      </c>
      <c r="D19" s="128" t="s">
        <v>1153</v>
      </c>
      <c r="E19" s="128">
        <v>23000</v>
      </c>
      <c r="J19" s="132" t="s">
        <v>1154</v>
      </c>
      <c r="K19" s="133" t="s">
        <v>1152</v>
      </c>
      <c r="L19" s="133">
        <v>224072</v>
      </c>
    </row>
    <row r="20" spans="1:12" ht="16">
      <c r="A20" s="125">
        <v>46203</v>
      </c>
      <c r="B20" s="126">
        <f>VLOOKUP(C20,$J:$L,3,0)</f>
        <v>225001</v>
      </c>
      <c r="C20" s="127" t="s">
        <v>1147</v>
      </c>
      <c r="D20" s="128" t="s">
        <v>1155</v>
      </c>
      <c r="E20" s="128">
        <v>13800</v>
      </c>
      <c r="J20" s="132" t="s">
        <v>1156</v>
      </c>
      <c r="K20" s="133" t="s">
        <v>1157</v>
      </c>
      <c r="L20" s="133">
        <v>222060</v>
      </c>
    </row>
    <row r="21" spans="1:12" ht="16">
      <c r="A21" s="125">
        <v>46203</v>
      </c>
      <c r="B21" s="126">
        <f>VLOOKUP(C21,$J:$L,3,0)</f>
        <v>225001</v>
      </c>
      <c r="C21" s="127" t="s">
        <v>1147</v>
      </c>
      <c r="D21" s="128" t="s">
        <v>1158</v>
      </c>
      <c r="E21" s="128">
        <v>26000</v>
      </c>
      <c r="J21" s="132" t="s">
        <v>1159</v>
      </c>
      <c r="K21" s="133" t="s">
        <v>1157</v>
      </c>
      <c r="L21" s="133">
        <v>223009</v>
      </c>
    </row>
    <row r="22" spans="1:12" ht="16">
      <c r="A22" s="125">
        <v>46203</v>
      </c>
      <c r="B22" s="126">
        <f>VLOOKUP(C22,$J:$L,3,0)</f>
        <v>225001</v>
      </c>
      <c r="C22" s="127" t="s">
        <v>1147</v>
      </c>
      <c r="D22" s="128" t="s">
        <v>1160</v>
      </c>
      <c r="E22" s="128">
        <v>9000</v>
      </c>
      <c r="J22" s="132" t="s">
        <v>1161</v>
      </c>
      <c r="K22" s="133" t="s">
        <v>1157</v>
      </c>
      <c r="L22" s="133">
        <v>222067</v>
      </c>
    </row>
    <row r="23" spans="1:12" ht="16">
      <c r="A23" s="125">
        <v>46203</v>
      </c>
      <c r="B23" s="126">
        <f>VLOOKUP(C23,$J:$L,3,0)</f>
        <v>225001</v>
      </c>
      <c r="C23" s="127" t="s">
        <v>1147</v>
      </c>
      <c r="D23" s="128" t="s">
        <v>1162</v>
      </c>
      <c r="E23" s="128">
        <v>33000</v>
      </c>
      <c r="J23" s="132" t="s">
        <v>1163</v>
      </c>
      <c r="K23" s="133" t="s">
        <v>1157</v>
      </c>
      <c r="L23" s="133">
        <v>219013</v>
      </c>
    </row>
    <row r="24" spans="1:12" ht="16">
      <c r="A24" s="125">
        <v>46203</v>
      </c>
      <c r="B24" s="126">
        <f>VLOOKUP(C24,$J:$L,3,0)</f>
        <v>225001</v>
      </c>
      <c r="C24" s="127" t="s">
        <v>1147</v>
      </c>
      <c r="D24" s="128" t="s">
        <v>1164</v>
      </c>
      <c r="E24" s="128">
        <v>12000</v>
      </c>
      <c r="J24" s="132" t="s">
        <v>1165</v>
      </c>
      <c r="K24" s="133" t="s">
        <v>1139</v>
      </c>
      <c r="L24" s="133">
        <v>220040</v>
      </c>
    </row>
    <row r="25" spans="1:12" ht="16">
      <c r="A25" s="125">
        <v>46203</v>
      </c>
      <c r="B25" s="126">
        <f>VLOOKUP(C25,$J:$L,3,0)</f>
        <v>225001</v>
      </c>
      <c r="C25" s="127" t="s">
        <v>1147</v>
      </c>
      <c r="D25" s="128" t="s">
        <v>1166</v>
      </c>
      <c r="E25" s="128">
        <v>4500</v>
      </c>
      <c r="J25" s="132" t="s">
        <v>1167</v>
      </c>
      <c r="K25" s="133" t="s">
        <v>1168</v>
      </c>
      <c r="L25" s="133" t="s">
        <v>1169</v>
      </c>
    </row>
    <row r="26" spans="1:12" ht="16">
      <c r="A26" s="125">
        <v>46203</v>
      </c>
      <c r="B26" s="126">
        <f>VLOOKUP(C26,$J:$L,3,0)</f>
        <v>223025</v>
      </c>
      <c r="C26" s="127" t="s">
        <v>1170</v>
      </c>
      <c r="D26" s="128" t="s">
        <v>1171</v>
      </c>
      <c r="E26" s="128">
        <v>14200</v>
      </c>
      <c r="J26" s="132" t="s">
        <v>1127</v>
      </c>
      <c r="K26" s="133" t="s">
        <v>1172</v>
      </c>
      <c r="L26" s="133">
        <v>223040</v>
      </c>
    </row>
    <row r="27" spans="1:12" ht="16">
      <c r="A27" s="125">
        <v>46203</v>
      </c>
      <c r="B27" s="126">
        <f>VLOOKUP(C27,$J:$L,3,0)</f>
        <v>223025</v>
      </c>
      <c r="C27" s="127" t="s">
        <v>1170</v>
      </c>
      <c r="D27" s="128" t="s">
        <v>1171</v>
      </c>
      <c r="E27" s="128">
        <v>19900</v>
      </c>
      <c r="J27" s="132" t="s">
        <v>1173</v>
      </c>
      <c r="K27" s="133" t="s">
        <v>1172</v>
      </c>
      <c r="L27" s="133">
        <v>223048</v>
      </c>
    </row>
    <row r="28" spans="1:12" ht="16">
      <c r="A28" s="125">
        <v>46203</v>
      </c>
      <c r="B28" s="126">
        <f>VLOOKUP(C28,$J:$L,3,0)</f>
        <v>223025</v>
      </c>
      <c r="C28" s="127" t="s">
        <v>1170</v>
      </c>
      <c r="D28" s="128" t="s">
        <v>1174</v>
      </c>
      <c r="E28" s="128">
        <v>70000</v>
      </c>
      <c r="J28" s="132" t="s">
        <v>1175</v>
      </c>
      <c r="K28" s="133" t="s">
        <v>1176</v>
      </c>
      <c r="L28" s="133">
        <v>218005</v>
      </c>
    </row>
    <row r="29" spans="1:12" ht="16">
      <c r="A29" s="125">
        <v>46203</v>
      </c>
      <c r="B29" s="126">
        <f>VLOOKUP(C29,$J:$L,3,0)</f>
        <v>222012</v>
      </c>
      <c r="C29" s="127" t="s">
        <v>1177</v>
      </c>
      <c r="D29" s="128" t="s">
        <v>1178</v>
      </c>
      <c r="E29" s="128">
        <v>19650</v>
      </c>
      <c r="J29" s="132" t="s">
        <v>1179</v>
      </c>
      <c r="K29" s="133" t="s">
        <v>1176</v>
      </c>
      <c r="L29" s="133">
        <v>223002</v>
      </c>
    </row>
    <row r="30" spans="1:12" ht="16">
      <c r="A30" s="125">
        <v>46203</v>
      </c>
      <c r="B30" s="126">
        <f>VLOOKUP(C30,$J:$L,3,0)</f>
        <v>222067</v>
      </c>
      <c r="C30" s="127" t="s">
        <v>1161</v>
      </c>
      <c r="D30" s="128" t="s">
        <v>1180</v>
      </c>
      <c r="E30" s="128">
        <v>14900</v>
      </c>
      <c r="J30" s="132" t="s">
        <v>1181</v>
      </c>
      <c r="K30" s="133" t="s">
        <v>1176</v>
      </c>
      <c r="L30" s="133">
        <v>221015</v>
      </c>
    </row>
    <row r="31" spans="1:12" ht="16">
      <c r="A31" s="125">
        <v>46203</v>
      </c>
      <c r="B31" s="126">
        <f>VLOOKUP(C31,$J:$L,3,0)</f>
        <v>222067</v>
      </c>
      <c r="C31" s="127" t="s">
        <v>1161</v>
      </c>
      <c r="D31" s="128" t="s">
        <v>1182</v>
      </c>
      <c r="E31" s="128">
        <v>9600</v>
      </c>
      <c r="J31" s="132" t="s">
        <v>1183</v>
      </c>
      <c r="K31" s="133" t="s">
        <v>1176</v>
      </c>
      <c r="L31" s="133">
        <v>224057</v>
      </c>
    </row>
    <row r="32" spans="1:12" ht="16">
      <c r="A32" s="125">
        <v>46203</v>
      </c>
      <c r="B32" s="126">
        <f>VLOOKUP(C32,$J:$L,3,0)</f>
        <v>222067</v>
      </c>
      <c r="C32" s="127" t="s">
        <v>1161</v>
      </c>
      <c r="D32" s="128" t="s">
        <v>1184</v>
      </c>
      <c r="E32" s="128">
        <v>8080</v>
      </c>
      <c r="J32" s="132" t="s">
        <v>1185</v>
      </c>
      <c r="K32" s="133" t="s">
        <v>1186</v>
      </c>
      <c r="L32" s="133">
        <v>219050</v>
      </c>
    </row>
    <row r="33" spans="1:12" ht="16">
      <c r="A33" s="125">
        <v>46203</v>
      </c>
      <c r="B33" s="126">
        <f>VLOOKUP(C33,$J:$L,3,0)</f>
        <v>222067</v>
      </c>
      <c r="C33" s="127" t="s">
        <v>1161</v>
      </c>
      <c r="D33" s="128" t="s">
        <v>1187</v>
      </c>
      <c r="E33" s="128">
        <v>8600</v>
      </c>
      <c r="J33" s="132" t="s">
        <v>1188</v>
      </c>
      <c r="K33" s="133" t="s">
        <v>1186</v>
      </c>
      <c r="L33" s="133">
        <v>223041</v>
      </c>
    </row>
    <row r="34" spans="1:12" ht="16">
      <c r="A34" s="125">
        <v>46203</v>
      </c>
      <c r="B34" s="126">
        <f>VLOOKUP(C34,$J:$L,3,0)</f>
        <v>222067</v>
      </c>
      <c r="C34" s="127" t="s">
        <v>1161</v>
      </c>
      <c r="D34" s="128" t="s">
        <v>1189</v>
      </c>
      <c r="E34" s="128">
        <v>4300</v>
      </c>
      <c r="J34" s="132" t="s">
        <v>1190</v>
      </c>
      <c r="K34" s="133" t="s">
        <v>1191</v>
      </c>
      <c r="L34" s="133">
        <v>223023</v>
      </c>
    </row>
    <row r="35" spans="1:12" ht="16">
      <c r="A35" s="125">
        <v>46203</v>
      </c>
      <c r="B35" s="126" t="str">
        <f>VLOOKUP(C35,$J:$L,3,0)</f>
        <v>a22021</v>
      </c>
      <c r="C35" s="127" t="s">
        <v>1192</v>
      </c>
      <c r="D35" s="128" t="s">
        <v>1193</v>
      </c>
      <c r="E35" s="128">
        <v>37740</v>
      </c>
      <c r="J35" s="132" t="s">
        <v>1194</v>
      </c>
      <c r="K35" s="133" t="s">
        <v>1191</v>
      </c>
      <c r="L35" s="133">
        <v>224031</v>
      </c>
    </row>
    <row r="36" spans="1:12" ht="16">
      <c r="A36" s="125">
        <v>46203</v>
      </c>
      <c r="B36" s="126" t="str">
        <f>VLOOKUP(C36,$J:$L,3,0)</f>
        <v>a22021</v>
      </c>
      <c r="C36" s="127" t="s">
        <v>1192</v>
      </c>
      <c r="D36" s="128" t="s">
        <v>1195</v>
      </c>
      <c r="E36" s="128">
        <v>70000</v>
      </c>
      <c r="J36" s="132" t="s">
        <v>1147</v>
      </c>
      <c r="K36" s="133" t="s">
        <v>1196</v>
      </c>
      <c r="L36" s="133">
        <v>225001</v>
      </c>
    </row>
    <row r="37" spans="1:12" ht="16">
      <c r="A37" s="125">
        <v>46203</v>
      </c>
      <c r="B37" s="126">
        <f>VLOOKUP(C37,$J:$L,3,0)</f>
        <v>218005</v>
      </c>
      <c r="C37" s="127" t="s">
        <v>1175</v>
      </c>
      <c r="D37" s="128" t="s">
        <v>1197</v>
      </c>
      <c r="E37" s="128">
        <v>25400</v>
      </c>
      <c r="J37" s="132" t="s">
        <v>1198</v>
      </c>
      <c r="K37" s="133" t="s">
        <v>1199</v>
      </c>
      <c r="L37" s="133" t="s">
        <v>1200</v>
      </c>
    </row>
    <row r="38" spans="1:12" ht="16">
      <c r="A38" s="125">
        <v>46203</v>
      </c>
      <c r="B38" s="126">
        <f>VLOOKUP(C38,$J:$L,3,0)</f>
        <v>223002</v>
      </c>
      <c r="C38" s="127" t="s">
        <v>1179</v>
      </c>
      <c r="D38" s="128" t="s">
        <v>1201</v>
      </c>
      <c r="E38" s="128">
        <v>199605</v>
      </c>
      <c r="J38" s="132" t="s">
        <v>1143</v>
      </c>
      <c r="K38" s="133" t="s">
        <v>1202</v>
      </c>
      <c r="L38" s="133">
        <v>210082</v>
      </c>
    </row>
    <row r="39" spans="1:12" ht="16">
      <c r="A39" s="125">
        <v>46203</v>
      </c>
      <c r="B39" s="126">
        <f>VLOOKUP(C39,$J:$L,3,0)</f>
        <v>224051</v>
      </c>
      <c r="C39" s="127" t="s">
        <v>1203</v>
      </c>
      <c r="D39" s="128" t="s">
        <v>1204</v>
      </c>
      <c r="E39" s="128">
        <v>32850</v>
      </c>
      <c r="J39" s="132" t="s">
        <v>1203</v>
      </c>
      <c r="K39" s="133" t="s">
        <v>1202</v>
      </c>
      <c r="L39" s="133">
        <v>224051</v>
      </c>
    </row>
    <row r="40" spans="1:12" ht="16">
      <c r="A40" s="125">
        <v>46203</v>
      </c>
      <c r="B40" s="126">
        <f>VLOOKUP(C40,$J:$L,3,0)</f>
        <v>220052</v>
      </c>
      <c r="C40" s="127" t="s">
        <v>1205</v>
      </c>
      <c r="D40" s="128" t="s">
        <v>1206</v>
      </c>
      <c r="E40" s="128">
        <v>7500</v>
      </c>
      <c r="J40" s="132" t="s">
        <v>1207</v>
      </c>
      <c r="K40" s="133" t="s">
        <v>1202</v>
      </c>
      <c r="L40" s="133">
        <v>222053</v>
      </c>
    </row>
    <row r="41" spans="1:12" ht="16">
      <c r="A41" s="125">
        <v>46203</v>
      </c>
      <c r="B41" s="126">
        <f>VLOOKUP(C41,$J:$L,3,0)</f>
        <v>220052</v>
      </c>
      <c r="C41" s="127" t="s">
        <v>1205</v>
      </c>
      <c r="D41" s="128" t="s">
        <v>1208</v>
      </c>
      <c r="E41" s="128">
        <v>32562</v>
      </c>
      <c r="J41" s="132" t="s">
        <v>1209</v>
      </c>
      <c r="K41" s="133" t="s">
        <v>1210</v>
      </c>
      <c r="L41" s="133">
        <v>223045</v>
      </c>
    </row>
    <row r="42" spans="1:12" ht="16">
      <c r="A42" s="125">
        <v>46203</v>
      </c>
      <c r="B42" s="126">
        <f>VLOOKUP(C42,$J:$L,3,0)</f>
        <v>220052</v>
      </c>
      <c r="C42" s="127" t="s">
        <v>1205</v>
      </c>
      <c r="D42" s="128" t="s">
        <v>1206</v>
      </c>
      <c r="E42" s="128">
        <v>7000</v>
      </c>
      <c r="J42" s="132" t="s">
        <v>1211</v>
      </c>
      <c r="K42" s="133" t="s">
        <v>1210</v>
      </c>
      <c r="L42" s="133">
        <v>220029</v>
      </c>
    </row>
    <row r="43" spans="1:12" ht="16">
      <c r="A43" s="125">
        <v>46203</v>
      </c>
      <c r="B43" s="126">
        <f>VLOOKUP(C43,$J:$L,3,0)</f>
        <v>220052</v>
      </c>
      <c r="C43" s="127" t="s">
        <v>1205</v>
      </c>
      <c r="D43" s="128" t="s">
        <v>1208</v>
      </c>
      <c r="E43" s="128">
        <v>32562</v>
      </c>
      <c r="J43" s="132" t="s">
        <v>1212</v>
      </c>
      <c r="K43" s="133" t="s">
        <v>1210</v>
      </c>
      <c r="L43" s="133">
        <v>223035</v>
      </c>
    </row>
    <row r="44" spans="1:12" ht="16">
      <c r="A44" s="125">
        <v>46203</v>
      </c>
      <c r="B44" s="126">
        <f>VLOOKUP(C44,$J:$L,3,0)</f>
        <v>220052</v>
      </c>
      <c r="C44" s="127" t="s">
        <v>1205</v>
      </c>
      <c r="D44" s="128" t="s">
        <v>1213</v>
      </c>
      <c r="E44" s="128">
        <v>24000</v>
      </c>
      <c r="J44" s="132" t="s">
        <v>1214</v>
      </c>
      <c r="K44" s="133" t="s">
        <v>1210</v>
      </c>
      <c r="L44" s="133">
        <v>223058</v>
      </c>
    </row>
    <row r="45" spans="1:12" ht="16">
      <c r="A45" s="125">
        <v>46203</v>
      </c>
      <c r="B45" s="126">
        <f>VLOOKUP(C45,$J:$L,3,0)</f>
        <v>221082</v>
      </c>
      <c r="C45" s="127" t="s">
        <v>1215</v>
      </c>
      <c r="D45" s="128" t="s">
        <v>1216</v>
      </c>
      <c r="E45" s="128">
        <v>3200</v>
      </c>
      <c r="J45" s="132" t="s">
        <v>1217</v>
      </c>
      <c r="K45" s="133" t="s">
        <v>1218</v>
      </c>
      <c r="L45" s="133">
        <v>224074</v>
      </c>
    </row>
    <row r="46" spans="1:12" ht="16">
      <c r="A46" s="125">
        <v>46203</v>
      </c>
      <c r="B46" s="126">
        <f>VLOOKUP(C46,$J:$L,3,0)</f>
        <v>221082</v>
      </c>
      <c r="C46" s="127" t="s">
        <v>1215</v>
      </c>
      <c r="D46" s="128" t="s">
        <v>1216</v>
      </c>
      <c r="E46" s="128">
        <v>5000</v>
      </c>
      <c r="J46" s="132" t="s">
        <v>1219</v>
      </c>
      <c r="K46" s="133" t="s">
        <v>1218</v>
      </c>
      <c r="L46" s="133">
        <v>225013</v>
      </c>
    </row>
    <row r="47" spans="1:12" ht="16">
      <c r="A47" s="125">
        <v>46203</v>
      </c>
      <c r="B47" s="126">
        <f>VLOOKUP(C47,$J:$L,3,0)</f>
        <v>221082</v>
      </c>
      <c r="C47" s="127" t="s">
        <v>1215</v>
      </c>
      <c r="D47" s="128" t="s">
        <v>1216</v>
      </c>
      <c r="E47" s="128">
        <v>5000</v>
      </c>
      <c r="J47" s="132" t="s">
        <v>1220</v>
      </c>
      <c r="K47" s="133" t="s">
        <v>1218</v>
      </c>
      <c r="L47" s="133">
        <v>224056</v>
      </c>
    </row>
    <row r="48" spans="1:12" ht="16">
      <c r="A48" s="125">
        <v>46203</v>
      </c>
      <c r="B48" s="126">
        <f>VLOOKUP(C48,$J:$L,3,0)</f>
        <v>221082</v>
      </c>
      <c r="C48" s="127" t="s">
        <v>1215</v>
      </c>
      <c r="D48" s="128" t="s">
        <v>1221</v>
      </c>
      <c r="E48" s="128">
        <v>9500</v>
      </c>
      <c r="J48" s="132" t="s">
        <v>1222</v>
      </c>
      <c r="K48" s="133" t="s">
        <v>1218</v>
      </c>
      <c r="L48" s="133">
        <v>224059</v>
      </c>
    </row>
    <row r="49" spans="1:12" ht="16">
      <c r="A49" s="125">
        <v>46203</v>
      </c>
      <c r="B49" s="126">
        <f>VLOOKUP(C49,$J:$L,3,0)</f>
        <v>221082</v>
      </c>
      <c r="C49" s="127" t="s">
        <v>1215</v>
      </c>
      <c r="D49" s="128" t="s">
        <v>1223</v>
      </c>
      <c r="E49" s="128">
        <v>12000</v>
      </c>
      <c r="J49" s="132" t="s">
        <v>1224</v>
      </c>
      <c r="K49" s="133" t="s">
        <v>1218</v>
      </c>
      <c r="L49" s="133">
        <v>225028</v>
      </c>
    </row>
    <row r="50" spans="1:12" ht="16">
      <c r="A50" s="125">
        <v>46203</v>
      </c>
      <c r="B50" s="126">
        <f>VLOOKUP(C50,$J:$L,3,0)</f>
        <v>221082</v>
      </c>
      <c r="C50" s="127" t="s">
        <v>1215</v>
      </c>
      <c r="D50" s="128" t="s">
        <v>1221</v>
      </c>
      <c r="E50" s="128">
        <v>3200</v>
      </c>
      <c r="J50" s="132" t="s">
        <v>1225</v>
      </c>
      <c r="K50" s="133" t="s">
        <v>1226</v>
      </c>
      <c r="L50" s="133">
        <v>219002</v>
      </c>
    </row>
    <row r="51" spans="1:12" ht="16">
      <c r="A51" s="125">
        <v>46203</v>
      </c>
      <c r="B51" s="126">
        <f>VLOOKUP(C51,$J:$L,3,0)</f>
        <v>221082</v>
      </c>
      <c r="C51" s="127" t="s">
        <v>1215</v>
      </c>
      <c r="D51" s="128" t="s">
        <v>1227</v>
      </c>
      <c r="E51" s="128">
        <v>2000</v>
      </c>
      <c r="J51" s="132" t="s">
        <v>1228</v>
      </c>
      <c r="K51" s="133" t="s">
        <v>1226</v>
      </c>
      <c r="L51" s="133">
        <v>223033</v>
      </c>
    </row>
    <row r="52" spans="1:12" ht="16">
      <c r="A52" s="125">
        <v>46203</v>
      </c>
      <c r="B52" s="126">
        <f>VLOOKUP(C52,$J:$L,3,0)</f>
        <v>221082</v>
      </c>
      <c r="C52" s="127" t="s">
        <v>1215</v>
      </c>
      <c r="D52" s="128" t="s">
        <v>1229</v>
      </c>
      <c r="E52" s="128">
        <v>16200</v>
      </c>
      <c r="J52" s="132" t="s">
        <v>1230</v>
      </c>
      <c r="K52" s="133" t="s">
        <v>1231</v>
      </c>
      <c r="L52" s="133">
        <v>221086</v>
      </c>
    </row>
    <row r="53" spans="1:12" ht="16">
      <c r="A53" s="125">
        <v>46203</v>
      </c>
      <c r="B53" s="126">
        <f>VLOOKUP(C53,$J:$L,3,0)</f>
        <v>221082</v>
      </c>
      <c r="C53" s="127" t="s">
        <v>1215</v>
      </c>
      <c r="D53" s="128" t="s">
        <v>1232</v>
      </c>
      <c r="E53" s="128">
        <v>2240</v>
      </c>
      <c r="J53" s="132" t="s">
        <v>1233</v>
      </c>
      <c r="K53" s="133" t="s">
        <v>1231</v>
      </c>
      <c r="L53" s="133">
        <v>225016</v>
      </c>
    </row>
    <row r="54" spans="1:12" ht="16">
      <c r="A54" s="125">
        <v>46203</v>
      </c>
      <c r="B54" s="126">
        <f>VLOOKUP(C54,$J:$L,3,0)</f>
        <v>221082</v>
      </c>
      <c r="C54" s="127" t="s">
        <v>1215</v>
      </c>
      <c r="D54" s="128" t="s">
        <v>1234</v>
      </c>
      <c r="E54" s="128">
        <v>155500</v>
      </c>
      <c r="J54" s="132" t="s">
        <v>1235</v>
      </c>
      <c r="K54" s="133" t="s">
        <v>1236</v>
      </c>
      <c r="L54" s="133">
        <v>216059</v>
      </c>
    </row>
    <row r="55" spans="1:12" ht="16">
      <c r="A55" s="125">
        <v>46203</v>
      </c>
      <c r="B55" s="126">
        <f>VLOOKUP(C55,$J:$L,3,0)</f>
        <v>221082</v>
      </c>
      <c r="C55" s="127" t="s">
        <v>1215</v>
      </c>
      <c r="D55" s="128" t="s">
        <v>1237</v>
      </c>
      <c r="E55" s="128">
        <v>26360</v>
      </c>
      <c r="J55" s="132" t="s">
        <v>1140</v>
      </c>
      <c r="K55" s="133" t="s">
        <v>1238</v>
      </c>
      <c r="L55" s="133">
        <v>220048</v>
      </c>
    </row>
    <row r="56" spans="1:12" ht="16">
      <c r="A56" s="125">
        <v>46203</v>
      </c>
      <c r="B56" s="126">
        <f>VLOOKUP(C56,$J:$L,3,0)</f>
        <v>221082</v>
      </c>
      <c r="C56" s="127" t="s">
        <v>1215</v>
      </c>
      <c r="D56" s="128" t="s">
        <v>1239</v>
      </c>
      <c r="E56" s="128">
        <v>9000</v>
      </c>
      <c r="J56" s="132" t="s">
        <v>1240</v>
      </c>
      <c r="K56" s="133" t="s">
        <v>1241</v>
      </c>
      <c r="L56" s="133">
        <v>221004</v>
      </c>
    </row>
    <row r="57" spans="1:12" ht="16">
      <c r="A57" s="125">
        <v>46203</v>
      </c>
      <c r="B57" s="126">
        <f>VLOOKUP(C57,$J:$L,3,0)</f>
        <v>221082</v>
      </c>
      <c r="C57" s="127" t="s">
        <v>1215</v>
      </c>
      <c r="D57" s="128" t="s">
        <v>1239</v>
      </c>
      <c r="E57" s="128">
        <v>11700</v>
      </c>
      <c r="J57" s="132" t="s">
        <v>1242</v>
      </c>
      <c r="K57" s="133" t="s">
        <v>1241</v>
      </c>
      <c r="L57" s="133">
        <v>223055</v>
      </c>
    </row>
    <row r="58" spans="1:12" ht="16">
      <c r="A58" s="125">
        <v>46203</v>
      </c>
      <c r="B58" s="126">
        <f>VLOOKUP(C58,$J:$L,3,0)</f>
        <v>221082</v>
      </c>
      <c r="C58" s="127" t="s">
        <v>1215</v>
      </c>
      <c r="D58" s="128" t="s">
        <v>1243</v>
      </c>
      <c r="E58" s="128">
        <v>6900</v>
      </c>
      <c r="J58" s="132" t="s">
        <v>1244</v>
      </c>
      <c r="K58" s="133" t="s">
        <v>1241</v>
      </c>
      <c r="L58" s="133">
        <v>223013</v>
      </c>
    </row>
    <row r="59" spans="1:12" ht="16">
      <c r="A59" s="125">
        <v>46203</v>
      </c>
      <c r="B59" s="126">
        <f>VLOOKUP(C59,$J:$L,3,0)</f>
        <v>221082</v>
      </c>
      <c r="C59" s="127" t="s">
        <v>1215</v>
      </c>
      <c r="D59" s="128" t="s">
        <v>1243</v>
      </c>
      <c r="E59" s="128">
        <v>7800</v>
      </c>
      <c r="J59" s="132" t="s">
        <v>1245</v>
      </c>
      <c r="K59" s="133" t="s">
        <v>1241</v>
      </c>
      <c r="L59" s="133">
        <v>224045</v>
      </c>
    </row>
    <row r="60" spans="1:12" ht="16">
      <c r="A60" s="125">
        <v>46203</v>
      </c>
      <c r="B60" s="126">
        <f>VLOOKUP(C60,$J:$L,3,0)</f>
        <v>223023</v>
      </c>
      <c r="C60" s="127" t="s">
        <v>1190</v>
      </c>
      <c r="D60" s="128" t="s">
        <v>1246</v>
      </c>
      <c r="E60" s="128">
        <v>117000</v>
      </c>
      <c r="J60" s="132" t="s">
        <v>1247</v>
      </c>
      <c r="K60" s="133" t="s">
        <v>1241</v>
      </c>
      <c r="L60" s="133">
        <v>224046</v>
      </c>
    </row>
    <row r="61" spans="1:12" ht="16">
      <c r="A61" s="125">
        <v>46203</v>
      </c>
      <c r="B61" s="126">
        <f>VLOOKUP(C61,$J:$L,3,0)</f>
        <v>223023</v>
      </c>
      <c r="C61" s="127" t="s">
        <v>1190</v>
      </c>
      <c r="D61" s="128" t="s">
        <v>1248</v>
      </c>
      <c r="E61" s="128">
        <v>38300</v>
      </c>
      <c r="J61" s="132" t="s">
        <v>1249</v>
      </c>
      <c r="K61" s="133" t="s">
        <v>1241</v>
      </c>
      <c r="L61" s="133">
        <v>223053</v>
      </c>
    </row>
    <row r="62" spans="1:12" ht="16">
      <c r="A62" s="125">
        <v>46203</v>
      </c>
      <c r="B62" s="126">
        <f>VLOOKUP(C62,$J:$L,3,0)</f>
        <v>223023</v>
      </c>
      <c r="C62" s="127" t="s">
        <v>1190</v>
      </c>
      <c r="D62" s="128" t="s">
        <v>1250</v>
      </c>
      <c r="E62" s="128">
        <v>4040</v>
      </c>
      <c r="J62" s="132" t="s">
        <v>1251</v>
      </c>
      <c r="K62" s="133" t="s">
        <v>1241</v>
      </c>
      <c r="L62" s="133">
        <v>224066</v>
      </c>
    </row>
    <row r="63" spans="1:12" ht="16">
      <c r="A63" s="125">
        <v>46203</v>
      </c>
      <c r="B63" s="126">
        <f>VLOOKUP(C63,$J:$L,3,0)</f>
        <v>223023</v>
      </c>
      <c r="C63" s="127" t="s">
        <v>1190</v>
      </c>
      <c r="D63" s="128" t="s">
        <v>1252</v>
      </c>
      <c r="E63" s="128">
        <v>57000</v>
      </c>
      <c r="J63" s="132" t="s">
        <v>1253</v>
      </c>
      <c r="K63" s="133" t="s">
        <v>1241</v>
      </c>
      <c r="L63" s="133">
        <v>224061</v>
      </c>
    </row>
    <row r="64" spans="1:12" ht="16">
      <c r="A64" s="125">
        <v>46203</v>
      </c>
      <c r="B64" s="126">
        <f>VLOOKUP(C64,$J:$L,3,0)</f>
        <v>220052</v>
      </c>
      <c r="C64" s="127" t="s">
        <v>1205</v>
      </c>
      <c r="D64" s="128" t="s">
        <v>1254</v>
      </c>
      <c r="E64" s="128">
        <v>27336</v>
      </c>
      <c r="J64" s="132" t="s">
        <v>1255</v>
      </c>
      <c r="K64" s="133" t="s">
        <v>1256</v>
      </c>
      <c r="L64" s="133">
        <v>220032</v>
      </c>
    </row>
    <row r="65" spans="1:12" ht="16">
      <c r="A65" s="125">
        <v>46203</v>
      </c>
      <c r="B65" s="126">
        <f>VLOOKUP(C65,$J:$L,3,0)</f>
        <v>220052</v>
      </c>
      <c r="C65" s="127" t="s">
        <v>1205</v>
      </c>
      <c r="D65" s="128" t="s">
        <v>1257</v>
      </c>
      <c r="E65" s="128">
        <v>27336</v>
      </c>
      <c r="J65" s="132" t="s">
        <v>1205</v>
      </c>
      <c r="K65" s="133" t="s">
        <v>1256</v>
      </c>
      <c r="L65" s="133">
        <v>220052</v>
      </c>
    </row>
    <row r="66" spans="1:12" ht="16">
      <c r="A66" s="125">
        <v>46203</v>
      </c>
      <c r="B66" s="126">
        <f>VLOOKUP(C66,$J:$L,3,0)</f>
        <v>220052</v>
      </c>
      <c r="C66" s="127" t="s">
        <v>1205</v>
      </c>
      <c r="D66" s="128" t="s">
        <v>1258</v>
      </c>
      <c r="E66" s="128">
        <v>2200</v>
      </c>
      <c r="J66" s="132" t="s">
        <v>1259</v>
      </c>
      <c r="K66" s="133" t="s">
        <v>1260</v>
      </c>
      <c r="L66" s="133">
        <v>224025</v>
      </c>
    </row>
    <row r="67" spans="1:12" ht="16">
      <c r="A67" s="125">
        <v>46203</v>
      </c>
      <c r="B67" s="126">
        <f>VLOOKUP(C67,$J:$L,3,0)</f>
        <v>220052</v>
      </c>
      <c r="C67" s="127" t="s">
        <v>1205</v>
      </c>
      <c r="D67" s="128" t="s">
        <v>1261</v>
      </c>
      <c r="E67" s="128">
        <v>11800</v>
      </c>
      <c r="J67" s="132" t="s">
        <v>1262</v>
      </c>
      <c r="K67" s="133" t="s">
        <v>1263</v>
      </c>
      <c r="L67" s="133">
        <v>223006</v>
      </c>
    </row>
    <row r="68" spans="1:12" ht="16">
      <c r="A68" s="125">
        <v>46203</v>
      </c>
      <c r="B68" s="126">
        <f>VLOOKUP(C68,$J:$L,3,0)</f>
        <v>220052</v>
      </c>
      <c r="C68" s="127" t="s">
        <v>1205</v>
      </c>
      <c r="D68" s="128" t="s">
        <v>1264</v>
      </c>
      <c r="E68" s="128">
        <v>33768</v>
      </c>
      <c r="J68" s="132" t="s">
        <v>1265</v>
      </c>
      <c r="K68" s="133" t="s">
        <v>1266</v>
      </c>
      <c r="L68" s="133">
        <v>219027</v>
      </c>
    </row>
    <row r="69" spans="1:12" ht="16">
      <c r="A69" s="125">
        <v>46203</v>
      </c>
      <c r="B69" s="126">
        <f>VLOOKUP(C69,$J:$L,3,0)</f>
        <v>220052</v>
      </c>
      <c r="C69" s="127" t="s">
        <v>1205</v>
      </c>
      <c r="D69" s="128" t="s">
        <v>1267</v>
      </c>
      <c r="E69" s="128">
        <v>150000</v>
      </c>
      <c r="J69" s="132" t="s">
        <v>1268</v>
      </c>
      <c r="K69" s="133" t="s">
        <v>1269</v>
      </c>
      <c r="L69" s="133">
        <v>221021</v>
      </c>
    </row>
    <row r="70" spans="1:12" ht="16">
      <c r="A70" s="125">
        <v>46203</v>
      </c>
      <c r="B70" s="126">
        <f>VLOOKUP(C70,$J:$L,3,0)</f>
        <v>220052</v>
      </c>
      <c r="C70" s="127" t="s">
        <v>1205</v>
      </c>
      <c r="D70" s="128" t="s">
        <v>1270</v>
      </c>
      <c r="E70" s="128">
        <v>24000</v>
      </c>
      <c r="J70" s="132" t="s">
        <v>1271</v>
      </c>
      <c r="K70" s="133" t="s">
        <v>1269</v>
      </c>
      <c r="L70" s="133">
        <v>225026</v>
      </c>
    </row>
    <row r="71" spans="1:12" ht="16">
      <c r="A71" s="125">
        <v>46203</v>
      </c>
      <c r="B71" s="126">
        <f>VLOOKUP(C71,$J:$L,3,0)</f>
        <v>220052</v>
      </c>
      <c r="C71" s="127" t="s">
        <v>1205</v>
      </c>
      <c r="D71" s="128" t="s">
        <v>1272</v>
      </c>
      <c r="E71" s="128">
        <v>19698</v>
      </c>
      <c r="J71" s="132" t="s">
        <v>1273</v>
      </c>
      <c r="K71" s="133" t="s">
        <v>1274</v>
      </c>
      <c r="L71" s="133">
        <v>224024</v>
      </c>
    </row>
    <row r="72" spans="1:12" ht="16">
      <c r="A72" s="125">
        <v>46203</v>
      </c>
      <c r="B72" s="126">
        <f>VLOOKUP(C72,$J:$L,3,0)</f>
        <v>224074</v>
      </c>
      <c r="C72" s="127" t="s">
        <v>1217</v>
      </c>
      <c r="D72" s="128" t="s">
        <v>1275</v>
      </c>
      <c r="E72" s="128">
        <v>55100</v>
      </c>
      <c r="J72" s="132" t="s">
        <v>1276</v>
      </c>
      <c r="K72" s="133" t="s">
        <v>1274</v>
      </c>
      <c r="L72" s="133">
        <v>224071</v>
      </c>
    </row>
    <row r="73" spans="1:12" ht="16">
      <c r="A73" s="125">
        <v>46203</v>
      </c>
      <c r="B73" s="126">
        <f>VLOOKUP(C73,$J:$L,3,0)</f>
        <v>223009</v>
      </c>
      <c r="C73" s="127" t="s">
        <v>1159</v>
      </c>
      <c r="D73" s="128" t="s">
        <v>1277</v>
      </c>
      <c r="E73" s="128">
        <v>30000</v>
      </c>
      <c r="J73" s="132" t="s">
        <v>1278</v>
      </c>
      <c r="K73" s="133" t="s">
        <v>1274</v>
      </c>
      <c r="L73" s="133">
        <v>224039</v>
      </c>
    </row>
    <row r="74" spans="1:12" ht="16">
      <c r="A74" s="125">
        <v>46203</v>
      </c>
      <c r="B74" s="126">
        <f>VLOOKUP(C74,$J:$L,3,0)</f>
        <v>223009</v>
      </c>
      <c r="C74" s="127" t="s">
        <v>1159</v>
      </c>
      <c r="D74" s="128" t="s">
        <v>1279</v>
      </c>
      <c r="E74" s="128">
        <v>4500</v>
      </c>
      <c r="J74" s="132" t="s">
        <v>1280</v>
      </c>
      <c r="K74" s="133" t="s">
        <v>1274</v>
      </c>
      <c r="L74" s="133">
        <v>220054</v>
      </c>
    </row>
    <row r="75" spans="1:12" ht="16">
      <c r="A75" s="125">
        <v>46203</v>
      </c>
      <c r="B75" s="126">
        <f>VLOOKUP(C75,$J:$L,3,0)</f>
        <v>223011</v>
      </c>
      <c r="C75" s="127" t="s">
        <v>1145</v>
      </c>
      <c r="D75" s="128" t="s">
        <v>1281</v>
      </c>
      <c r="E75" s="128">
        <v>10000</v>
      </c>
      <c r="J75" s="132" t="s">
        <v>1282</v>
      </c>
      <c r="K75" s="133" t="s">
        <v>1283</v>
      </c>
      <c r="L75" s="133">
        <v>224028</v>
      </c>
    </row>
    <row r="76" spans="1:12" ht="16">
      <c r="A76" s="125">
        <v>46203</v>
      </c>
      <c r="B76" s="126">
        <f>VLOOKUP(C76,$J:$L,3,0)</f>
        <v>223011</v>
      </c>
      <c r="C76" s="127" t="s">
        <v>1145</v>
      </c>
      <c r="D76" s="128" t="s">
        <v>1284</v>
      </c>
      <c r="E76" s="128">
        <v>43000</v>
      </c>
      <c r="J76" s="132" t="s">
        <v>1285</v>
      </c>
      <c r="K76" s="133" t="s">
        <v>1283</v>
      </c>
      <c r="L76" s="133">
        <v>222008</v>
      </c>
    </row>
    <row r="77" spans="1:12" ht="16">
      <c r="A77" s="125">
        <v>46203</v>
      </c>
      <c r="B77" s="126">
        <f>VLOOKUP(C77,$J:$L,3,0)</f>
        <v>223011</v>
      </c>
      <c r="C77" s="127" t="s">
        <v>1145</v>
      </c>
      <c r="D77" s="128" t="s">
        <v>1286</v>
      </c>
      <c r="E77" s="128">
        <v>5000</v>
      </c>
      <c r="J77" s="132" t="s">
        <v>1287</v>
      </c>
      <c r="K77" s="133" t="s">
        <v>1283</v>
      </c>
      <c r="L77" s="133">
        <v>218045</v>
      </c>
    </row>
    <row r="78" spans="1:12" ht="16">
      <c r="A78" s="125">
        <v>46203</v>
      </c>
      <c r="B78" s="126">
        <f>VLOOKUP(C78,$J:$L,3,0)</f>
        <v>223011</v>
      </c>
      <c r="C78" s="127" t="s">
        <v>1145</v>
      </c>
      <c r="D78" s="128" t="s">
        <v>1288</v>
      </c>
      <c r="E78" s="128">
        <v>1900</v>
      </c>
      <c r="J78" s="132" t="s">
        <v>1289</v>
      </c>
      <c r="K78" s="133" t="s">
        <v>1283</v>
      </c>
      <c r="L78" s="133">
        <v>224060</v>
      </c>
    </row>
    <row r="79" spans="1:12" ht="16">
      <c r="A79" s="125">
        <v>46203</v>
      </c>
      <c r="B79" s="126">
        <f>VLOOKUP(C79,$J:$L,3,0)</f>
        <v>223011</v>
      </c>
      <c r="C79" s="127" t="s">
        <v>1145</v>
      </c>
      <c r="D79" s="128" t="s">
        <v>1290</v>
      </c>
      <c r="E79" s="128">
        <v>26990</v>
      </c>
      <c r="J79" s="132" t="s">
        <v>1291</v>
      </c>
      <c r="K79" s="133" t="s">
        <v>1283</v>
      </c>
      <c r="L79" s="133">
        <v>218044</v>
      </c>
    </row>
    <row r="80" spans="1:12" ht="16">
      <c r="A80" s="125">
        <v>46203</v>
      </c>
      <c r="B80" s="126">
        <f>VLOOKUP(C80,$J:$L,3,0)</f>
        <v>223011</v>
      </c>
      <c r="C80" s="127" t="s">
        <v>1145</v>
      </c>
      <c r="D80" s="128" t="s">
        <v>1292</v>
      </c>
      <c r="E80" s="128">
        <v>1900</v>
      </c>
      <c r="J80" s="132" t="s">
        <v>1293</v>
      </c>
      <c r="K80" s="133" t="s">
        <v>1283</v>
      </c>
      <c r="L80" s="133">
        <v>224021</v>
      </c>
    </row>
    <row r="81" spans="1:12" ht="16">
      <c r="A81" s="125">
        <v>46203</v>
      </c>
      <c r="B81" s="126">
        <f>VLOOKUP(C81,$J:$L,3,0)</f>
        <v>223011</v>
      </c>
      <c r="C81" s="127" t="s">
        <v>1145</v>
      </c>
      <c r="D81" s="128" t="s">
        <v>1294</v>
      </c>
      <c r="E81" s="128">
        <v>1000</v>
      </c>
      <c r="J81" s="132" t="s">
        <v>1295</v>
      </c>
      <c r="K81" s="133" t="s">
        <v>1296</v>
      </c>
      <c r="L81" s="133">
        <v>224035</v>
      </c>
    </row>
    <row r="82" spans="1:12" ht="16">
      <c r="A82" s="125">
        <v>46203</v>
      </c>
      <c r="B82" s="126">
        <f>VLOOKUP(C82,$J:$L,3,0)</f>
        <v>223011</v>
      </c>
      <c r="C82" s="127" t="s">
        <v>1145</v>
      </c>
      <c r="D82" s="128" t="s">
        <v>1297</v>
      </c>
      <c r="E82" s="128">
        <v>4000</v>
      </c>
      <c r="J82" s="132" t="s">
        <v>1298</v>
      </c>
      <c r="K82" s="133" t="s">
        <v>1299</v>
      </c>
      <c r="L82" s="133">
        <v>218002</v>
      </c>
    </row>
    <row r="83" spans="1:12" ht="16">
      <c r="A83" s="125">
        <v>46203</v>
      </c>
      <c r="B83" s="126">
        <f>VLOOKUP(C83,$J:$L,3,0)</f>
        <v>223011</v>
      </c>
      <c r="C83" s="127" t="s">
        <v>1145</v>
      </c>
      <c r="D83" s="128" t="s">
        <v>1300</v>
      </c>
      <c r="E83" s="128">
        <v>3500</v>
      </c>
      <c r="J83" s="132" t="s">
        <v>1301</v>
      </c>
      <c r="K83" s="133" t="s">
        <v>1302</v>
      </c>
      <c r="L83" s="133">
        <v>224067</v>
      </c>
    </row>
    <row r="84" spans="1:12" ht="16">
      <c r="A84" s="125">
        <v>46203</v>
      </c>
      <c r="B84" s="126">
        <f>VLOOKUP(C84,$J:$L,3,0)</f>
        <v>223011</v>
      </c>
      <c r="C84" s="127" t="s">
        <v>1145</v>
      </c>
      <c r="D84" s="128" t="s">
        <v>1303</v>
      </c>
      <c r="E84" s="128">
        <v>5000</v>
      </c>
      <c r="J84" s="132" t="s">
        <v>1304</v>
      </c>
      <c r="K84" s="133" t="s">
        <v>1305</v>
      </c>
      <c r="L84" s="133">
        <v>216054</v>
      </c>
    </row>
    <row r="85" spans="1:12" ht="16">
      <c r="A85" s="125">
        <v>46203</v>
      </c>
      <c r="B85" s="126">
        <f>VLOOKUP(C85,$J:$L,3,0)</f>
        <v>222052</v>
      </c>
      <c r="C85" s="127" t="s">
        <v>1306</v>
      </c>
      <c r="D85" s="128" t="s">
        <v>1307</v>
      </c>
      <c r="E85" s="128">
        <v>20000</v>
      </c>
      <c r="J85" s="132" t="s">
        <v>1308</v>
      </c>
      <c r="K85" s="133" t="s">
        <v>1305</v>
      </c>
      <c r="L85" s="133">
        <v>225025</v>
      </c>
    </row>
    <row r="86" spans="1:12" ht="16">
      <c r="A86" s="125">
        <v>46203</v>
      </c>
      <c r="B86" s="126">
        <f>VLOOKUP(C86,$J:$L,3,0)</f>
        <v>222052</v>
      </c>
      <c r="C86" s="127" t="s">
        <v>1306</v>
      </c>
      <c r="D86" s="128" t="s">
        <v>1309</v>
      </c>
      <c r="E86" s="128">
        <v>13500</v>
      </c>
      <c r="J86" s="132" t="s">
        <v>1310</v>
      </c>
      <c r="K86" s="133" t="s">
        <v>1311</v>
      </c>
      <c r="L86" s="133" t="s">
        <v>1312</v>
      </c>
    </row>
    <row r="87" spans="1:12" ht="16">
      <c r="A87" s="125">
        <v>46203</v>
      </c>
      <c r="B87" s="126">
        <f>VLOOKUP(C87,$J:$L,3,0)</f>
        <v>222053</v>
      </c>
      <c r="C87" s="127" t="s">
        <v>1207</v>
      </c>
      <c r="D87" s="128" t="s">
        <v>1313</v>
      </c>
      <c r="E87" s="128">
        <v>319440</v>
      </c>
      <c r="J87" s="132" t="s">
        <v>1314</v>
      </c>
      <c r="K87" s="133" t="s">
        <v>1315</v>
      </c>
      <c r="L87" s="133">
        <v>208213</v>
      </c>
    </row>
    <row r="88" spans="1:12" ht="16">
      <c r="A88" s="125">
        <v>46203</v>
      </c>
      <c r="B88" s="126">
        <f>VLOOKUP(C88,$J:$L,3,0)</f>
        <v>226030</v>
      </c>
      <c r="C88" s="127" t="s">
        <v>1316</v>
      </c>
      <c r="D88" s="128" t="s">
        <v>1317</v>
      </c>
      <c r="E88" s="128">
        <v>4040</v>
      </c>
      <c r="J88" s="132" t="s">
        <v>1318</v>
      </c>
      <c r="K88" s="133" t="s">
        <v>1319</v>
      </c>
      <c r="L88" s="133">
        <v>222044</v>
      </c>
    </row>
    <row r="89" spans="1:12" ht="16">
      <c r="A89" s="125">
        <v>46203</v>
      </c>
      <c r="B89" s="126">
        <f>VLOOKUP(C89,$J:$L,3,0)</f>
        <v>220029</v>
      </c>
      <c r="C89" s="127" t="s">
        <v>1211</v>
      </c>
      <c r="D89" s="128" t="s">
        <v>1320</v>
      </c>
      <c r="E89" s="128">
        <v>1550</v>
      </c>
      <c r="J89" s="132" t="s">
        <v>1177</v>
      </c>
      <c r="K89" s="133" t="s">
        <v>1321</v>
      </c>
      <c r="L89" s="133">
        <v>222012</v>
      </c>
    </row>
    <row r="90" spans="1:12" ht="16">
      <c r="A90" s="125">
        <v>46203</v>
      </c>
      <c r="B90" s="126">
        <f>VLOOKUP(C90,$J:$L,3,0)</f>
        <v>220029</v>
      </c>
      <c r="C90" s="127" t="s">
        <v>1211</v>
      </c>
      <c r="D90" s="128" t="s">
        <v>1320</v>
      </c>
      <c r="E90" s="128">
        <v>1550</v>
      </c>
      <c r="J90" s="132" t="s">
        <v>1322</v>
      </c>
      <c r="K90" s="133" t="s">
        <v>1321</v>
      </c>
      <c r="L90" s="133">
        <v>223044</v>
      </c>
    </row>
    <row r="91" spans="1:12" ht="16">
      <c r="A91" s="125">
        <v>46203</v>
      </c>
      <c r="B91" s="126">
        <f>VLOOKUP(C91,$J:$L,3,0)</f>
        <v>220029</v>
      </c>
      <c r="C91" s="127" t="s">
        <v>1211</v>
      </c>
      <c r="D91" s="128" t="s">
        <v>1320</v>
      </c>
      <c r="E91" s="128">
        <v>1550</v>
      </c>
      <c r="J91" s="132" t="s">
        <v>1323</v>
      </c>
      <c r="K91" s="133" t="s">
        <v>1324</v>
      </c>
      <c r="L91" s="133">
        <v>208212</v>
      </c>
    </row>
    <row r="92" spans="1:12" ht="16">
      <c r="A92" s="125">
        <v>46203</v>
      </c>
      <c r="B92" s="126">
        <f>VLOOKUP(C92,$J:$L,3,0)</f>
        <v>220029</v>
      </c>
      <c r="C92" s="127" t="s">
        <v>1211</v>
      </c>
      <c r="D92" s="128" t="s">
        <v>1320</v>
      </c>
      <c r="E92" s="128">
        <v>1550</v>
      </c>
      <c r="J92" s="132" t="s">
        <v>1215</v>
      </c>
      <c r="K92" s="133" t="s">
        <v>1324</v>
      </c>
      <c r="L92" s="133">
        <v>221082</v>
      </c>
    </row>
    <row r="93" spans="1:12" ht="16">
      <c r="A93" s="125">
        <v>46203</v>
      </c>
      <c r="B93" s="126">
        <f>VLOOKUP(C93,$J:$L,3,0)</f>
        <v>220029</v>
      </c>
      <c r="C93" s="127" t="s">
        <v>1211</v>
      </c>
      <c r="D93" s="128" t="s">
        <v>1320</v>
      </c>
      <c r="E93" s="128">
        <v>1550</v>
      </c>
      <c r="J93" s="132" t="s">
        <v>1325</v>
      </c>
      <c r="K93" s="133" t="s">
        <v>1324</v>
      </c>
      <c r="L93" s="133">
        <v>221087</v>
      </c>
    </row>
    <row r="94" spans="1:12" ht="16">
      <c r="A94" s="125">
        <v>46203</v>
      </c>
      <c r="B94" s="126">
        <f>VLOOKUP(C94,$J:$L,3,0)</f>
        <v>220029</v>
      </c>
      <c r="C94" s="127" t="s">
        <v>1211</v>
      </c>
      <c r="D94" s="128" t="s">
        <v>1320</v>
      </c>
      <c r="E94" s="128">
        <v>1550</v>
      </c>
      <c r="J94" s="132" t="s">
        <v>1326</v>
      </c>
      <c r="K94" s="133" t="s">
        <v>1324</v>
      </c>
      <c r="L94" s="133">
        <v>222037</v>
      </c>
    </row>
    <row r="95" spans="1:12" ht="16">
      <c r="A95" s="125">
        <v>46203</v>
      </c>
      <c r="B95" s="126">
        <f>VLOOKUP(C95,$J:$L,3,0)</f>
        <v>225027</v>
      </c>
      <c r="C95" s="127" t="s">
        <v>1136</v>
      </c>
      <c r="D95" s="128" t="s">
        <v>1327</v>
      </c>
      <c r="E95" s="128">
        <v>384954</v>
      </c>
      <c r="J95" s="132" t="s">
        <v>1328</v>
      </c>
      <c r="K95" s="133" t="s">
        <v>1329</v>
      </c>
      <c r="L95" s="133">
        <v>218020</v>
      </c>
    </row>
    <row r="96" spans="1:12" ht="16">
      <c r="A96" s="125">
        <v>46203</v>
      </c>
      <c r="B96" s="126">
        <f>VLOOKUP(C96,$J:$L,3,0)</f>
        <v>226011</v>
      </c>
      <c r="C96" s="127" t="s">
        <v>1330</v>
      </c>
      <c r="D96" s="128" t="s">
        <v>1331</v>
      </c>
      <c r="E96" s="128">
        <v>21000</v>
      </c>
      <c r="J96" s="132" t="s">
        <v>1332</v>
      </c>
      <c r="K96" s="133" t="s">
        <v>1333</v>
      </c>
      <c r="L96" s="133">
        <v>208218</v>
      </c>
    </row>
    <row r="97" spans="1:12" ht="16">
      <c r="A97" s="125">
        <v>46203</v>
      </c>
      <c r="B97" s="126">
        <f>VLOOKUP(C97,$J:$L,3,0)</f>
        <v>193046</v>
      </c>
      <c r="C97" s="127" t="s">
        <v>1334</v>
      </c>
      <c r="D97" s="128" t="s">
        <v>1335</v>
      </c>
      <c r="E97" s="128">
        <v>74110</v>
      </c>
      <c r="J97" s="132" t="s">
        <v>1336</v>
      </c>
      <c r="K97" s="133" t="s">
        <v>1337</v>
      </c>
      <c r="L97" s="133">
        <v>223016</v>
      </c>
    </row>
    <row r="98" spans="1:12" ht="16">
      <c r="A98" s="125">
        <v>46203</v>
      </c>
      <c r="B98" s="126">
        <f>VLOOKUP(C98,$J:$L,3,0)</f>
        <v>219043</v>
      </c>
      <c r="C98" s="127" t="s">
        <v>1338</v>
      </c>
      <c r="D98" s="128" t="s">
        <v>1339</v>
      </c>
      <c r="E98" s="128">
        <v>116640</v>
      </c>
      <c r="J98" s="132" t="s">
        <v>1340</v>
      </c>
      <c r="K98" s="133" t="s">
        <v>1324</v>
      </c>
      <c r="L98" s="133">
        <v>222045</v>
      </c>
    </row>
    <row r="99" spans="1:12" ht="16">
      <c r="A99" s="125">
        <v>46203</v>
      </c>
      <c r="B99" s="126">
        <f>VLOOKUP(C99,$J:$L,3,0)</f>
        <v>223016</v>
      </c>
      <c r="C99" s="127" t="s">
        <v>1341</v>
      </c>
      <c r="D99" s="128" t="s">
        <v>1342</v>
      </c>
      <c r="E99" s="128">
        <v>39000</v>
      </c>
      <c r="J99" s="132" t="s">
        <v>1343</v>
      </c>
      <c r="K99" s="133" t="s">
        <v>1324</v>
      </c>
      <c r="L99" s="133">
        <v>225010</v>
      </c>
    </row>
    <row r="100" spans="1:12" ht="16">
      <c r="A100" s="125">
        <v>46203</v>
      </c>
      <c r="B100" s="126">
        <f>VLOOKUP(C100,$J:$L,3,0)</f>
        <v>223016</v>
      </c>
      <c r="C100" s="127" t="s">
        <v>1341</v>
      </c>
      <c r="D100" s="128" t="s">
        <v>1344</v>
      </c>
      <c r="E100" s="128">
        <v>12800</v>
      </c>
      <c r="J100" s="132" t="s">
        <v>1345</v>
      </c>
      <c r="K100" s="133" t="s">
        <v>1324</v>
      </c>
      <c r="L100" s="133">
        <v>216003</v>
      </c>
    </row>
    <row r="101" spans="1:12" ht="16">
      <c r="A101" s="125">
        <v>46203</v>
      </c>
      <c r="B101" s="126">
        <f>VLOOKUP(C101,$J:$L,3,0)</f>
        <v>223016</v>
      </c>
      <c r="C101" s="127" t="s">
        <v>1341</v>
      </c>
      <c r="D101" s="128" t="s">
        <v>1346</v>
      </c>
      <c r="E101" s="128">
        <v>26000</v>
      </c>
      <c r="J101" s="132" t="s">
        <v>1347</v>
      </c>
      <c r="K101" s="133" t="s">
        <v>1324</v>
      </c>
      <c r="L101" s="133">
        <v>223037</v>
      </c>
    </row>
    <row r="102" spans="1:12" ht="16">
      <c r="A102" s="125">
        <v>46203</v>
      </c>
      <c r="B102" s="126">
        <f>VLOOKUP(C102,$J:$L,3,0)</f>
        <v>223016</v>
      </c>
      <c r="C102" s="127" t="s">
        <v>1341</v>
      </c>
      <c r="D102" s="128" t="s">
        <v>1348</v>
      </c>
      <c r="E102" s="128">
        <v>63500</v>
      </c>
      <c r="J102" s="132" t="s">
        <v>1349</v>
      </c>
      <c r="K102" s="133" t="s">
        <v>1350</v>
      </c>
      <c r="L102" s="133" t="s">
        <v>1351</v>
      </c>
    </row>
    <row r="103" spans="1:12" ht="16">
      <c r="A103" s="125">
        <v>46203</v>
      </c>
      <c r="B103" s="126">
        <f>VLOOKUP(C103,$J:$L,3,0)</f>
        <v>223016</v>
      </c>
      <c r="C103" s="127" t="s">
        <v>1341</v>
      </c>
      <c r="D103" s="128" t="s">
        <v>1352</v>
      </c>
      <c r="E103" s="128">
        <v>12800</v>
      </c>
      <c r="J103" s="132" t="s">
        <v>1192</v>
      </c>
      <c r="K103" s="133" t="s">
        <v>1353</v>
      </c>
      <c r="L103" s="133" t="s">
        <v>1354</v>
      </c>
    </row>
    <row r="104" spans="1:12" ht="16">
      <c r="A104" s="125">
        <v>46203</v>
      </c>
      <c r="B104" s="126">
        <f>VLOOKUP(C104,$J:$L,3,0)</f>
        <v>223016</v>
      </c>
      <c r="C104" s="127" t="s">
        <v>1341</v>
      </c>
      <c r="D104" s="128" t="s">
        <v>1352</v>
      </c>
      <c r="E104" s="128">
        <v>11100</v>
      </c>
      <c r="J104" s="132" t="s">
        <v>1338</v>
      </c>
      <c r="K104" s="133" t="s">
        <v>1353</v>
      </c>
      <c r="L104" s="133">
        <v>219043</v>
      </c>
    </row>
    <row r="105" spans="1:12" ht="16">
      <c r="A105" s="125">
        <v>46203</v>
      </c>
      <c r="B105" s="126">
        <f>VLOOKUP(C105,$J:$L,3,0)</f>
        <v>223016</v>
      </c>
      <c r="C105" s="127" t="s">
        <v>1341</v>
      </c>
      <c r="D105" s="128" t="s">
        <v>1355</v>
      </c>
      <c r="E105" s="128">
        <v>11400</v>
      </c>
      <c r="J105" s="132" t="s">
        <v>1334</v>
      </c>
      <c r="K105" s="133" t="s">
        <v>1353</v>
      </c>
      <c r="L105" s="133">
        <v>193046</v>
      </c>
    </row>
    <row r="106" spans="1:12" ht="16">
      <c r="A106" s="125">
        <v>46203</v>
      </c>
      <c r="B106" s="126">
        <f>VLOOKUP(C106,$J:$L,3,0)</f>
        <v>223016</v>
      </c>
      <c r="C106" s="127" t="s">
        <v>1341</v>
      </c>
      <c r="D106" s="128" t="s">
        <v>1356</v>
      </c>
      <c r="E106" s="128">
        <v>77900</v>
      </c>
      <c r="J106" s="132" t="s">
        <v>1170</v>
      </c>
      <c r="K106" s="133" t="s">
        <v>1357</v>
      </c>
      <c r="L106" s="133">
        <v>223025</v>
      </c>
    </row>
    <row r="107" spans="1:12" ht="16">
      <c r="A107" s="125">
        <v>46203</v>
      </c>
      <c r="B107" s="126">
        <f>VLOOKUP(C107,$J:$L,3,0)</f>
        <v>223016</v>
      </c>
      <c r="C107" s="127" t="s">
        <v>1341</v>
      </c>
      <c r="D107" s="128" t="s">
        <v>1358</v>
      </c>
      <c r="E107" s="128">
        <v>24500</v>
      </c>
      <c r="J107" s="132" t="s">
        <v>1359</v>
      </c>
      <c r="K107" s="133" t="s">
        <v>1360</v>
      </c>
      <c r="L107" s="133">
        <v>208203</v>
      </c>
    </row>
    <row r="108" spans="1:12" ht="16">
      <c r="A108" s="125">
        <v>46203</v>
      </c>
      <c r="B108" s="126">
        <f>VLOOKUP(C108,$J:$L,3,0)</f>
        <v>223010</v>
      </c>
      <c r="C108" s="127" t="s">
        <v>1361</v>
      </c>
      <c r="D108" s="128" t="s">
        <v>1362</v>
      </c>
      <c r="E108" s="128">
        <v>16000</v>
      </c>
      <c r="J108" s="132" t="s">
        <v>1363</v>
      </c>
      <c r="K108" s="133" t="s">
        <v>1360</v>
      </c>
      <c r="L108" s="133">
        <v>219046</v>
      </c>
    </row>
    <row r="109" spans="1:12" ht="16">
      <c r="A109" s="125">
        <v>46203</v>
      </c>
      <c r="B109" s="126">
        <f>VLOOKUP(C109,$J:$L,3,0)</f>
        <v>223010</v>
      </c>
      <c r="C109" s="127" t="s">
        <v>1361</v>
      </c>
      <c r="D109" s="128" t="s">
        <v>1364</v>
      </c>
      <c r="E109" s="128">
        <v>7500</v>
      </c>
      <c r="J109" s="132" t="s">
        <v>1365</v>
      </c>
      <c r="K109" s="133" t="s">
        <v>1360</v>
      </c>
      <c r="L109" s="133">
        <v>221002</v>
      </c>
    </row>
    <row r="110" spans="1:12" ht="16">
      <c r="A110" s="125">
        <v>46203</v>
      </c>
      <c r="B110" s="126">
        <f>VLOOKUP(C110,$J:$L,3,0)</f>
        <v>224031</v>
      </c>
      <c r="C110" s="127" t="s">
        <v>1194</v>
      </c>
      <c r="D110" s="128" t="s">
        <v>1366</v>
      </c>
      <c r="E110" s="128">
        <v>180200</v>
      </c>
      <c r="J110" s="132" t="s">
        <v>1367</v>
      </c>
      <c r="K110" s="133" t="s">
        <v>1368</v>
      </c>
      <c r="L110" s="133">
        <v>211023</v>
      </c>
    </row>
    <row r="111" spans="1:12" ht="16">
      <c r="A111" s="125">
        <v>46203</v>
      </c>
      <c r="B111" s="126">
        <f>VLOOKUP(C111,$J:$L,3,0)</f>
        <v>224031</v>
      </c>
      <c r="C111" s="127" t="s">
        <v>1194</v>
      </c>
      <c r="D111" s="128" t="s">
        <v>1369</v>
      </c>
      <c r="E111" s="128">
        <v>25000</v>
      </c>
      <c r="J111" s="132" t="s">
        <v>1370</v>
      </c>
      <c r="K111" s="133" t="s">
        <v>1371</v>
      </c>
      <c r="L111" s="133">
        <v>217020</v>
      </c>
    </row>
    <row r="112" spans="1:12" ht="16">
      <c r="A112" s="125">
        <v>46203</v>
      </c>
      <c r="B112" s="126">
        <f>VLOOKUP(C112,$J:$L,3,0)</f>
        <v>224031</v>
      </c>
      <c r="C112" s="127" t="s">
        <v>1194</v>
      </c>
      <c r="D112" s="128" t="s">
        <v>1372</v>
      </c>
      <c r="E112" s="128">
        <v>4000</v>
      </c>
      <c r="J112" s="132" t="s">
        <v>1298</v>
      </c>
      <c r="K112" s="133" t="s">
        <v>1371</v>
      </c>
      <c r="L112" s="133">
        <v>218002</v>
      </c>
    </row>
    <row r="113" spans="1:12" ht="16">
      <c r="A113" s="125">
        <v>46203</v>
      </c>
      <c r="B113" s="126">
        <f>VLOOKUP(C113,$J:$L,3,0)</f>
        <v>224031</v>
      </c>
      <c r="C113" s="127" t="s">
        <v>1194</v>
      </c>
      <c r="D113" s="128" t="s">
        <v>1373</v>
      </c>
      <c r="E113" s="128">
        <v>75900</v>
      </c>
      <c r="J113" s="132" t="s">
        <v>1374</v>
      </c>
      <c r="K113" s="133" t="s">
        <v>1371</v>
      </c>
      <c r="L113" s="133">
        <v>220013</v>
      </c>
    </row>
    <row r="114" spans="1:12" ht="16">
      <c r="A114" s="125">
        <v>46203</v>
      </c>
      <c r="B114" s="126">
        <f>VLOOKUP(C114,$J:$L,3,0)</f>
        <v>223041</v>
      </c>
      <c r="C114" s="127" t="s">
        <v>1188</v>
      </c>
      <c r="D114" s="128" t="s">
        <v>1375</v>
      </c>
      <c r="E114" s="128">
        <v>83500</v>
      </c>
      <c r="J114" s="132" t="s">
        <v>1376</v>
      </c>
      <c r="K114" s="133" t="s">
        <v>1377</v>
      </c>
      <c r="L114" s="133">
        <v>221052</v>
      </c>
    </row>
    <row r="115" spans="1:12" ht="16">
      <c r="A115" s="125">
        <v>46203</v>
      </c>
      <c r="B115" s="126">
        <f>VLOOKUP(C115,$J:$L,3,0)</f>
        <v>225016</v>
      </c>
      <c r="C115" s="127" t="s">
        <v>1233</v>
      </c>
      <c r="D115" s="128" t="s">
        <v>1378</v>
      </c>
      <c r="E115" s="128">
        <v>52381</v>
      </c>
      <c r="J115" s="132" t="s">
        <v>1379</v>
      </c>
      <c r="K115" s="133" t="s">
        <v>1371</v>
      </c>
      <c r="L115" s="133">
        <v>224030</v>
      </c>
    </row>
    <row r="116" spans="1:12" ht="16">
      <c r="A116" s="125">
        <v>46203</v>
      </c>
      <c r="B116" s="126">
        <f>VLOOKUP(C116,$J:$L,3,0)</f>
        <v>222052</v>
      </c>
      <c r="C116" s="127" t="s">
        <v>1306</v>
      </c>
      <c r="D116" s="128" t="s">
        <v>1380</v>
      </c>
      <c r="E116" s="128">
        <v>88976</v>
      </c>
      <c r="J116" s="132" t="s">
        <v>1381</v>
      </c>
      <c r="K116" s="133" t="s">
        <v>1371</v>
      </c>
      <c r="L116" s="133">
        <v>224075</v>
      </c>
    </row>
    <row r="117" spans="1:12" ht="16">
      <c r="A117" s="125">
        <v>46203</v>
      </c>
      <c r="B117" s="126">
        <f>VLOOKUP(C117,$J:$L,3,0)</f>
        <v>222052</v>
      </c>
      <c r="C117" s="127" t="s">
        <v>1306</v>
      </c>
      <c r="D117" s="128" t="s">
        <v>1382</v>
      </c>
      <c r="E117" s="128">
        <v>45560</v>
      </c>
      <c r="J117" s="132" t="s">
        <v>1383</v>
      </c>
      <c r="K117" s="133" t="s">
        <v>1371</v>
      </c>
      <c r="L117" s="133">
        <v>226002</v>
      </c>
    </row>
    <row r="118" spans="1:12" ht="16">
      <c r="A118" s="125">
        <v>46203</v>
      </c>
      <c r="B118" s="126">
        <f>VLOOKUP(C118,$J:$L,3,0)</f>
        <v>222052</v>
      </c>
      <c r="C118" s="127" t="s">
        <v>1306</v>
      </c>
      <c r="D118" s="128" t="s">
        <v>1384</v>
      </c>
      <c r="E118" s="128">
        <v>105726</v>
      </c>
      <c r="J118" s="132" t="s">
        <v>1385</v>
      </c>
      <c r="K118" s="133" t="s">
        <v>1371</v>
      </c>
      <c r="L118" s="133">
        <v>225009</v>
      </c>
    </row>
    <row r="119" spans="1:12" ht="16">
      <c r="A119" s="125">
        <v>46203</v>
      </c>
      <c r="B119" s="126">
        <f>VLOOKUP(C119,$J:$L,3,0)</f>
        <v>222052</v>
      </c>
      <c r="C119" s="127" t="s">
        <v>1306</v>
      </c>
      <c r="D119" s="128" t="s">
        <v>1386</v>
      </c>
      <c r="E119" s="128">
        <v>75308</v>
      </c>
      <c r="J119" s="132" t="s">
        <v>1387</v>
      </c>
      <c r="K119" s="133" t="s">
        <v>1371</v>
      </c>
      <c r="L119" s="133">
        <v>225007</v>
      </c>
    </row>
    <row r="120" spans="1:12" ht="16">
      <c r="A120" s="125">
        <v>46203</v>
      </c>
      <c r="B120" s="126">
        <f>VLOOKUP(C120,$J:$L,3,0)</f>
        <v>223016</v>
      </c>
      <c r="C120" s="127" t="s">
        <v>1388</v>
      </c>
      <c r="D120" s="128" t="s">
        <v>1389</v>
      </c>
      <c r="E120" s="128">
        <v>51800</v>
      </c>
      <c r="J120" s="132" t="s">
        <v>1390</v>
      </c>
      <c r="K120" s="133" t="s">
        <v>1391</v>
      </c>
      <c r="L120" s="133">
        <v>221008</v>
      </c>
    </row>
    <row r="121" spans="1:12" ht="16">
      <c r="A121" s="125">
        <v>46203</v>
      </c>
      <c r="B121" s="126">
        <f>VLOOKUP(C121,$J:$L,3,0)</f>
        <v>223016</v>
      </c>
      <c r="C121" s="127" t="s">
        <v>1341</v>
      </c>
      <c r="D121" s="128" t="s">
        <v>1392</v>
      </c>
      <c r="E121" s="128">
        <v>52000</v>
      </c>
      <c r="J121" s="132" t="s">
        <v>1393</v>
      </c>
      <c r="K121" s="133" t="s">
        <v>1391</v>
      </c>
      <c r="L121" s="133">
        <v>221016</v>
      </c>
    </row>
    <row r="122" spans="1:12" ht="16">
      <c r="A122" s="125">
        <v>46203</v>
      </c>
      <c r="B122" s="126">
        <f>VLOOKUP(C122,$J:$L,3,0)</f>
        <v>223016</v>
      </c>
      <c r="C122" s="127" t="s">
        <v>1341</v>
      </c>
      <c r="D122" s="128" t="s">
        <v>1394</v>
      </c>
      <c r="E122" s="128">
        <v>11100</v>
      </c>
      <c r="J122" s="132" t="s">
        <v>1395</v>
      </c>
      <c r="K122" s="133" t="s">
        <v>1391</v>
      </c>
      <c r="L122" s="133">
        <v>223050</v>
      </c>
    </row>
    <row r="123" spans="1:12" ht="16">
      <c r="A123" s="125">
        <v>46203</v>
      </c>
      <c r="B123" s="126">
        <f>VLOOKUP(C123,$J:$L,3,0)</f>
        <v>223016</v>
      </c>
      <c r="C123" s="127" t="s">
        <v>1341</v>
      </c>
      <c r="D123" s="128" t="s">
        <v>1396</v>
      </c>
      <c r="E123" s="128">
        <v>26000</v>
      </c>
      <c r="J123" s="132" t="s">
        <v>1397</v>
      </c>
      <c r="K123" s="133" t="s">
        <v>1391</v>
      </c>
      <c r="L123" s="133">
        <v>225030</v>
      </c>
    </row>
    <row r="124" spans="1:12" ht="16">
      <c r="A124" s="125">
        <v>46203</v>
      </c>
      <c r="B124" s="126">
        <f>VLOOKUP(C124,$J:$L,3,0)</f>
        <v>223016</v>
      </c>
      <c r="C124" s="127" t="s">
        <v>1341</v>
      </c>
      <c r="D124" s="128" t="s">
        <v>1398</v>
      </c>
      <c r="E124" s="128">
        <v>13500</v>
      </c>
      <c r="J124" s="132" t="s">
        <v>1399</v>
      </c>
      <c r="K124" s="133" t="s">
        <v>1400</v>
      </c>
      <c r="L124" s="133">
        <v>204004</v>
      </c>
    </row>
    <row r="125" spans="1:12" ht="16">
      <c r="A125" s="125">
        <v>46203</v>
      </c>
      <c r="B125" s="126">
        <f>VLOOKUP(C125,$J:$L,3,0)</f>
        <v>223016</v>
      </c>
      <c r="C125" s="127" t="s">
        <v>1341</v>
      </c>
      <c r="D125" s="128" t="s">
        <v>1401</v>
      </c>
      <c r="E125" s="128">
        <v>38000</v>
      </c>
      <c r="J125" s="132" t="s">
        <v>1402</v>
      </c>
      <c r="K125" s="133" t="s">
        <v>1400</v>
      </c>
      <c r="L125" s="133">
        <v>212049</v>
      </c>
    </row>
    <row r="126" spans="1:12" ht="16">
      <c r="A126" s="125">
        <v>46203</v>
      </c>
      <c r="B126" s="126">
        <f>VLOOKUP(C126,$J:$L,3,0)</f>
        <v>223016</v>
      </c>
      <c r="C126" s="127" t="s">
        <v>1341</v>
      </c>
      <c r="D126" s="128" t="s">
        <v>1403</v>
      </c>
      <c r="E126" s="128">
        <v>52000</v>
      </c>
      <c r="J126" s="132" t="s">
        <v>1404</v>
      </c>
      <c r="K126" s="133" t="s">
        <v>1400</v>
      </c>
      <c r="L126" s="133">
        <v>214026</v>
      </c>
    </row>
    <row r="127" spans="1:12" ht="16">
      <c r="A127" s="125">
        <v>46203</v>
      </c>
      <c r="B127" s="126">
        <f>VLOOKUP(C127,$J:$L,3,0)</f>
        <v>223016</v>
      </c>
      <c r="C127" s="127" t="s">
        <v>1341</v>
      </c>
      <c r="D127" s="128" t="s">
        <v>1405</v>
      </c>
      <c r="E127" s="128">
        <v>21800</v>
      </c>
      <c r="J127" s="132" t="s">
        <v>1406</v>
      </c>
      <c r="K127" s="133" t="s">
        <v>1400</v>
      </c>
      <c r="L127" s="133">
        <v>214032</v>
      </c>
    </row>
    <row r="128" spans="1:12" ht="16">
      <c r="A128" s="125">
        <v>46203</v>
      </c>
      <c r="B128" s="126">
        <f>VLOOKUP(C128,$J:$L,3,0)</f>
        <v>223016</v>
      </c>
      <c r="C128" s="127" t="s">
        <v>1341</v>
      </c>
      <c r="D128" s="128" t="s">
        <v>1405</v>
      </c>
      <c r="E128" s="128">
        <v>25000</v>
      </c>
      <c r="J128" s="132" t="s">
        <v>1407</v>
      </c>
      <c r="K128" s="133" t="s">
        <v>1400</v>
      </c>
      <c r="L128" s="133">
        <v>221006</v>
      </c>
    </row>
    <row r="129" spans="1:12" ht="16">
      <c r="A129" s="125">
        <v>46203</v>
      </c>
      <c r="B129" s="126">
        <f>VLOOKUP(C129,$J:$L,3,0)</f>
        <v>223016</v>
      </c>
      <c r="C129" s="127" t="s">
        <v>1341</v>
      </c>
      <c r="D129" s="128" t="s">
        <v>1394</v>
      </c>
      <c r="E129" s="128">
        <v>52000</v>
      </c>
      <c r="J129" s="132" t="s">
        <v>1408</v>
      </c>
      <c r="K129" s="133" t="s">
        <v>1409</v>
      </c>
      <c r="L129" s="133">
        <v>203006</v>
      </c>
    </row>
    <row r="130" spans="1:12" ht="16">
      <c r="A130" s="125">
        <v>46203</v>
      </c>
      <c r="B130" s="126">
        <f>VLOOKUP(C130,$J:$L,3,0)</f>
        <v>216054</v>
      </c>
      <c r="C130" s="127" t="s">
        <v>1304</v>
      </c>
      <c r="D130" s="128" t="s">
        <v>1410</v>
      </c>
      <c r="E130" s="128">
        <v>100000</v>
      </c>
      <c r="J130" s="132" t="s">
        <v>1411</v>
      </c>
      <c r="K130" s="133" t="s">
        <v>1409</v>
      </c>
      <c r="L130" s="133">
        <v>210064</v>
      </c>
    </row>
    <row r="131" spans="1:12" ht="16">
      <c r="A131" s="125">
        <v>46203</v>
      </c>
      <c r="B131" s="126">
        <f>VLOOKUP(C131,$J:$L,3,0)</f>
        <v>222062</v>
      </c>
      <c r="C131" s="127" t="s">
        <v>1412</v>
      </c>
      <c r="D131" s="128" t="s">
        <v>1413</v>
      </c>
      <c r="E131" s="128">
        <v>550000</v>
      </c>
      <c r="J131" s="132" t="s">
        <v>1414</v>
      </c>
      <c r="K131" s="133" t="s">
        <v>1415</v>
      </c>
      <c r="L131" s="133">
        <v>222015</v>
      </c>
    </row>
    <row r="132" spans="1:12" ht="16">
      <c r="A132" s="125">
        <v>46203</v>
      </c>
      <c r="B132" s="126">
        <f>VLOOKUP(C132,$J:$L,3,0)</f>
        <v>223024</v>
      </c>
      <c r="C132" s="127" t="s">
        <v>1151</v>
      </c>
      <c r="D132" s="128" t="s">
        <v>1416</v>
      </c>
      <c r="E132" s="128">
        <v>12600</v>
      </c>
      <c r="J132" s="132" t="s">
        <v>1417</v>
      </c>
      <c r="K132" s="133" t="s">
        <v>1415</v>
      </c>
      <c r="L132" s="133">
        <v>224070</v>
      </c>
    </row>
    <row r="133" spans="1:12" ht="16">
      <c r="A133" s="125">
        <v>46203</v>
      </c>
      <c r="B133" s="126">
        <f>VLOOKUP(C133,$J:$L,3,0)</f>
        <v>224072</v>
      </c>
      <c r="C133" s="127" t="s">
        <v>1154</v>
      </c>
      <c r="D133" s="128" t="s">
        <v>1418</v>
      </c>
      <c r="E133" s="128">
        <v>88225</v>
      </c>
      <c r="J133" s="132" t="s">
        <v>1419</v>
      </c>
      <c r="K133" s="133" t="s">
        <v>1415</v>
      </c>
      <c r="L133" s="133">
        <v>215024</v>
      </c>
    </row>
    <row r="134" spans="1:12" ht="16">
      <c r="A134" s="125">
        <v>46203</v>
      </c>
      <c r="B134" s="126">
        <f>VLOOKUP(C134,$J:$L,3,0)</f>
        <v>224072</v>
      </c>
      <c r="C134" s="127" t="s">
        <v>1154</v>
      </c>
      <c r="D134" s="128" t="s">
        <v>1420</v>
      </c>
      <c r="E134" s="128">
        <v>8600</v>
      </c>
      <c r="J134" s="133" t="s">
        <v>1421</v>
      </c>
      <c r="K134" s="133" t="s">
        <v>1415</v>
      </c>
      <c r="L134" s="133">
        <v>212037</v>
      </c>
    </row>
    <row r="135" spans="1:12" ht="16">
      <c r="A135" s="125">
        <v>46203</v>
      </c>
      <c r="B135" s="126">
        <f>VLOOKUP(C135,$J:$L,3,0)</f>
        <v>224072</v>
      </c>
      <c r="C135" s="127" t="s">
        <v>1154</v>
      </c>
      <c r="D135" s="128" t="s">
        <v>1420</v>
      </c>
      <c r="E135" s="128">
        <v>6000</v>
      </c>
      <c r="J135" s="132" t="s">
        <v>1422</v>
      </c>
      <c r="K135" s="133" t="s">
        <v>1423</v>
      </c>
      <c r="L135" s="133">
        <v>221025</v>
      </c>
    </row>
    <row r="136" spans="1:12" ht="16">
      <c r="A136" s="125">
        <v>46203</v>
      </c>
      <c r="B136" s="126">
        <f>VLOOKUP(C136,$J:$L,3,0)</f>
        <v>224072</v>
      </c>
      <c r="C136" s="127" t="s">
        <v>1154</v>
      </c>
      <c r="D136" s="128" t="s">
        <v>1420</v>
      </c>
      <c r="E136" s="128">
        <v>17600</v>
      </c>
      <c r="J136" s="132" t="s">
        <v>1424</v>
      </c>
      <c r="K136" s="133" t="s">
        <v>1423</v>
      </c>
      <c r="L136" s="133">
        <v>221061</v>
      </c>
    </row>
    <row r="137" spans="1:12" ht="16">
      <c r="A137" s="125">
        <v>46203</v>
      </c>
      <c r="B137" s="126">
        <f>VLOOKUP(C137,$J:$L,3,0)</f>
        <v>224072</v>
      </c>
      <c r="C137" s="127" t="s">
        <v>1154</v>
      </c>
      <c r="D137" s="128" t="s">
        <v>1420</v>
      </c>
      <c r="E137" s="128">
        <v>15000</v>
      </c>
      <c r="J137" s="132" t="s">
        <v>1425</v>
      </c>
      <c r="K137" s="133" t="s">
        <v>1423</v>
      </c>
      <c r="L137" s="133">
        <v>224050</v>
      </c>
    </row>
    <row r="138" spans="1:12" ht="16">
      <c r="A138" s="125">
        <v>46203</v>
      </c>
      <c r="B138" s="126">
        <f>VLOOKUP(C138,$J:$L,3,0)</f>
        <v>224072</v>
      </c>
      <c r="C138" s="127" t="s">
        <v>1154</v>
      </c>
      <c r="D138" s="128" t="s">
        <v>1418</v>
      </c>
      <c r="E138" s="128">
        <v>51800</v>
      </c>
      <c r="J138" s="132" t="s">
        <v>1426</v>
      </c>
      <c r="K138" s="133" t="s">
        <v>1423</v>
      </c>
      <c r="L138" s="133">
        <v>225021</v>
      </c>
    </row>
    <row r="139" spans="1:12" ht="16">
      <c r="A139" s="125">
        <v>46203</v>
      </c>
      <c r="B139" s="126">
        <f>VLOOKUP(C139,$J:$L,3,0)</f>
        <v>224072</v>
      </c>
      <c r="C139" s="127" t="s">
        <v>1154</v>
      </c>
      <c r="D139" s="128" t="s">
        <v>1418</v>
      </c>
      <c r="E139" s="128">
        <v>51800</v>
      </c>
      <c r="J139" s="132" t="s">
        <v>1427</v>
      </c>
      <c r="K139" s="133" t="s">
        <v>1428</v>
      </c>
      <c r="L139" s="133">
        <v>221019</v>
      </c>
    </row>
    <row r="140" spans="1:12" ht="16">
      <c r="A140" s="125">
        <v>46203</v>
      </c>
      <c r="B140" s="126">
        <f>VLOOKUP(C140,$J:$L,3,0)</f>
        <v>224072</v>
      </c>
      <c r="C140" s="127" t="s">
        <v>1154</v>
      </c>
      <c r="D140" s="128" t="s">
        <v>1418</v>
      </c>
      <c r="E140" s="128">
        <v>51800</v>
      </c>
      <c r="J140" s="132" t="s">
        <v>1429</v>
      </c>
      <c r="K140" s="133" t="s">
        <v>1428</v>
      </c>
      <c r="L140" s="133">
        <v>224017</v>
      </c>
    </row>
    <row r="141" spans="1:12" ht="16">
      <c r="A141" s="125">
        <v>46203</v>
      </c>
      <c r="B141" s="126">
        <f>VLOOKUP(C141,$J:$L,3,0)</f>
        <v>224072</v>
      </c>
      <c r="C141" s="127" t="s">
        <v>1154</v>
      </c>
      <c r="D141" s="128" t="s">
        <v>1418</v>
      </c>
      <c r="E141" s="128">
        <v>51900</v>
      </c>
      <c r="J141" s="132" t="s">
        <v>1430</v>
      </c>
      <c r="K141" s="133" t="s">
        <v>1428</v>
      </c>
      <c r="L141" s="133">
        <v>222041</v>
      </c>
    </row>
    <row r="142" spans="1:12" ht="16">
      <c r="A142" s="125">
        <v>46203</v>
      </c>
      <c r="B142" s="126">
        <f>VLOOKUP(C142,$J:$L,3,0)</f>
        <v>224072</v>
      </c>
      <c r="C142" s="127" t="s">
        <v>1154</v>
      </c>
      <c r="D142" s="128" t="s">
        <v>1418</v>
      </c>
      <c r="E142" s="128">
        <v>51900</v>
      </c>
      <c r="J142" s="132" t="s">
        <v>1431</v>
      </c>
      <c r="K142" s="133" t="s">
        <v>1428</v>
      </c>
      <c r="L142" s="133">
        <v>224048</v>
      </c>
    </row>
    <row r="143" spans="1:12" ht="16">
      <c r="A143" s="125">
        <v>46203</v>
      </c>
      <c r="B143" s="126">
        <f>VLOOKUP(C143,$J:$L,3,0)</f>
        <v>222062</v>
      </c>
      <c r="C143" s="127" t="s">
        <v>1412</v>
      </c>
      <c r="D143" s="128" t="s">
        <v>1432</v>
      </c>
      <c r="E143" s="128">
        <v>57850</v>
      </c>
      <c r="J143" s="132" t="s">
        <v>1433</v>
      </c>
      <c r="K143" s="133" t="s">
        <v>1428</v>
      </c>
      <c r="L143" s="133">
        <v>224033</v>
      </c>
    </row>
    <row r="144" spans="1:12" ht="16">
      <c r="A144" s="125">
        <v>46203</v>
      </c>
      <c r="B144" s="126">
        <f>VLOOKUP(C144,$J:$L,3,0)</f>
        <v>223035</v>
      </c>
      <c r="C144" s="127" t="s">
        <v>1212</v>
      </c>
      <c r="D144" s="128" t="s">
        <v>1434</v>
      </c>
      <c r="E144" s="128">
        <v>70000</v>
      </c>
      <c r="J144" s="132" t="s">
        <v>1435</v>
      </c>
      <c r="K144" s="133" t="s">
        <v>1428</v>
      </c>
      <c r="L144" s="133">
        <v>225022</v>
      </c>
    </row>
    <row r="145" spans="1:12" ht="16">
      <c r="A145" s="125">
        <v>46203</v>
      </c>
      <c r="B145" s="126">
        <f>VLOOKUP(C145,$J:$L,3,0)</f>
        <v>223035</v>
      </c>
      <c r="C145" s="127" t="s">
        <v>1212</v>
      </c>
      <c r="D145" s="128" t="s">
        <v>1436</v>
      </c>
      <c r="E145" s="128">
        <v>85690</v>
      </c>
      <c r="J145" s="132" t="s">
        <v>1437</v>
      </c>
      <c r="K145" s="133" t="s">
        <v>1428</v>
      </c>
      <c r="L145" s="133">
        <v>225029</v>
      </c>
    </row>
    <row r="146" spans="1:12" ht="16">
      <c r="A146" s="125">
        <v>46203</v>
      </c>
      <c r="B146" s="126">
        <f>VLOOKUP(C146,$J:$L,3,0)</f>
        <v>224012</v>
      </c>
      <c r="C146" s="127" t="s">
        <v>1438</v>
      </c>
      <c r="D146" s="128" t="s">
        <v>1439</v>
      </c>
      <c r="E146" s="128">
        <v>2726620</v>
      </c>
      <c r="J146" s="132" t="s">
        <v>1440</v>
      </c>
      <c r="K146" s="133" t="s">
        <v>1441</v>
      </c>
      <c r="L146" s="133">
        <v>225008</v>
      </c>
    </row>
    <row r="147" spans="1:12" ht="16">
      <c r="A147" s="125">
        <v>46203</v>
      </c>
      <c r="B147" s="126">
        <f>VLOOKUP(C147,$J:$L,3,0)</f>
        <v>226015</v>
      </c>
      <c r="C147" s="127" t="s">
        <v>1442</v>
      </c>
      <c r="D147" s="128" t="s">
        <v>1443</v>
      </c>
      <c r="E147" s="128">
        <v>203400</v>
      </c>
      <c r="J147" s="132" t="s">
        <v>1444</v>
      </c>
      <c r="K147" s="133" t="s">
        <v>1441</v>
      </c>
      <c r="L147" s="133">
        <v>225004</v>
      </c>
    </row>
    <row r="148" spans="1:12" ht="16">
      <c r="A148" s="125">
        <v>46203</v>
      </c>
      <c r="B148" s="126">
        <f>VLOOKUP(C148,$J:$L,3,0)</f>
        <v>226015</v>
      </c>
      <c r="C148" s="127" t="s">
        <v>1442</v>
      </c>
      <c r="D148" s="128" t="s">
        <v>1445</v>
      </c>
      <c r="E148" s="128">
        <v>257500</v>
      </c>
      <c r="J148" s="132" t="s">
        <v>1446</v>
      </c>
      <c r="K148" s="133" t="s">
        <v>1441</v>
      </c>
      <c r="L148" s="133">
        <v>222054</v>
      </c>
    </row>
    <row r="149" spans="1:12" ht="16">
      <c r="A149" s="125">
        <v>46203</v>
      </c>
      <c r="B149" s="126">
        <f>VLOOKUP(C149,$J:$L,3,0)</f>
        <v>226015</v>
      </c>
      <c r="C149" s="127" t="s">
        <v>1442</v>
      </c>
      <c r="D149" s="128" t="s">
        <v>1447</v>
      </c>
      <c r="E149" s="128">
        <v>436600</v>
      </c>
      <c r="J149" s="132" t="s">
        <v>1448</v>
      </c>
      <c r="K149" s="133" t="s">
        <v>1441</v>
      </c>
      <c r="L149" s="133">
        <v>221073</v>
      </c>
    </row>
    <row r="150" spans="1:12" ht="16">
      <c r="A150" s="125">
        <v>46203</v>
      </c>
      <c r="B150" s="126">
        <f>VLOOKUP(C150,$J:$L,3,0)</f>
        <v>226015</v>
      </c>
      <c r="C150" s="127" t="s">
        <v>1442</v>
      </c>
      <c r="D150" s="128" t="s">
        <v>1449</v>
      </c>
      <c r="E150" s="128">
        <v>278800</v>
      </c>
      <c r="J150" s="132" t="s">
        <v>1450</v>
      </c>
      <c r="K150" s="133" t="s">
        <v>1441</v>
      </c>
      <c r="L150" s="133">
        <v>206016</v>
      </c>
    </row>
    <row r="151" spans="1:12" ht="16">
      <c r="A151" s="125">
        <v>46203</v>
      </c>
      <c r="B151" s="126">
        <f>VLOOKUP(C151,$J:$L,3,0)</f>
        <v>226015</v>
      </c>
      <c r="C151" s="127" t="s">
        <v>1442</v>
      </c>
      <c r="D151" s="128" t="s">
        <v>1451</v>
      </c>
      <c r="E151" s="128">
        <v>439400</v>
      </c>
      <c r="J151" s="132" t="s">
        <v>1452</v>
      </c>
      <c r="K151" s="133" t="s">
        <v>1441</v>
      </c>
      <c r="L151" s="133">
        <v>225020</v>
      </c>
    </row>
    <row r="152" spans="1:12" ht="16">
      <c r="A152" s="125">
        <v>46203</v>
      </c>
      <c r="B152" s="126">
        <f>VLOOKUP(C152,$J:$L,3,0)</f>
        <v>226015</v>
      </c>
      <c r="C152" s="127" t="s">
        <v>1442</v>
      </c>
      <c r="D152" s="128" t="s">
        <v>1453</v>
      </c>
      <c r="E152" s="128">
        <v>378700</v>
      </c>
      <c r="J152" s="132" t="s">
        <v>1454</v>
      </c>
      <c r="K152" s="133" t="s">
        <v>1455</v>
      </c>
      <c r="L152" s="133">
        <v>219037</v>
      </c>
    </row>
    <row r="153" spans="1:12" ht="16">
      <c r="A153" s="125">
        <v>46203</v>
      </c>
      <c r="B153" s="126">
        <f>VLOOKUP(C153,$J:$L,3,0)</f>
        <v>226015</v>
      </c>
      <c r="C153" s="127" t="s">
        <v>1442</v>
      </c>
      <c r="D153" s="128" t="s">
        <v>1456</v>
      </c>
      <c r="E153" s="128">
        <v>63700</v>
      </c>
      <c r="J153" s="132" t="s">
        <v>1457</v>
      </c>
      <c r="K153" s="133" t="s">
        <v>1455</v>
      </c>
      <c r="L153" s="133">
        <v>224001</v>
      </c>
    </row>
    <row r="154" spans="1:12" ht="16">
      <c r="A154" s="125">
        <v>46203</v>
      </c>
      <c r="B154" s="126">
        <f>VLOOKUP(C154,$J:$L,3,0)</f>
        <v>226015</v>
      </c>
      <c r="C154" s="127" t="s">
        <v>1442</v>
      </c>
      <c r="D154" s="128" t="s">
        <v>1458</v>
      </c>
      <c r="E154" s="128">
        <v>141700</v>
      </c>
      <c r="J154" s="132" t="s">
        <v>1459</v>
      </c>
      <c r="K154" s="133" t="s">
        <v>1455</v>
      </c>
      <c r="L154" s="133">
        <v>217029</v>
      </c>
    </row>
    <row r="155" spans="1:12" ht="16">
      <c r="A155" s="125">
        <v>46203</v>
      </c>
      <c r="B155" s="126">
        <f>VLOOKUP(C155,$J:$L,3,0)</f>
        <v>226015</v>
      </c>
      <c r="C155" s="127" t="s">
        <v>1442</v>
      </c>
      <c r="D155" s="128" t="s">
        <v>1460</v>
      </c>
      <c r="E155" s="128">
        <v>130700</v>
      </c>
      <c r="J155" s="132" t="s">
        <v>1461</v>
      </c>
      <c r="K155" s="133" t="s">
        <v>1415</v>
      </c>
      <c r="L155" s="133">
        <v>225012</v>
      </c>
    </row>
    <row r="156" spans="1:12" ht="16">
      <c r="A156" s="125">
        <v>46203</v>
      </c>
      <c r="B156" s="126">
        <f>VLOOKUP(C156,$J:$L,3,0)</f>
        <v>226015</v>
      </c>
      <c r="C156" s="127" t="s">
        <v>1442</v>
      </c>
      <c r="D156" s="128" t="s">
        <v>1462</v>
      </c>
      <c r="E156" s="128">
        <v>235400</v>
      </c>
      <c r="J156" s="132" t="s">
        <v>1251</v>
      </c>
      <c r="K156" s="133" t="s">
        <v>1324</v>
      </c>
      <c r="L156" s="133">
        <v>224066</v>
      </c>
    </row>
    <row r="157" spans="1:12" ht="16">
      <c r="A157" s="125">
        <v>46203</v>
      </c>
      <c r="B157" s="126">
        <f>VLOOKUP(C157,$J:$L,3,0)</f>
        <v>226015</v>
      </c>
      <c r="C157" s="127" t="s">
        <v>1442</v>
      </c>
      <c r="D157" s="128" t="s">
        <v>1463</v>
      </c>
      <c r="E157" s="128">
        <v>144300</v>
      </c>
      <c r="J157" s="132" t="s">
        <v>1464</v>
      </c>
      <c r="K157" s="133" t="s">
        <v>1465</v>
      </c>
      <c r="L157" s="133">
        <v>222062</v>
      </c>
    </row>
    <row r="158" spans="1:12" ht="16">
      <c r="A158" s="125">
        <v>46203</v>
      </c>
      <c r="B158" s="126">
        <f>VLOOKUP(C158,$J:$L,3,0)</f>
        <v>226015</v>
      </c>
      <c r="C158" s="127" t="s">
        <v>1442</v>
      </c>
      <c r="D158" s="128" t="s">
        <v>1466</v>
      </c>
      <c r="E158" s="128">
        <v>16100</v>
      </c>
      <c r="J158" s="132" t="s">
        <v>1467</v>
      </c>
      <c r="K158" s="133" t="s">
        <v>1468</v>
      </c>
      <c r="L158" s="133">
        <v>224040</v>
      </c>
    </row>
    <row r="159" spans="1:12" ht="16">
      <c r="A159" s="125">
        <v>46203</v>
      </c>
      <c r="B159" s="126">
        <f>VLOOKUP(C159,$J:$L,3,0)</f>
        <v>226015</v>
      </c>
      <c r="C159" s="127" t="s">
        <v>1442</v>
      </c>
      <c r="D159" s="128" t="s">
        <v>1469</v>
      </c>
      <c r="E159" s="128">
        <v>102500</v>
      </c>
      <c r="J159" s="132" t="s">
        <v>1470</v>
      </c>
      <c r="K159" s="133" t="s">
        <v>1471</v>
      </c>
      <c r="L159" s="133">
        <v>223006</v>
      </c>
    </row>
    <row r="160" spans="1:12" ht="16">
      <c r="A160" s="125">
        <v>46203</v>
      </c>
      <c r="B160" s="126">
        <f>VLOOKUP(C160,$J:$L,3,0)</f>
        <v>226015</v>
      </c>
      <c r="C160" s="127" t="s">
        <v>1442</v>
      </c>
      <c r="D160" s="128" t="s">
        <v>1472</v>
      </c>
      <c r="E160" s="128">
        <v>504300</v>
      </c>
      <c r="J160" s="132" t="s">
        <v>1473</v>
      </c>
      <c r="K160" s="133" t="s">
        <v>1299</v>
      </c>
      <c r="L160" s="133">
        <v>221024</v>
      </c>
    </row>
    <row r="161" spans="1:12" ht="16">
      <c r="A161" s="125">
        <v>46203</v>
      </c>
      <c r="B161" s="126">
        <f>VLOOKUP(C161,$J:$L,3,0)</f>
        <v>226015</v>
      </c>
      <c r="C161" s="127" t="s">
        <v>1442</v>
      </c>
      <c r="D161" s="128" t="s">
        <v>1474</v>
      </c>
      <c r="E161" s="128">
        <v>442600</v>
      </c>
      <c r="J161" s="132" t="s">
        <v>1475</v>
      </c>
      <c r="K161" s="133" t="s">
        <v>1476</v>
      </c>
      <c r="L161" s="133">
        <v>225032</v>
      </c>
    </row>
    <row r="162" spans="1:12" ht="16">
      <c r="A162" s="125">
        <v>46203</v>
      </c>
      <c r="B162" s="126">
        <f>VLOOKUP(C162,$J:$L,3,0)</f>
        <v>226015</v>
      </c>
      <c r="C162" s="127" t="s">
        <v>1442</v>
      </c>
      <c r="D162" s="128" t="s">
        <v>1477</v>
      </c>
      <c r="E162" s="128">
        <v>156000</v>
      </c>
      <c r="J162" s="132" t="s">
        <v>1478</v>
      </c>
      <c r="K162" s="133" t="s">
        <v>1479</v>
      </c>
      <c r="L162" s="133">
        <v>226012</v>
      </c>
    </row>
    <row r="163" spans="1:12" ht="16">
      <c r="A163" s="125">
        <v>46203</v>
      </c>
      <c r="B163" s="126">
        <f>VLOOKUP(C163,$J:$L,3,0)</f>
        <v>226015</v>
      </c>
      <c r="C163" s="127" t="s">
        <v>1442</v>
      </c>
      <c r="D163" s="128" t="s">
        <v>1480</v>
      </c>
      <c r="E163" s="128">
        <v>229700</v>
      </c>
      <c r="J163" s="132" t="s">
        <v>1481</v>
      </c>
      <c r="K163" s="133" t="s">
        <v>1241</v>
      </c>
      <c r="L163" s="133">
        <v>226003</v>
      </c>
    </row>
    <row r="164" spans="1:12" ht="16">
      <c r="A164" s="125">
        <v>46203</v>
      </c>
      <c r="B164" s="126">
        <f>VLOOKUP(C164,$J:$L,3,0)</f>
        <v>226015</v>
      </c>
      <c r="C164" s="127" t="s">
        <v>1442</v>
      </c>
      <c r="D164" s="128" t="s">
        <v>1482</v>
      </c>
      <c r="E164" s="128">
        <v>320800</v>
      </c>
      <c r="J164" s="132" t="s">
        <v>1483</v>
      </c>
      <c r="K164" s="133" t="s">
        <v>1241</v>
      </c>
      <c r="L164" s="133">
        <v>226005</v>
      </c>
    </row>
    <row r="165" spans="1:12" ht="16">
      <c r="A165" s="125">
        <v>46203</v>
      </c>
      <c r="B165" s="126">
        <f>VLOOKUP(C165,$J:$L,3,0)</f>
        <v>226015</v>
      </c>
      <c r="C165" s="127" t="s">
        <v>1442</v>
      </c>
      <c r="D165" s="128" t="s">
        <v>1484</v>
      </c>
      <c r="E165" s="128">
        <v>105300</v>
      </c>
      <c r="J165" s="132" t="s">
        <v>1485</v>
      </c>
      <c r="K165" s="133" t="s">
        <v>1241</v>
      </c>
      <c r="L165" s="133">
        <v>226006</v>
      </c>
    </row>
    <row r="166" spans="1:12" ht="16">
      <c r="A166" s="125">
        <v>46203</v>
      </c>
      <c r="B166" s="126">
        <f>VLOOKUP(C166,$J:$L,3,0)</f>
        <v>226015</v>
      </c>
      <c r="C166" s="127" t="s">
        <v>1442</v>
      </c>
      <c r="D166" s="128" t="s">
        <v>1486</v>
      </c>
      <c r="E166" s="128">
        <v>117200</v>
      </c>
      <c r="J166" s="132" t="s">
        <v>1487</v>
      </c>
      <c r="K166" s="133" t="s">
        <v>1241</v>
      </c>
      <c r="L166" s="133">
        <v>226004</v>
      </c>
    </row>
    <row r="167" spans="1:12" ht="16">
      <c r="A167" s="125">
        <v>46203</v>
      </c>
      <c r="B167" s="126">
        <f>VLOOKUP(C167,$J:$L,3,0)</f>
        <v>226015</v>
      </c>
      <c r="C167" s="127" t="s">
        <v>1442</v>
      </c>
      <c r="D167" s="128" t="s">
        <v>1488</v>
      </c>
      <c r="E167" s="128">
        <v>96500</v>
      </c>
      <c r="J167" s="132" t="s">
        <v>1489</v>
      </c>
      <c r="K167" s="133" t="s">
        <v>1391</v>
      </c>
      <c r="L167" s="133">
        <v>226008</v>
      </c>
    </row>
    <row r="168" spans="1:12" ht="16">
      <c r="A168" s="125">
        <v>46203</v>
      </c>
      <c r="B168" s="126">
        <f>VLOOKUP(C168,$J:$L,3,0)</f>
        <v>226015</v>
      </c>
      <c r="C168" s="127" t="s">
        <v>1442</v>
      </c>
      <c r="D168" s="128" t="s">
        <v>1490</v>
      </c>
      <c r="E168" s="128">
        <v>150100</v>
      </c>
      <c r="J168" s="132" t="s">
        <v>1330</v>
      </c>
      <c r="K168" s="133" t="s">
        <v>1146</v>
      </c>
      <c r="L168" s="133">
        <v>226011</v>
      </c>
    </row>
    <row r="169" spans="1:12" ht="16">
      <c r="A169" s="125">
        <v>46203</v>
      </c>
      <c r="B169" s="126">
        <f>VLOOKUP(C169,$J:$L,3,0)</f>
        <v>226015</v>
      </c>
      <c r="C169" s="127" t="s">
        <v>1442</v>
      </c>
      <c r="D169" s="128" t="s">
        <v>1491</v>
      </c>
      <c r="E169" s="128">
        <v>289200</v>
      </c>
      <c r="J169" s="132" t="s">
        <v>1492</v>
      </c>
      <c r="K169" s="133" t="s">
        <v>1274</v>
      </c>
      <c r="L169" s="133">
        <v>226013</v>
      </c>
    </row>
    <row r="170" spans="1:12" ht="16">
      <c r="A170" s="125">
        <v>46203</v>
      </c>
      <c r="B170" s="126">
        <f>VLOOKUP(C170,$J:$L,3,0)</f>
        <v>226015</v>
      </c>
      <c r="C170" s="127" t="s">
        <v>1442</v>
      </c>
      <c r="D170" s="128" t="s">
        <v>1493</v>
      </c>
      <c r="E170" s="128">
        <v>203400</v>
      </c>
      <c r="J170" s="132" t="s">
        <v>1494</v>
      </c>
      <c r="K170" s="133" t="s">
        <v>1415</v>
      </c>
      <c r="L170" s="133">
        <v>226010</v>
      </c>
    </row>
    <row r="171" spans="1:12" ht="16">
      <c r="A171" s="125">
        <v>46203</v>
      </c>
      <c r="B171" s="126">
        <f>VLOOKUP(C171,$J:$L,3,0)</f>
        <v>226015</v>
      </c>
      <c r="C171" s="127" t="s">
        <v>1442</v>
      </c>
      <c r="D171" s="128" t="s">
        <v>1495</v>
      </c>
      <c r="E171" s="128">
        <v>132100</v>
      </c>
      <c r="J171" s="132" t="s">
        <v>1496</v>
      </c>
      <c r="K171" s="133" t="s">
        <v>1497</v>
      </c>
      <c r="L171" s="133">
        <v>226009</v>
      </c>
    </row>
    <row r="172" spans="1:12" ht="16">
      <c r="A172" s="125">
        <v>46203</v>
      </c>
      <c r="B172" s="126">
        <f>VLOOKUP(C172,$J:$L,3,0)</f>
        <v>226015</v>
      </c>
      <c r="C172" s="127" t="s">
        <v>1442</v>
      </c>
      <c r="D172" s="128" t="s">
        <v>1498</v>
      </c>
      <c r="E172" s="128">
        <v>55500</v>
      </c>
      <c r="J172" s="132" t="s">
        <v>1499</v>
      </c>
      <c r="K172" s="133" t="s">
        <v>1500</v>
      </c>
      <c r="L172" s="133">
        <v>223026</v>
      </c>
    </row>
    <row r="173" spans="1:12" ht="16">
      <c r="A173" s="125">
        <v>46203</v>
      </c>
      <c r="B173" s="126">
        <f>VLOOKUP(C173,$J:$L,3,0)</f>
        <v>226015</v>
      </c>
      <c r="C173" s="127" t="s">
        <v>1442</v>
      </c>
      <c r="D173" s="128" t="s">
        <v>1501</v>
      </c>
      <c r="E173" s="128">
        <v>607800</v>
      </c>
      <c r="J173" s="132" t="s">
        <v>1502</v>
      </c>
      <c r="K173" s="133" t="s">
        <v>1503</v>
      </c>
      <c r="L173" s="133">
        <v>222052</v>
      </c>
    </row>
    <row r="174" spans="1:12" ht="16">
      <c r="A174" s="125">
        <v>46203</v>
      </c>
      <c r="B174" s="126">
        <f>VLOOKUP(C174,$J:$L,3,0)</f>
        <v>226015</v>
      </c>
      <c r="C174" s="127" t="s">
        <v>1442</v>
      </c>
      <c r="D174" s="128" t="s">
        <v>1504</v>
      </c>
      <c r="E174" s="128">
        <v>358200</v>
      </c>
      <c r="J174" s="132" t="s">
        <v>1505</v>
      </c>
      <c r="K174" s="133" t="s">
        <v>1500</v>
      </c>
      <c r="L174" s="133">
        <v>224012</v>
      </c>
    </row>
    <row r="175" spans="1:12" ht="16">
      <c r="A175" s="125">
        <v>46203</v>
      </c>
      <c r="B175" s="126">
        <f>VLOOKUP(C175,$J:$L,3,0)</f>
        <v>226015</v>
      </c>
      <c r="C175" s="127" t="s">
        <v>1442</v>
      </c>
      <c r="D175" s="128" t="s">
        <v>1506</v>
      </c>
      <c r="E175" s="128">
        <v>118400</v>
      </c>
      <c r="J175" s="127" t="s">
        <v>1388</v>
      </c>
      <c r="K175" s="133" t="s">
        <v>1507</v>
      </c>
      <c r="L175" s="133">
        <v>223016</v>
      </c>
    </row>
    <row r="176" spans="1:12" ht="16">
      <c r="A176" s="125">
        <v>46203</v>
      </c>
      <c r="B176" s="126">
        <f>VLOOKUP(C176,$J:$L,3,0)</f>
        <v>226015</v>
      </c>
      <c r="C176" s="127" t="s">
        <v>1442</v>
      </c>
      <c r="D176" s="128" t="s">
        <v>1508</v>
      </c>
      <c r="E176" s="128">
        <v>577700</v>
      </c>
      <c r="J176" s="132" t="s">
        <v>1509</v>
      </c>
      <c r="K176" s="133" t="s">
        <v>1500</v>
      </c>
      <c r="L176" s="133">
        <v>226015</v>
      </c>
    </row>
    <row r="177" spans="1:12" ht="16">
      <c r="A177" s="125">
        <v>46203</v>
      </c>
      <c r="B177" s="126">
        <f>VLOOKUP(C177,$J:$L,3,0)</f>
        <v>226015</v>
      </c>
      <c r="C177" s="127" t="s">
        <v>1442</v>
      </c>
      <c r="D177" s="128" t="s">
        <v>1510</v>
      </c>
      <c r="E177" s="128">
        <v>266700</v>
      </c>
      <c r="J177" s="132" t="s">
        <v>1511</v>
      </c>
      <c r="K177" s="133" t="s">
        <v>1512</v>
      </c>
      <c r="L177" s="133">
        <v>225027</v>
      </c>
    </row>
    <row r="178" spans="1:12" ht="16">
      <c r="A178" s="125">
        <v>46203</v>
      </c>
      <c r="B178" s="126">
        <f>VLOOKUP(C178,$J:$L,3,0)</f>
        <v>226015</v>
      </c>
      <c r="C178" s="127" t="s">
        <v>1442</v>
      </c>
      <c r="D178" s="128" t="s">
        <v>1513</v>
      </c>
      <c r="E178" s="128">
        <v>419500</v>
      </c>
      <c r="J178" s="132" t="s">
        <v>1514</v>
      </c>
      <c r="K178" s="133" t="s">
        <v>1515</v>
      </c>
      <c r="L178" s="133">
        <v>226030</v>
      </c>
    </row>
    <row r="179" spans="1:12" ht="16">
      <c r="A179" s="125">
        <v>46203</v>
      </c>
      <c r="B179" s="126">
        <f>VLOOKUP(C179,$J:$L,3,0)</f>
        <v>226015</v>
      </c>
      <c r="C179" s="127" t="s">
        <v>1442</v>
      </c>
      <c r="D179" s="128" t="s">
        <v>1516</v>
      </c>
      <c r="E179" s="128">
        <v>285400</v>
      </c>
      <c r="J179" s="133" t="s">
        <v>1517</v>
      </c>
      <c r="K179" s="133" t="s">
        <v>1518</v>
      </c>
      <c r="L179" s="133">
        <v>223010</v>
      </c>
    </row>
    <row r="180" spans="1:12" ht="12">
      <c r="A180" s="125">
        <v>46203</v>
      </c>
      <c r="B180" s="126">
        <f>VLOOKUP(C180,$J:$L,3,0)</f>
        <v>226015</v>
      </c>
      <c r="C180" s="127" t="s">
        <v>1442</v>
      </c>
      <c r="D180" s="128" t="s">
        <v>1519</v>
      </c>
      <c r="E180" s="128">
        <v>491000</v>
      </c>
    </row>
    <row r="181" spans="1:12" ht="12">
      <c r="A181" s="125">
        <v>46203</v>
      </c>
      <c r="B181" s="126">
        <f>VLOOKUP(C181,$J:$L,3,0)</f>
        <v>226015</v>
      </c>
      <c r="C181" s="127" t="s">
        <v>1442</v>
      </c>
      <c r="D181" s="128" t="s">
        <v>1520</v>
      </c>
      <c r="E181" s="128">
        <v>262500</v>
      </c>
    </row>
    <row r="182" spans="1:12" ht="12">
      <c r="A182" s="125">
        <v>46203</v>
      </c>
      <c r="B182" s="126">
        <f>VLOOKUP(C182,$J:$L,3,0)</f>
        <v>226015</v>
      </c>
      <c r="C182" s="127" t="s">
        <v>1442</v>
      </c>
      <c r="D182" s="128" t="s">
        <v>1521</v>
      </c>
      <c r="E182" s="128">
        <v>165800</v>
      </c>
    </row>
    <row r="183" spans="1:12" ht="12">
      <c r="A183" s="125">
        <v>46203</v>
      </c>
      <c r="B183" s="126">
        <f>VLOOKUP(C183,$J:$L,3,0)</f>
        <v>226015</v>
      </c>
      <c r="C183" s="127" t="s">
        <v>1442</v>
      </c>
      <c r="D183" s="128" t="s">
        <v>1522</v>
      </c>
      <c r="E183" s="128">
        <v>541100</v>
      </c>
    </row>
    <row r="184" spans="1:12" ht="12">
      <c r="A184" s="134">
        <v>46203</v>
      </c>
      <c r="B184" s="126">
        <f>VLOOKUP(C184,$J:$L,3,0)</f>
        <v>226015</v>
      </c>
      <c r="C184" s="135" t="s">
        <v>1442</v>
      </c>
      <c r="D184" s="128" t="s">
        <v>1522</v>
      </c>
      <c r="E184" s="128">
        <v>259500</v>
      </c>
    </row>
    <row r="185" spans="1:12" ht="12">
      <c r="A185" s="134">
        <v>46203</v>
      </c>
      <c r="B185" s="126">
        <f>VLOOKUP(C185,$J:$L,3,0)</f>
        <v>226015</v>
      </c>
      <c r="C185" s="135" t="s">
        <v>1442</v>
      </c>
      <c r="D185" s="128" t="s">
        <v>1522</v>
      </c>
      <c r="E185" s="128">
        <v>241800</v>
      </c>
    </row>
    <row r="186" spans="1:12" ht="12">
      <c r="A186" s="134">
        <v>46203</v>
      </c>
      <c r="B186" s="126">
        <f>VLOOKUP(C186,$J:$L,3,0)</f>
        <v>226015</v>
      </c>
      <c r="C186" s="135" t="s">
        <v>1442</v>
      </c>
      <c r="D186" s="128" t="s">
        <v>1522</v>
      </c>
      <c r="E186" s="128">
        <v>187300</v>
      </c>
    </row>
    <row r="187" spans="1:12" ht="12">
      <c r="A187" s="134">
        <v>46203</v>
      </c>
      <c r="B187" s="126">
        <f>VLOOKUP(C187,$J:$L,3,0)</f>
        <v>226015</v>
      </c>
      <c r="C187" s="135" t="s">
        <v>1442</v>
      </c>
      <c r="D187" s="128" t="s">
        <v>1522</v>
      </c>
      <c r="E187" s="128">
        <v>87000</v>
      </c>
    </row>
    <row r="188" spans="1:12" ht="12">
      <c r="A188" s="134">
        <v>46203</v>
      </c>
      <c r="B188" s="126">
        <f>VLOOKUP(C188,$J:$L,3,0)</f>
        <v>226015</v>
      </c>
      <c r="C188" s="135" t="s">
        <v>1442</v>
      </c>
      <c r="D188" s="128" t="s">
        <v>1522</v>
      </c>
      <c r="E188" s="128">
        <v>65900</v>
      </c>
    </row>
    <row r="189" spans="1:12" ht="12">
      <c r="A189" s="134">
        <v>46203</v>
      </c>
      <c r="B189" s="126">
        <f>VLOOKUP(C189,$J:$L,3,0)</f>
        <v>226015</v>
      </c>
      <c r="C189" s="135" t="s">
        <v>1442</v>
      </c>
      <c r="D189" s="128" t="s">
        <v>1522</v>
      </c>
      <c r="E189" s="128">
        <v>28700</v>
      </c>
    </row>
    <row r="190" spans="1:12" ht="12">
      <c r="A190" s="134">
        <v>46203</v>
      </c>
      <c r="B190" s="126">
        <f>VLOOKUP(C190,$J:$L,3,0)</f>
        <v>226015</v>
      </c>
      <c r="C190" s="135" t="s">
        <v>1442</v>
      </c>
      <c r="D190" s="128" t="s">
        <v>1522</v>
      </c>
      <c r="E190" s="128">
        <v>68900</v>
      </c>
    </row>
    <row r="191" spans="1:12" ht="12">
      <c r="A191" s="134">
        <v>46203</v>
      </c>
      <c r="B191" s="126">
        <f>VLOOKUP(C191,$J:$L,3,0)</f>
        <v>226015</v>
      </c>
      <c r="C191" s="135" t="s">
        <v>1442</v>
      </c>
      <c r="D191" s="128" t="s">
        <v>1522</v>
      </c>
      <c r="E191" s="128">
        <v>74400</v>
      </c>
    </row>
    <row r="192" spans="1:12" ht="12">
      <c r="A192" s="134">
        <v>46203</v>
      </c>
      <c r="B192" s="126">
        <f>VLOOKUP(C192,$J:$L,3,0)</f>
        <v>226015</v>
      </c>
      <c r="C192" s="135" t="s">
        <v>1442</v>
      </c>
      <c r="D192" s="128" t="s">
        <v>1522</v>
      </c>
      <c r="E192" s="128">
        <v>145100</v>
      </c>
    </row>
    <row r="193" spans="1:5" ht="12">
      <c r="A193" s="134">
        <v>46203</v>
      </c>
      <c r="B193" s="126">
        <f>VLOOKUP(C193,$J:$L,3,0)</f>
        <v>226015</v>
      </c>
      <c r="C193" s="135" t="s">
        <v>1442</v>
      </c>
      <c r="D193" s="128" t="s">
        <v>1522</v>
      </c>
      <c r="E193" s="128">
        <v>104100</v>
      </c>
    </row>
    <row r="194" spans="1:5" ht="12">
      <c r="A194" s="134">
        <v>46203</v>
      </c>
      <c r="B194" s="126">
        <f>VLOOKUP(C194,$J:$L,3,0)</f>
        <v>226015</v>
      </c>
      <c r="C194" s="135" t="s">
        <v>1442</v>
      </c>
      <c r="D194" s="128" t="s">
        <v>1522</v>
      </c>
      <c r="E194" s="128">
        <v>524000</v>
      </c>
    </row>
    <row r="195" spans="1:5" ht="12">
      <c r="A195" s="134">
        <v>46203</v>
      </c>
      <c r="B195" s="126">
        <f>VLOOKUP(C195,$J:$L,3,0)</f>
        <v>226015</v>
      </c>
      <c r="C195" s="135" t="s">
        <v>1442</v>
      </c>
      <c r="D195" s="128" t="s">
        <v>1522</v>
      </c>
      <c r="E195" s="128">
        <v>326400</v>
      </c>
    </row>
    <row r="196" spans="1:5" ht="12">
      <c r="A196" s="134">
        <v>46203</v>
      </c>
      <c r="B196" s="126">
        <f>VLOOKUP(C196,$J:$L,3,0)</f>
        <v>226015</v>
      </c>
      <c r="C196" s="135" t="s">
        <v>1442</v>
      </c>
      <c r="D196" s="128" t="s">
        <v>1522</v>
      </c>
      <c r="E196" s="128">
        <v>623100</v>
      </c>
    </row>
    <row r="197" spans="1:5" ht="12">
      <c r="A197" s="134">
        <v>46203</v>
      </c>
      <c r="B197" s="126">
        <f>VLOOKUP(C197,$J:$L,3,0)</f>
        <v>226015</v>
      </c>
      <c r="C197" s="135" t="s">
        <v>1442</v>
      </c>
      <c r="D197" s="128" t="s">
        <v>1522</v>
      </c>
      <c r="E197" s="128">
        <v>187300</v>
      </c>
    </row>
    <row r="198" spans="1:5" ht="12">
      <c r="A198" s="134">
        <v>46203</v>
      </c>
      <c r="B198" s="126">
        <f>VLOOKUP(C198,$J:$L,3,0)</f>
        <v>226015</v>
      </c>
      <c r="C198" s="135" t="s">
        <v>1442</v>
      </c>
      <c r="D198" s="128" t="s">
        <v>1522</v>
      </c>
      <c r="E198" s="128">
        <v>331900</v>
      </c>
    </row>
    <row r="199" spans="1:5" ht="12">
      <c r="A199" s="134" t="s">
        <v>1523</v>
      </c>
      <c r="B199" s="126">
        <f>VLOOKUP(C199,$J:$L,3,0)</f>
        <v>223058</v>
      </c>
      <c r="C199" s="135" t="s">
        <v>1214</v>
      </c>
      <c r="D199" s="128" t="s">
        <v>1524</v>
      </c>
      <c r="E199" s="128">
        <v>19495754</v>
      </c>
    </row>
    <row r="200" spans="1:5" ht="12">
      <c r="A200" s="134" t="s">
        <v>1523</v>
      </c>
      <c r="B200" s="126">
        <f>VLOOKUP(C200,$J:$L,3,0)</f>
        <v>223058</v>
      </c>
      <c r="C200" s="135" t="s">
        <v>1214</v>
      </c>
      <c r="D200" s="128" t="s">
        <v>1525</v>
      </c>
      <c r="E200" s="128">
        <v>25310978</v>
      </c>
    </row>
    <row r="201" spans="1:5" ht="12">
      <c r="A201" s="134" t="s">
        <v>1523</v>
      </c>
      <c r="B201" s="126">
        <f>VLOOKUP(C201,$J:$L,3,0)</f>
        <v>223058</v>
      </c>
      <c r="C201" s="135" t="s">
        <v>1214</v>
      </c>
      <c r="D201" s="128" t="s">
        <v>1526</v>
      </c>
      <c r="E201" s="128">
        <v>161949545</v>
      </c>
    </row>
    <row r="202" spans="1:5" ht="12">
      <c r="A202" s="134" t="s">
        <v>1523</v>
      </c>
      <c r="B202" s="126">
        <f>VLOOKUP(C202,$J:$L,3,0)</f>
        <v>223058</v>
      </c>
      <c r="C202" s="135" t="s">
        <v>1214</v>
      </c>
      <c r="D202" s="128" t="s">
        <v>1527</v>
      </c>
      <c r="E202" s="128">
        <v>173712257</v>
      </c>
    </row>
    <row r="203" spans="1:5" ht="12">
      <c r="A203" s="134" t="s">
        <v>1523</v>
      </c>
      <c r="B203" s="126">
        <f>VLOOKUP(C203,$J:$L,3,0)</f>
        <v>223058</v>
      </c>
      <c r="C203" s="135" t="s">
        <v>1214</v>
      </c>
      <c r="D203" s="128" t="s">
        <v>1528</v>
      </c>
      <c r="E203" s="128">
        <v>9713985</v>
      </c>
    </row>
    <row r="204" spans="1:5" ht="12">
      <c r="A204" s="136" t="s">
        <v>1529</v>
      </c>
      <c r="B204" s="137"/>
      <c r="C204" s="137"/>
      <c r="D204" s="137"/>
      <c r="E204" s="138">
        <f>SUM(E10:E203)</f>
        <v>452379472</v>
      </c>
    </row>
    <row r="206" spans="1:5">
      <c r="E206" s="124" t="b">
        <f>E204+'5300-계정명세_미지급금'!G485='5300_기타유동부채'!H12</f>
        <v>1</v>
      </c>
    </row>
  </sheetData>
  <autoFilter ref="A9:G204" xr:uid="{0CB9AC8F-921E-4A7B-9200-27F6C3F2D042}"/>
  <mergeCells count="5">
    <mergeCell ref="A1:J1"/>
    <mergeCell ref="A2:F2"/>
    <mergeCell ref="G2:J2"/>
    <mergeCell ref="A3:J3"/>
    <mergeCell ref="A4:J4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BE3E-0177-430E-9CF8-04BABB454613}">
  <dimension ref="A1:L28"/>
  <sheetViews>
    <sheetView showGridLines="0" zoomScaleNormal="100" workbookViewId="0">
      <pane ySplit="10" topLeftCell="A11" activePane="bottomLeft" state="frozen"/>
      <selection activeCell="G473" sqref="G473"/>
      <selection pane="bottomLeft" sqref="A1:XFD4"/>
    </sheetView>
  </sheetViews>
  <sheetFormatPr defaultRowHeight="12"/>
  <cols>
    <col min="1" max="1" width="9.08203125" style="122" bestFit="1" customWidth="1"/>
    <col min="2" max="2" width="9.33203125" style="122" bestFit="1" customWidth="1"/>
    <col min="3" max="3" width="8" style="122" bestFit="1" customWidth="1"/>
    <col min="4" max="4" width="5.6640625" style="122" bestFit="1" customWidth="1"/>
    <col min="5" max="5" width="18.75" style="122" bestFit="1" customWidth="1"/>
    <col min="6" max="6" width="13.33203125" style="122" bestFit="1" customWidth="1"/>
    <col min="7" max="7" width="7.9140625" style="122" bestFit="1" customWidth="1"/>
    <col min="8" max="8" width="5.75" style="122" bestFit="1" customWidth="1"/>
    <col min="9" max="9" width="8.08203125" style="140" customWidth="1"/>
    <col min="10" max="10" width="8.33203125" style="122" bestFit="1" customWidth="1"/>
    <col min="11" max="11" width="8.6640625" style="122"/>
    <col min="12" max="12" width="9.6640625" style="122" bestFit="1" customWidth="1"/>
    <col min="13" max="13" width="8.9140625" style="122" bestFit="1" customWidth="1"/>
    <col min="14" max="16384" width="8.6640625" style="122"/>
  </cols>
  <sheetData>
    <row r="1" spans="1:12" customFormat="1" ht="8" customHeight="1">
      <c r="A1" s="36"/>
      <c r="B1" s="37"/>
      <c r="C1" s="37"/>
      <c r="D1" s="37"/>
      <c r="E1" s="37"/>
      <c r="F1" s="37"/>
      <c r="G1" s="37"/>
      <c r="H1" s="37"/>
      <c r="I1" s="37"/>
      <c r="J1" s="37"/>
    </row>
    <row r="2" spans="1:12" customFormat="1" ht="18" customHeight="1">
      <c r="A2" s="60" t="s">
        <v>1</v>
      </c>
      <c r="B2" s="37"/>
      <c r="C2" s="37"/>
      <c r="D2" s="37"/>
      <c r="E2" s="37"/>
      <c r="F2" s="37"/>
      <c r="G2" s="54" t="s">
        <v>1600</v>
      </c>
      <c r="H2" s="37"/>
      <c r="I2" s="37"/>
      <c r="J2" s="37"/>
    </row>
    <row r="3" spans="1:12" customFormat="1" ht="30" customHeight="1">
      <c r="A3" s="61" t="s">
        <v>63</v>
      </c>
      <c r="B3" s="37"/>
      <c r="C3" s="37"/>
      <c r="D3" s="37"/>
      <c r="E3" s="37"/>
      <c r="F3" s="37"/>
      <c r="G3" s="37"/>
      <c r="H3" s="37"/>
      <c r="I3" s="37"/>
      <c r="J3" s="37"/>
    </row>
    <row r="4" spans="1:12" customFormat="1" ht="18" customHeight="1">
      <c r="A4" s="65" t="s">
        <v>1599</v>
      </c>
      <c r="B4" s="37"/>
      <c r="C4" s="37"/>
      <c r="D4" s="37"/>
      <c r="E4" s="37"/>
      <c r="F4" s="37"/>
      <c r="G4" s="37"/>
      <c r="H4" s="37"/>
      <c r="I4" s="37"/>
      <c r="J4" s="37"/>
    </row>
    <row r="8" spans="1:12" ht="37.5" customHeight="1">
      <c r="A8" s="139" t="s">
        <v>1530</v>
      </c>
      <c r="B8" s="139"/>
      <c r="C8" s="139"/>
      <c r="D8" s="139"/>
      <c r="E8" s="139"/>
      <c r="F8" s="139"/>
      <c r="G8" s="139"/>
    </row>
    <row r="9" spans="1:12" ht="19.5" customHeight="1">
      <c r="A9" s="141">
        <v>46203</v>
      </c>
      <c r="B9" s="141"/>
      <c r="C9" s="141"/>
      <c r="D9" s="141"/>
      <c r="E9" s="141"/>
      <c r="F9" s="141"/>
      <c r="G9" s="141"/>
    </row>
    <row r="10" spans="1:12" ht="18.75" customHeight="1">
      <c r="A10" s="142" t="s">
        <v>106</v>
      </c>
      <c r="B10" s="142"/>
      <c r="C10" s="143"/>
      <c r="D10" s="144"/>
      <c r="E10" s="144"/>
      <c r="F10" s="144"/>
      <c r="G10" s="145" t="s">
        <v>107</v>
      </c>
    </row>
    <row r="11" spans="1:12" ht="22.5" customHeight="1">
      <c r="A11" s="146" t="s">
        <v>108</v>
      </c>
      <c r="B11" s="147" t="s">
        <v>109</v>
      </c>
      <c r="C11" s="148" t="s">
        <v>1531</v>
      </c>
      <c r="D11" s="149" t="s">
        <v>1532</v>
      </c>
      <c r="E11" s="149" t="s">
        <v>1533</v>
      </c>
      <c r="F11" s="150" t="s">
        <v>1534</v>
      </c>
      <c r="G11" s="151" t="s">
        <v>115</v>
      </c>
    </row>
    <row r="12" spans="1:12" ht="22.5" customHeight="1">
      <c r="A12" s="152" t="s">
        <v>1535</v>
      </c>
      <c r="B12" s="153" t="s">
        <v>63</v>
      </c>
      <c r="C12" s="154" t="s">
        <v>106</v>
      </c>
      <c r="D12" s="155"/>
      <c r="E12" s="156"/>
      <c r="F12" s="157">
        <v>42062584</v>
      </c>
      <c r="G12" s="158"/>
      <c r="L12" s="159"/>
    </row>
    <row r="13" spans="1:12" ht="22.5" customHeight="1">
      <c r="A13" s="152" t="s">
        <v>1536</v>
      </c>
      <c r="B13" s="153"/>
      <c r="C13" s="154" t="s">
        <v>106</v>
      </c>
      <c r="D13" s="155"/>
      <c r="E13" s="156"/>
      <c r="F13" s="157">
        <v>2552664</v>
      </c>
      <c r="G13" s="158"/>
      <c r="L13" s="159"/>
    </row>
    <row r="14" spans="1:12" ht="16.5" customHeight="1">
      <c r="A14" s="152" t="s">
        <v>1537</v>
      </c>
      <c r="B14" s="153"/>
      <c r="C14" s="154" t="s">
        <v>106</v>
      </c>
      <c r="D14" s="155"/>
      <c r="E14" s="156"/>
      <c r="F14" s="157">
        <v>258970</v>
      </c>
      <c r="G14" s="158"/>
      <c r="I14" s="160"/>
      <c r="L14" s="159"/>
    </row>
    <row r="15" spans="1:12" ht="22.5" customHeight="1">
      <c r="A15" s="152" t="s">
        <v>1538</v>
      </c>
      <c r="B15" s="161"/>
      <c r="C15" s="154" t="s">
        <v>106</v>
      </c>
      <c r="D15" s="155"/>
      <c r="E15" s="156"/>
      <c r="F15" s="157">
        <v>1247490</v>
      </c>
      <c r="G15" s="158"/>
      <c r="I15" s="160"/>
      <c r="J15" s="162"/>
      <c r="L15" s="159"/>
    </row>
    <row r="16" spans="1:12" ht="22.5" hidden="1" customHeight="1">
      <c r="A16" s="152" t="s">
        <v>1539</v>
      </c>
      <c r="B16" s="161"/>
      <c r="C16" s="154" t="s">
        <v>106</v>
      </c>
      <c r="D16" s="155"/>
      <c r="E16" s="156"/>
      <c r="F16" s="163"/>
      <c r="G16" s="164"/>
      <c r="I16" s="160"/>
      <c r="J16" s="162"/>
      <c r="L16" s="159"/>
    </row>
    <row r="17" spans="1:12" ht="22.5" customHeight="1">
      <c r="A17" s="152" t="s">
        <v>1540</v>
      </c>
      <c r="B17" s="161"/>
      <c r="C17" s="154" t="s">
        <v>106</v>
      </c>
      <c r="D17" s="155"/>
      <c r="E17" s="156"/>
      <c r="F17" s="157">
        <v>12453387</v>
      </c>
      <c r="G17" s="164"/>
      <c r="I17" s="160"/>
      <c r="J17" s="162"/>
      <c r="L17" s="159"/>
    </row>
    <row r="18" spans="1:12" ht="22.5" hidden="1" customHeight="1">
      <c r="A18" s="165" t="s">
        <v>1541</v>
      </c>
      <c r="B18" s="166"/>
      <c r="C18" s="154" t="s">
        <v>106</v>
      </c>
      <c r="D18" s="167"/>
      <c r="E18" s="168" t="s">
        <v>1542</v>
      </c>
      <c r="F18" s="169"/>
      <c r="G18" s="164"/>
      <c r="I18" s="160"/>
      <c r="J18" s="162"/>
      <c r="L18" s="159"/>
    </row>
    <row r="19" spans="1:12" ht="22.5" customHeight="1">
      <c r="A19" s="170" t="s">
        <v>1543</v>
      </c>
      <c r="B19" s="171"/>
      <c r="C19" s="172"/>
      <c r="D19" s="172"/>
      <c r="E19" s="172"/>
      <c r="F19" s="173">
        <f>F14+F15+F17+F13+F12</f>
        <v>58575095</v>
      </c>
      <c r="G19" s="174"/>
      <c r="L19" s="159"/>
    </row>
    <row r="20" spans="1:12" ht="17">
      <c r="L20" s="159"/>
    </row>
    <row r="21" spans="1:12" ht="22.5" customHeight="1">
      <c r="F21" s="122" t="b">
        <f>F19='5300_기타유동부채'!E15</f>
        <v>1</v>
      </c>
      <c r="G21" s="175"/>
      <c r="L21" s="159"/>
    </row>
    <row r="22" spans="1:12" ht="17">
      <c r="L22" s="159"/>
    </row>
    <row r="23" spans="1:12" ht="17">
      <c r="L23" s="159"/>
    </row>
    <row r="24" spans="1:12" ht="17">
      <c r="L24" s="159"/>
    </row>
    <row r="25" spans="1:12" ht="17">
      <c r="L25" s="159"/>
    </row>
    <row r="26" spans="1:12" ht="17">
      <c r="L26" s="159"/>
    </row>
    <row r="27" spans="1:12" ht="17">
      <c r="L27" s="159"/>
    </row>
    <row r="28" spans="1:12" ht="17">
      <c r="L28" s="159"/>
    </row>
  </sheetData>
  <mergeCells count="8">
    <mergeCell ref="A8:G8"/>
    <mergeCell ref="A9:G9"/>
    <mergeCell ref="A19:E19"/>
    <mergeCell ref="A1:J1"/>
    <mergeCell ref="A2:F2"/>
    <mergeCell ref="G2:J2"/>
    <mergeCell ref="A3:J3"/>
    <mergeCell ref="A4:J4"/>
  </mergeCells>
  <phoneticPr fontId="9" type="noConversion"/>
  <printOptions horizontalCentered="1"/>
  <pageMargins left="0.15748031496062992" right="0.15748031496062992" top="0.43" bottom="0.74803149606299213" header="0.31496062992125984" footer="0.31496062992125984"/>
  <pageSetup paperSize="9"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D2B0-9826-4A5F-81BA-0B14E3E8537A}">
  <sheetPr>
    <tabColor theme="0" tint="-0.14999847407452621"/>
  </sheetPr>
  <dimension ref="A1:L34"/>
  <sheetViews>
    <sheetView showGridLines="0" zoomScaleNormal="100" workbookViewId="0">
      <pane ySplit="12" topLeftCell="A13" activePane="bottomLeft" state="frozen"/>
      <selection activeCell="G473" sqref="G473"/>
      <selection pane="bottomLeft" sqref="A1:XFD4"/>
    </sheetView>
  </sheetViews>
  <sheetFormatPr defaultColWidth="6.25" defaultRowHeight="13.5" customHeight="1"/>
  <cols>
    <col min="1" max="1" width="0.58203125" style="193" customWidth="1"/>
    <col min="2" max="2" width="8.4140625" style="193" customWidth="1"/>
    <col min="3" max="3" width="15.4140625" style="193" hidden="1" customWidth="1"/>
    <col min="4" max="4" width="10.75" style="207" customWidth="1"/>
    <col min="5" max="5" width="7.33203125" style="208" customWidth="1"/>
    <col min="6" max="6" width="24.33203125" style="208" bestFit="1" customWidth="1"/>
    <col min="7" max="7" width="78.75" style="193" bestFit="1" customWidth="1"/>
    <col min="8" max="8" width="16" style="209" customWidth="1"/>
    <col min="9" max="9" width="6.75" style="193" customWidth="1"/>
    <col min="10" max="10" width="13.08203125" style="193" bestFit="1" customWidth="1"/>
    <col min="11" max="16384" width="6.25" style="193"/>
  </cols>
  <sheetData>
    <row r="1" spans="1:12" customFormat="1" ht="8" customHeight="1">
      <c r="A1" s="36"/>
      <c r="B1" s="37"/>
      <c r="C1" s="37"/>
      <c r="D1" s="37"/>
      <c r="E1" s="37"/>
      <c r="F1" s="37"/>
      <c r="G1" s="37"/>
      <c r="H1" s="37"/>
      <c r="I1" s="37"/>
      <c r="J1" s="37"/>
    </row>
    <row r="2" spans="1:12" customFormat="1" ht="18" customHeight="1">
      <c r="A2" s="60" t="s">
        <v>1</v>
      </c>
      <c r="B2" s="37"/>
      <c r="C2" s="37"/>
      <c r="D2" s="37"/>
      <c r="E2" s="37"/>
      <c r="F2" s="37"/>
      <c r="G2" s="54" t="s">
        <v>1602</v>
      </c>
      <c r="H2" s="37"/>
      <c r="I2" s="37"/>
      <c r="J2" s="37"/>
    </row>
    <row r="3" spans="1:12" customFormat="1" ht="30" customHeight="1">
      <c r="A3" s="61" t="s">
        <v>63</v>
      </c>
      <c r="B3" s="37"/>
      <c r="C3" s="37"/>
      <c r="D3" s="37"/>
      <c r="E3" s="37"/>
      <c r="F3" s="37"/>
      <c r="G3" s="37"/>
      <c r="H3" s="37"/>
      <c r="I3" s="37"/>
      <c r="J3" s="37"/>
    </row>
    <row r="4" spans="1:12" customFormat="1" ht="18" customHeight="1">
      <c r="A4" s="65" t="s">
        <v>1601</v>
      </c>
      <c r="B4" s="37"/>
      <c r="C4" s="37"/>
      <c r="D4" s="37"/>
      <c r="E4" s="37"/>
      <c r="F4" s="37"/>
      <c r="G4" s="37"/>
      <c r="H4" s="37"/>
      <c r="I4" s="37"/>
      <c r="J4" s="37"/>
    </row>
    <row r="8" spans="1:12" s="177" customFormat="1" ht="25.5">
      <c r="A8" s="176" t="s">
        <v>1544</v>
      </c>
      <c r="B8" s="176"/>
      <c r="C8" s="176"/>
      <c r="D8" s="176"/>
      <c r="E8" s="176"/>
      <c r="F8" s="176"/>
      <c r="G8" s="176"/>
      <c r="H8" s="176"/>
      <c r="I8" s="176"/>
      <c r="J8" s="142" t="s">
        <v>63</v>
      </c>
    </row>
    <row r="9" spans="1:12" s="178" customFormat="1" ht="20.25" customHeight="1">
      <c r="B9" s="179">
        <v>46203</v>
      </c>
      <c r="C9" s="179"/>
      <c r="D9" s="179"/>
      <c r="E9" s="179"/>
      <c r="F9" s="179"/>
      <c r="G9" s="179"/>
      <c r="H9" s="179"/>
      <c r="I9" s="179"/>
    </row>
    <row r="10" spans="1:12" s="178" customFormat="1" ht="22.5" customHeight="1">
      <c r="B10" s="178" t="s">
        <v>106</v>
      </c>
      <c r="D10" s="180"/>
      <c r="E10" s="181"/>
      <c r="F10" s="181"/>
      <c r="H10" s="182"/>
      <c r="I10" s="183" t="s">
        <v>1545</v>
      </c>
    </row>
    <row r="11" spans="1:12" s="178" customFormat="1" ht="5.25" customHeight="1">
      <c r="D11" s="184"/>
      <c r="E11" s="185"/>
      <c r="F11" s="185"/>
      <c r="G11" s="185"/>
      <c r="H11" s="186"/>
      <c r="I11" s="183"/>
    </row>
    <row r="12" spans="1:12" s="178" customFormat="1" ht="18" customHeight="1">
      <c r="B12" s="187" t="s">
        <v>1546</v>
      </c>
      <c r="C12" s="188" t="s">
        <v>1547</v>
      </c>
      <c r="D12" s="189" t="s">
        <v>110</v>
      </c>
      <c r="E12" s="190" t="s">
        <v>1548</v>
      </c>
      <c r="F12" s="190" t="s">
        <v>112</v>
      </c>
      <c r="G12" s="191" t="s">
        <v>1549</v>
      </c>
      <c r="H12" s="192" t="s">
        <v>1550</v>
      </c>
      <c r="I12" s="191" t="s">
        <v>1551</v>
      </c>
    </row>
    <row r="13" spans="1:12" ht="18" customHeight="1">
      <c r="B13" s="194"/>
      <c r="C13" s="195"/>
      <c r="D13" s="196">
        <v>44896</v>
      </c>
      <c r="E13" s="197" t="s">
        <v>1552</v>
      </c>
      <c r="F13" s="198" t="s">
        <v>1553</v>
      </c>
      <c r="G13" s="198" t="s">
        <v>1554</v>
      </c>
      <c r="H13" s="199">
        <v>200000</v>
      </c>
      <c r="I13" s="197"/>
      <c r="J13" s="200"/>
      <c r="K13" s="200"/>
      <c r="L13" s="200"/>
    </row>
    <row r="14" spans="1:12" ht="18" customHeight="1">
      <c r="B14" s="194"/>
      <c r="C14" s="195"/>
      <c r="D14" s="196">
        <v>45442</v>
      </c>
      <c r="E14" s="197" t="s">
        <v>1555</v>
      </c>
      <c r="F14" s="198" t="s">
        <v>1556</v>
      </c>
      <c r="G14" s="198" t="s">
        <v>1557</v>
      </c>
      <c r="H14" s="199">
        <v>1131816</v>
      </c>
      <c r="I14" s="197"/>
      <c r="J14" s="200"/>
      <c r="K14" s="200"/>
      <c r="L14" s="200"/>
    </row>
    <row r="15" spans="1:12" ht="13.5" hidden="1" customHeight="1">
      <c r="B15" s="194"/>
      <c r="C15" s="195"/>
      <c r="D15" s="196">
        <v>46100</v>
      </c>
      <c r="E15" s="197" t="s">
        <v>1555</v>
      </c>
      <c r="F15" s="198" t="s">
        <v>1556</v>
      </c>
      <c r="G15" s="198" t="s">
        <v>1558</v>
      </c>
      <c r="H15" s="199"/>
      <c r="I15" s="197"/>
      <c r="J15" s="200"/>
      <c r="K15" s="200"/>
      <c r="L15" s="200"/>
    </row>
    <row r="16" spans="1:12" ht="18" hidden="1" customHeight="1">
      <c r="B16" s="194"/>
      <c r="C16" s="195"/>
      <c r="D16" s="196">
        <v>46100</v>
      </c>
      <c r="E16" s="197" t="s">
        <v>1555</v>
      </c>
      <c r="F16" s="198" t="s">
        <v>1556</v>
      </c>
      <c r="G16" s="198" t="s">
        <v>1559</v>
      </c>
      <c r="H16" s="199"/>
      <c r="I16" s="197"/>
      <c r="J16" s="200"/>
      <c r="K16" s="200"/>
      <c r="L16" s="200"/>
    </row>
    <row r="17" spans="2:10" s="178" customFormat="1" ht="22.5" customHeight="1">
      <c r="B17" s="201" t="s">
        <v>1560</v>
      </c>
      <c r="C17" s="202"/>
      <c r="D17" s="202"/>
      <c r="E17" s="202"/>
      <c r="F17" s="203"/>
      <c r="G17" s="204"/>
      <c r="H17" s="205">
        <f>SUM(H13:H16)</f>
        <v>1331816</v>
      </c>
      <c r="I17" s="204"/>
      <c r="J17" s="206"/>
    </row>
    <row r="18" spans="2:10" ht="22.5" customHeight="1"/>
    <row r="19" spans="2:10" ht="22.5" customHeight="1">
      <c r="H19" s="209" t="b">
        <f>H17='5300_기타유동부채'!H14</f>
        <v>1</v>
      </c>
      <c r="J19" s="210"/>
    </row>
    <row r="20" spans="2:10" ht="22.5" customHeight="1"/>
    <row r="21" spans="2:10" ht="22.5" customHeight="1">
      <c r="H21" s="211"/>
    </row>
    <row r="22" spans="2:10" ht="22.5" customHeight="1">
      <c r="H22" s="211"/>
    </row>
    <row r="23" spans="2:10" ht="22.5" customHeight="1">
      <c r="H23" s="211"/>
    </row>
    <row r="24" spans="2:10" ht="22.5" customHeight="1">
      <c r="H24" s="211"/>
      <c r="I24" s="210"/>
    </row>
    <row r="25" spans="2:10" ht="22.5" hidden="1" customHeight="1">
      <c r="B25" s="193" t="s">
        <v>1561</v>
      </c>
      <c r="H25" s="211"/>
    </row>
    <row r="26" spans="2:10" ht="22.5" hidden="1" customHeight="1">
      <c r="B26" s="193" t="s">
        <v>1562</v>
      </c>
      <c r="H26" s="211"/>
    </row>
    <row r="27" spans="2:10" ht="22.5" hidden="1" customHeight="1">
      <c r="B27" s="193" t="s">
        <v>1563</v>
      </c>
      <c r="H27" s="211"/>
    </row>
    <row r="28" spans="2:10" ht="22.5" customHeight="1">
      <c r="H28" s="211"/>
    </row>
    <row r="29" spans="2:10" ht="22.5" customHeight="1"/>
    <row r="30" spans="2:10" ht="22.5" customHeight="1">
      <c r="I30" s="210"/>
    </row>
    <row r="31" spans="2:10" ht="22.5" customHeight="1"/>
    <row r="32" spans="2:10" ht="22.5" customHeight="1"/>
    <row r="33" ht="22.5" customHeight="1"/>
    <row r="34" ht="22.5" customHeight="1"/>
  </sheetData>
  <autoFilter ref="A12:J13" xr:uid="{00000000-0009-0000-0000-000008000000}"/>
  <mergeCells count="8">
    <mergeCell ref="A8:I8"/>
    <mergeCell ref="B9:I9"/>
    <mergeCell ref="B17:F17"/>
    <mergeCell ref="A1:J1"/>
    <mergeCell ref="A2:F2"/>
    <mergeCell ref="G2:J2"/>
    <mergeCell ref="A3:J3"/>
    <mergeCell ref="A4:J4"/>
  </mergeCells>
  <phoneticPr fontId="9" type="noConversion"/>
  <hyperlinks>
    <hyperlink ref="A8:H8" location="부채!A1" display="선 수 금 명 세 서" xr:uid="{3D4BD4DF-A5DB-456F-8571-D59599C72AA5}"/>
  </hyperlinks>
  <printOptions horizontalCentered="1"/>
  <pageMargins left="0.15748031496062992" right="0.1574803149606299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E712-C300-4FF1-914B-B72C99CD6D9A}">
  <sheetPr>
    <tabColor theme="0" tint="-0.14999847407452621"/>
  </sheetPr>
  <dimension ref="A1:V38"/>
  <sheetViews>
    <sheetView showGridLines="0" zoomScaleNormal="100" zoomScaleSheetLayoutView="100" workbookViewId="0">
      <pane ySplit="12" topLeftCell="A13" activePane="bottomLeft" state="frozen"/>
      <selection activeCell="G473" sqref="G473"/>
      <selection pane="bottomLeft" activeCell="G37" sqref="G37"/>
    </sheetView>
  </sheetViews>
  <sheetFormatPr defaultColWidth="6.25" defaultRowHeight="13"/>
  <cols>
    <col min="1" max="1" width="0.58203125" style="243" customWidth="1"/>
    <col min="2" max="2" width="16.6640625" style="271" bestFit="1" customWidth="1"/>
    <col min="3" max="3" width="13.33203125" style="279" hidden="1" customWidth="1"/>
    <col min="4" max="4" width="9" style="271" hidden="1" customWidth="1"/>
    <col min="5" max="5" width="21.4140625" style="280" customWidth="1"/>
    <col min="6" max="6" width="12.9140625" style="281" customWidth="1"/>
    <col min="7" max="7" width="77.25" style="282" customWidth="1"/>
    <col min="8" max="8" width="13.08203125" style="283" customWidth="1"/>
    <col min="9" max="9" width="14.9140625" style="282" customWidth="1"/>
    <col min="10" max="10" width="11.33203125" style="243" bestFit="1" customWidth="1"/>
    <col min="11" max="11" width="14.58203125" style="243" bestFit="1" customWidth="1"/>
    <col min="12" max="12" width="11.33203125" style="284" bestFit="1" customWidth="1"/>
    <col min="13" max="13" width="8.08203125" style="243" bestFit="1" customWidth="1"/>
    <col min="14" max="14" width="12.58203125" style="284" bestFit="1" customWidth="1"/>
    <col min="15" max="15" width="7.58203125" style="243" bestFit="1" customWidth="1"/>
    <col min="16" max="16384" width="6.25" style="243"/>
  </cols>
  <sheetData>
    <row r="1" spans="1:14" customFormat="1" ht="8" customHeight="1">
      <c r="A1" s="36"/>
      <c r="B1" s="37"/>
      <c r="C1" s="37"/>
      <c r="D1" s="37"/>
      <c r="E1" s="37"/>
      <c r="F1" s="37"/>
      <c r="G1" s="37"/>
      <c r="H1" s="37"/>
      <c r="I1" s="37"/>
      <c r="J1" s="37"/>
    </row>
    <row r="2" spans="1:14" customFormat="1" ht="18" customHeight="1">
      <c r="A2" s="60" t="s">
        <v>1</v>
      </c>
      <c r="B2" s="37"/>
      <c r="C2" s="37"/>
      <c r="D2" s="37"/>
      <c r="E2" s="37"/>
      <c r="F2" s="37"/>
      <c r="G2" s="54" t="s">
        <v>1604</v>
      </c>
      <c r="H2" s="37"/>
      <c r="I2" s="37"/>
      <c r="J2" s="37"/>
    </row>
    <row r="3" spans="1:14" customFormat="1" ht="30" customHeight="1">
      <c r="A3" s="61" t="s">
        <v>63</v>
      </c>
      <c r="B3" s="37"/>
      <c r="C3" s="37"/>
      <c r="D3" s="37"/>
      <c r="E3" s="37"/>
      <c r="F3" s="37"/>
      <c r="G3" s="37"/>
      <c r="H3" s="37"/>
      <c r="I3" s="37"/>
      <c r="J3" s="37"/>
    </row>
    <row r="4" spans="1:14" customFormat="1" ht="18" customHeight="1">
      <c r="A4" s="65" t="s">
        <v>1603</v>
      </c>
      <c r="B4" s="37"/>
      <c r="C4" s="37"/>
      <c r="D4" s="37"/>
      <c r="E4" s="37"/>
      <c r="F4" s="37"/>
      <c r="G4" s="37"/>
      <c r="H4" s="37"/>
      <c r="I4" s="37"/>
      <c r="J4" s="37"/>
    </row>
    <row r="8" spans="1:14" s="213" customFormat="1" ht="25.5">
      <c r="B8" s="212" t="s">
        <v>1565</v>
      </c>
      <c r="C8" s="212"/>
      <c r="D8" s="212"/>
      <c r="E8" s="212"/>
      <c r="F8" s="212"/>
      <c r="G8" s="212"/>
      <c r="H8" s="212"/>
      <c r="I8" s="212"/>
      <c r="K8" s="214" t="s">
        <v>1566</v>
      </c>
      <c r="L8" s="215"/>
      <c r="N8" s="215"/>
    </row>
    <row r="9" spans="1:14" s="213" customFormat="1" ht="20.25" customHeight="1">
      <c r="B9" s="216">
        <v>46203</v>
      </c>
      <c r="C9" s="216"/>
      <c r="D9" s="216"/>
      <c r="E9" s="216"/>
      <c r="F9" s="216"/>
      <c r="G9" s="216"/>
      <c r="H9" s="216"/>
      <c r="I9" s="216"/>
      <c r="L9" s="215"/>
      <c r="N9" s="215"/>
    </row>
    <row r="10" spans="1:14" s="213" customFormat="1" ht="15.75" customHeight="1">
      <c r="B10" s="217" t="s">
        <v>1567</v>
      </c>
      <c r="C10" s="218"/>
      <c r="H10" s="215"/>
      <c r="I10" s="219" t="s">
        <v>1568</v>
      </c>
      <c r="L10" s="215"/>
      <c r="N10" s="215"/>
    </row>
    <row r="11" spans="1:14" s="213" customFormat="1" ht="6.75" customHeight="1">
      <c r="B11" s="220"/>
      <c r="C11" s="221"/>
      <c r="D11" s="220"/>
      <c r="E11" s="222"/>
      <c r="F11" s="223"/>
      <c r="G11" s="224"/>
      <c r="H11" s="225"/>
      <c r="I11" s="224"/>
      <c r="L11" s="215"/>
      <c r="N11" s="215"/>
    </row>
    <row r="12" spans="1:14" s="233" customFormat="1" ht="22.5" customHeight="1">
      <c r="B12" s="226" t="s">
        <v>1569</v>
      </c>
      <c r="C12" s="227" t="s">
        <v>1547</v>
      </c>
      <c r="D12" s="228" t="s">
        <v>1570</v>
      </c>
      <c r="E12" s="229" t="s">
        <v>1571</v>
      </c>
      <c r="F12" s="230" t="s">
        <v>1572</v>
      </c>
      <c r="G12" s="228" t="s">
        <v>1573</v>
      </c>
      <c r="H12" s="231" t="s">
        <v>1574</v>
      </c>
      <c r="I12" s="232" t="s">
        <v>1564</v>
      </c>
      <c r="L12" s="234"/>
      <c r="N12" s="234"/>
    </row>
    <row r="13" spans="1:14" ht="14.25" customHeight="1">
      <c r="B13" s="235" t="s">
        <v>1575</v>
      </c>
      <c r="C13" s="236"/>
      <c r="D13" s="237"/>
      <c r="E13" s="238"/>
      <c r="F13" s="239">
        <v>44469</v>
      </c>
      <c r="G13" s="240" t="s">
        <v>1576</v>
      </c>
      <c r="H13" s="241">
        <v>15101904</v>
      </c>
      <c r="I13" s="242"/>
      <c r="J13" s="243" t="s">
        <v>1577</v>
      </c>
      <c r="L13" s="244"/>
      <c r="N13" s="244"/>
    </row>
    <row r="14" spans="1:14" ht="14.25" customHeight="1">
      <c r="B14" s="245"/>
      <c r="C14" s="236"/>
      <c r="D14" s="237"/>
      <c r="E14" s="238"/>
      <c r="F14" s="239" t="s">
        <v>1578</v>
      </c>
      <c r="G14" s="240" t="s">
        <v>1579</v>
      </c>
      <c r="H14" s="241">
        <v>8655976</v>
      </c>
      <c r="I14" s="242"/>
      <c r="J14" s="243" t="s">
        <v>1580</v>
      </c>
      <c r="L14" s="244"/>
      <c r="N14" s="244"/>
    </row>
    <row r="15" spans="1:14" ht="14.25" customHeight="1">
      <c r="B15" s="245"/>
      <c r="C15" s="236"/>
      <c r="D15" s="237"/>
      <c r="E15" s="238"/>
      <c r="F15" s="239">
        <v>46203</v>
      </c>
      <c r="G15" s="240" t="s">
        <v>1581</v>
      </c>
      <c r="H15" s="241" ph="1">
        <v>2100000</v>
      </c>
      <c r="I15" s="242"/>
      <c r="L15" s="244"/>
      <c r="N15" s="244"/>
    </row>
    <row r="16" spans="1:14" ht="14.25" customHeight="1">
      <c r="B16" s="245"/>
      <c r="C16" s="236"/>
      <c r="D16" s="237"/>
      <c r="E16" s="238"/>
      <c r="F16" s="239">
        <v>46203</v>
      </c>
      <c r="G16" s="246" t="s">
        <v>1582</v>
      </c>
      <c r="H16" s="241">
        <f>5200000</f>
        <v>5200000</v>
      </c>
      <c r="I16" s="242"/>
      <c r="L16" s="244"/>
      <c r="N16" s="244"/>
    </row>
    <row r="17" spans="2:15" ht="14.25" customHeight="1">
      <c r="B17" s="245"/>
      <c r="C17" s="236"/>
      <c r="D17" s="237"/>
      <c r="E17" s="238"/>
      <c r="F17" s="239">
        <v>46203</v>
      </c>
      <c r="G17" s="246" t="s">
        <v>1583</v>
      </c>
      <c r="H17" s="241" ph="1">
        <v>49948000</v>
      </c>
      <c r="I17" s="242"/>
      <c r="L17" s="244"/>
      <c r="N17" s="244"/>
    </row>
    <row r="18" spans="2:15" ht="14.25" customHeight="1">
      <c r="B18" s="245"/>
      <c r="C18" s="236"/>
      <c r="D18" s="237"/>
      <c r="E18" s="238"/>
      <c r="F18" s="239">
        <v>46203</v>
      </c>
      <c r="G18" s="246" t="s">
        <v>1584</v>
      </c>
      <c r="H18" s="241" ph="1">
        <v>22335000</v>
      </c>
      <c r="I18" s="242"/>
      <c r="L18" s="244"/>
      <c r="N18" s="244"/>
    </row>
    <row r="19" spans="2:15" ht="16" customHeight="1">
      <c r="B19" s="247" t="s">
        <v>1585</v>
      </c>
      <c r="C19" s="248"/>
      <c r="D19" s="249"/>
      <c r="E19" s="249"/>
      <c r="F19" s="249"/>
      <c r="G19" s="250"/>
      <c r="H19" s="251">
        <f>SUM(H13:H18)</f>
        <v>103340880</v>
      </c>
      <c r="I19" s="252"/>
      <c r="J19" s="213"/>
      <c r="K19" s="244"/>
      <c r="L19" s="243"/>
      <c r="N19" s="244"/>
    </row>
    <row r="20" spans="2:15" ht="16.5" hidden="1" customHeight="1">
      <c r="B20" s="253"/>
      <c r="C20" s="254"/>
      <c r="D20" s="255"/>
      <c r="E20" s="255"/>
      <c r="F20" s="255"/>
      <c r="G20" s="255"/>
      <c r="H20" s="256"/>
      <c r="I20" s="257"/>
      <c r="J20" s="213"/>
      <c r="L20" s="243"/>
      <c r="N20" s="244"/>
    </row>
    <row r="21" spans="2:15" ht="15" customHeight="1">
      <c r="B21" s="258" t="s">
        <v>1586</v>
      </c>
      <c r="C21" s="236" t="s">
        <v>1566</v>
      </c>
      <c r="D21" s="237"/>
      <c r="E21" s="238"/>
      <c r="F21" s="239">
        <v>46203</v>
      </c>
      <c r="G21" s="240" t="s">
        <v>1587</v>
      </c>
      <c r="H21" s="244">
        <v>76713632</v>
      </c>
      <c r="I21" s="242"/>
      <c r="J21" s="259"/>
      <c r="K21" s="260"/>
      <c r="L21" s="243"/>
      <c r="M21" s="260"/>
      <c r="N21" s="244"/>
    </row>
    <row r="22" spans="2:15" ht="14.25" customHeight="1">
      <c r="B22" s="247" t="s">
        <v>1585</v>
      </c>
      <c r="C22" s="248"/>
      <c r="D22" s="249"/>
      <c r="E22" s="249"/>
      <c r="F22" s="249"/>
      <c r="G22" s="249"/>
      <c r="H22" s="251">
        <f>SUM(H21)</f>
        <v>76713632</v>
      </c>
      <c r="I22" s="252"/>
      <c r="J22" s="213"/>
      <c r="L22" s="243"/>
      <c r="N22" s="244"/>
    </row>
    <row r="23" spans="2:15" ht="14.25" hidden="1" customHeight="1">
      <c r="B23" s="253"/>
      <c r="C23" s="254"/>
      <c r="D23" s="255"/>
      <c r="E23" s="255"/>
      <c r="F23" s="255"/>
      <c r="G23" s="255"/>
      <c r="H23" s="256"/>
      <c r="I23" s="257"/>
      <c r="J23" s="213"/>
      <c r="L23" s="243"/>
      <c r="N23" s="244"/>
    </row>
    <row r="24" spans="2:15" ht="14.25" customHeight="1">
      <c r="B24" s="261" t="s">
        <v>97</v>
      </c>
      <c r="C24" s="254"/>
      <c r="D24" s="262" t="s">
        <v>524</v>
      </c>
      <c r="E24" s="262" t="s">
        <v>525</v>
      </c>
      <c r="F24" s="239">
        <v>46022</v>
      </c>
      <c r="G24" s="263" t="s">
        <v>1588</v>
      </c>
      <c r="H24" s="241">
        <v>450769061</v>
      </c>
      <c r="I24" s="257"/>
      <c r="J24" s="213"/>
      <c r="L24" s="243"/>
      <c r="N24" s="244"/>
    </row>
    <row r="25" spans="2:15" s="213" customFormat="1" ht="15.75" customHeight="1">
      <c r="B25" s="247" t="s">
        <v>1585</v>
      </c>
      <c r="C25" s="248"/>
      <c r="D25" s="249"/>
      <c r="E25" s="249"/>
      <c r="F25" s="249"/>
      <c r="G25" s="249"/>
      <c r="H25" s="251">
        <f>SUM(H24:H24)</f>
        <v>450769061</v>
      </c>
      <c r="I25" s="252"/>
      <c r="N25" s="264"/>
    </row>
    <row r="26" spans="2:15" ht="15.75" hidden="1" customHeight="1">
      <c r="B26" s="253"/>
      <c r="C26" s="254"/>
      <c r="D26" s="255"/>
      <c r="E26" s="255"/>
      <c r="F26" s="255"/>
      <c r="G26" s="255"/>
      <c r="H26" s="256"/>
      <c r="I26" s="257"/>
      <c r="J26" s="265"/>
      <c r="L26" s="243"/>
      <c r="N26" s="244"/>
    </row>
    <row r="27" spans="2:15" ht="14.25" customHeight="1">
      <c r="B27" s="266" t="s">
        <v>1589</v>
      </c>
      <c r="C27" s="236"/>
      <c r="D27" s="237"/>
      <c r="E27" s="238" t="s">
        <v>1590</v>
      </c>
      <c r="F27" s="239">
        <v>46112</v>
      </c>
      <c r="G27" s="240" t="s">
        <v>1591</v>
      </c>
      <c r="H27" s="241" ph="1">
        <v>11095890</v>
      </c>
      <c r="I27" s="242"/>
      <c r="K27" s="260"/>
      <c r="L27" s="244"/>
      <c r="N27" s="244"/>
    </row>
    <row r="28" spans="2:15" s="213" customFormat="1" ht="14.25" customHeight="1">
      <c r="B28" s="267" t="s">
        <v>1585</v>
      </c>
      <c r="C28" s="248"/>
      <c r="D28" s="250"/>
      <c r="E28" s="249"/>
      <c r="F28" s="249"/>
      <c r="G28" s="249"/>
      <c r="H28" s="268">
        <f>SUM(H27:H27)</f>
        <v>11095890</v>
      </c>
      <c r="I28" s="269"/>
      <c r="K28" s="270"/>
      <c r="M28" s="270"/>
      <c r="N28" s="271"/>
      <c r="O28" s="270"/>
    </row>
    <row r="29" spans="2:15" s="213" customFormat="1" ht="21" customHeight="1">
      <c r="B29" s="272" t="s">
        <v>1592</v>
      </c>
      <c r="C29" s="273"/>
      <c r="D29" s="274"/>
      <c r="E29" s="275"/>
      <c r="F29" s="275"/>
      <c r="G29" s="275"/>
      <c r="H29" s="276">
        <f>H19+H22+H25+H28</f>
        <v>641919463</v>
      </c>
      <c r="I29" s="277"/>
      <c r="N29" s="278"/>
    </row>
    <row r="30" spans="2:15">
      <c r="L30" s="243"/>
    </row>
    <row r="31" spans="2:15">
      <c r="L31" s="243"/>
    </row>
    <row r="32" spans="2:15">
      <c r="H32" s="283" t="b">
        <f>H29='5300_기타유동부채'!H13</f>
        <v>1</v>
      </c>
      <c r="K32" s="284"/>
    </row>
    <row r="36" spans="8:22">
      <c r="S36" s="285"/>
      <c r="T36" s="286"/>
      <c r="U36" s="260"/>
      <c r="V36" s="244"/>
    </row>
    <row r="38" spans="8:22" ht="24.5">
      <c r="H38" s="283" ph="1"/>
    </row>
  </sheetData>
  <mergeCells count="8">
    <mergeCell ref="B8:I8"/>
    <mergeCell ref="B9:I9"/>
    <mergeCell ref="B13:B18"/>
    <mergeCell ref="A1:J1"/>
    <mergeCell ref="A2:F2"/>
    <mergeCell ref="G2:J2"/>
    <mergeCell ref="A3:J3"/>
    <mergeCell ref="A4:J4"/>
  </mergeCells>
  <phoneticPr fontId="9" type="noConversion"/>
  <printOptions horizontalCentered="1"/>
  <pageMargins left="0.15748031496062992" right="0.15748031496062992" top="0.35433070866141736" bottom="0.35433070866141736" header="0.15748031496062992" footer="0.31496062992125984"/>
  <pageSetup paperSize="9" scale="7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05"/>
  <sheetViews>
    <sheetView workbookViewId="0">
      <selection activeCell="A3" sqref="A3:J3"/>
    </sheetView>
  </sheetViews>
  <sheetFormatPr defaultRowHeight="17"/>
  <cols>
    <col min="2" max="2" width="15.33203125" bestFit="1" customWidth="1"/>
    <col min="3" max="3" width="8.83203125" bestFit="1" customWidth="1"/>
    <col min="4" max="4" width="15.33203125" bestFit="1" customWidth="1"/>
    <col min="5" max="5" width="8.83203125" bestFit="1" customWidth="1"/>
  </cols>
  <sheetData>
    <row r="1" spans="1:10">
      <c r="A1" s="36"/>
      <c r="B1" s="37"/>
      <c r="C1" s="37"/>
      <c r="D1" s="37"/>
      <c r="E1" s="37"/>
      <c r="F1" s="37"/>
      <c r="G1" s="37"/>
      <c r="H1" s="37"/>
      <c r="I1" s="37"/>
      <c r="J1" s="37"/>
    </row>
    <row r="2" spans="1:10" ht="17.5" customHeight="1">
      <c r="A2" s="60" t="s">
        <v>1</v>
      </c>
      <c r="B2" s="37"/>
      <c r="C2" s="37"/>
      <c r="D2" s="37"/>
      <c r="E2" s="37"/>
      <c r="F2" s="37"/>
      <c r="G2" s="54" t="s">
        <v>1609</v>
      </c>
      <c r="H2" s="37"/>
      <c r="I2" s="37"/>
      <c r="J2" s="37"/>
    </row>
    <row r="3" spans="1:10" ht="25.5" customHeight="1">
      <c r="A3" s="61" t="s">
        <v>63</v>
      </c>
      <c r="B3" s="37"/>
      <c r="C3" s="37"/>
      <c r="D3" s="37"/>
      <c r="E3" s="37"/>
      <c r="F3" s="37"/>
      <c r="G3" s="37"/>
      <c r="H3" s="37"/>
      <c r="I3" s="37"/>
      <c r="J3" s="37"/>
    </row>
    <row r="4" spans="1:10">
      <c r="A4" s="65" t="s">
        <v>75</v>
      </c>
      <c r="B4" s="37"/>
      <c r="C4" s="37"/>
      <c r="D4" s="37"/>
      <c r="E4" s="37"/>
      <c r="F4" s="37"/>
      <c r="G4" s="37"/>
      <c r="H4" s="37"/>
      <c r="I4" s="37"/>
      <c r="J4" s="37"/>
    </row>
    <row r="7" spans="1:10" s="25" customFormat="1" ht="14.5">
      <c r="A7" s="25" t="s">
        <v>76</v>
      </c>
    </row>
    <row r="8" spans="1:10" s="25" customFormat="1" ht="14.5">
      <c r="A8" s="28" t="s">
        <v>77</v>
      </c>
      <c r="B8" s="28" t="s">
        <v>13</v>
      </c>
      <c r="C8" s="28" t="s">
        <v>78</v>
      </c>
      <c r="D8" s="28" t="s">
        <v>14</v>
      </c>
      <c r="E8" s="28" t="s">
        <v>79</v>
      </c>
      <c r="G8" s="25" t="s">
        <v>99</v>
      </c>
      <c r="H8" s="25" t="s">
        <v>100</v>
      </c>
    </row>
    <row r="9" spans="1:10" s="25" customFormat="1" ht="14.5">
      <c r="A9" s="29" t="s">
        <v>80</v>
      </c>
      <c r="B9" s="27">
        <v>1605899052</v>
      </c>
      <c r="C9" s="27">
        <v>584</v>
      </c>
      <c r="D9" s="27">
        <v>1384975959</v>
      </c>
      <c r="E9" s="30">
        <v>607</v>
      </c>
    </row>
    <row r="10" spans="1:10" s="25" customFormat="1" ht="14.5">
      <c r="A10" s="29" t="s">
        <v>81</v>
      </c>
      <c r="B10" s="27">
        <v>1227615881</v>
      </c>
      <c r="C10" s="27">
        <v>536</v>
      </c>
      <c r="D10" s="27">
        <v>1464676011</v>
      </c>
      <c r="E10" s="30">
        <v>539</v>
      </c>
    </row>
    <row r="11" spans="1:10" s="25" customFormat="1" ht="14.5">
      <c r="A11" s="29" t="s">
        <v>82</v>
      </c>
      <c r="B11" s="27">
        <v>2128466455</v>
      </c>
      <c r="C11" s="27">
        <v>665</v>
      </c>
      <c r="D11" s="27">
        <v>2235740528</v>
      </c>
      <c r="E11" s="30">
        <v>588</v>
      </c>
    </row>
    <row r="12" spans="1:10" s="25" customFormat="1" ht="14.5">
      <c r="A12" s="29" t="s">
        <v>83</v>
      </c>
      <c r="B12" s="27">
        <v>4707973269</v>
      </c>
      <c r="C12" s="27">
        <v>608</v>
      </c>
      <c r="D12" s="27">
        <v>5262772548</v>
      </c>
      <c r="E12" s="30">
        <v>593</v>
      </c>
      <c r="F12" s="25" t="s">
        <v>99</v>
      </c>
    </row>
    <row r="13" spans="1:10" s="25" customFormat="1" ht="14.5">
      <c r="A13" s="29" t="s">
        <v>84</v>
      </c>
      <c r="B13" s="27">
        <v>2091600555</v>
      </c>
      <c r="C13" s="27">
        <v>515</v>
      </c>
      <c r="D13" s="27">
        <v>1415896443</v>
      </c>
      <c r="E13" s="30">
        <v>612</v>
      </c>
    </row>
    <row r="14" spans="1:10" s="25" customFormat="1" ht="14.5">
      <c r="A14" s="29" t="s">
        <v>85</v>
      </c>
      <c r="B14" s="27">
        <v>2140221451</v>
      </c>
      <c r="C14" s="27">
        <v>745</v>
      </c>
      <c r="D14" s="27">
        <v>2266380397</v>
      </c>
      <c r="E14" s="30">
        <v>701</v>
      </c>
    </row>
    <row r="15" spans="1:10" s="25" customFormat="1" ht="14.5">
      <c r="A15" s="29" t="s">
        <v>86</v>
      </c>
      <c r="B15" s="27">
        <v>0</v>
      </c>
      <c r="C15" s="27">
        <v>0</v>
      </c>
      <c r="D15" s="27">
        <v>0</v>
      </c>
      <c r="E15" s="30">
        <v>0</v>
      </c>
    </row>
    <row r="16" spans="1:10" s="25" customFormat="1" ht="14.5">
      <c r="A16" s="29" t="s">
        <v>87</v>
      </c>
      <c r="B16" s="27">
        <v>0</v>
      </c>
      <c r="C16" s="27">
        <v>0</v>
      </c>
      <c r="D16" s="27">
        <v>0</v>
      </c>
      <c r="E16" s="30">
        <v>0</v>
      </c>
    </row>
    <row r="17" spans="1:5" s="25" customFormat="1" ht="14.5">
      <c r="A17" s="29" t="s">
        <v>88</v>
      </c>
      <c r="B17" s="27">
        <v>0</v>
      </c>
      <c r="C17" s="27">
        <v>0</v>
      </c>
      <c r="D17" s="27">
        <v>0</v>
      </c>
      <c r="E17" s="30">
        <v>0</v>
      </c>
    </row>
    <row r="18" spans="1:5" s="25" customFormat="1" ht="14.5">
      <c r="A18" s="29" t="s">
        <v>89</v>
      </c>
      <c r="B18" s="27">
        <v>0</v>
      </c>
      <c r="C18" s="27">
        <v>0</v>
      </c>
      <c r="D18" s="27">
        <v>0</v>
      </c>
      <c r="E18" s="30">
        <v>0</v>
      </c>
    </row>
    <row r="19" spans="1:5" s="25" customFormat="1" ht="14.5">
      <c r="A19" s="29" t="s">
        <v>90</v>
      </c>
      <c r="B19" s="27">
        <v>0</v>
      </c>
      <c r="C19" s="27">
        <v>0</v>
      </c>
      <c r="D19" s="27">
        <v>0</v>
      </c>
      <c r="E19" s="30">
        <v>0</v>
      </c>
    </row>
    <row r="20" spans="1:5" s="25" customFormat="1" ht="14.5">
      <c r="A20" s="29" t="s">
        <v>91</v>
      </c>
      <c r="B20" s="27">
        <v>0</v>
      </c>
      <c r="C20" s="27">
        <v>0</v>
      </c>
      <c r="D20" s="27">
        <v>0</v>
      </c>
      <c r="E20" s="30">
        <v>0</v>
      </c>
    </row>
    <row r="21" spans="1:5" s="25" customFormat="1" ht="14.5">
      <c r="A21" s="31" t="s">
        <v>92</v>
      </c>
      <c r="B21" s="32">
        <v>13901776663</v>
      </c>
      <c r="C21" s="32">
        <v>3653</v>
      </c>
      <c r="D21" s="32">
        <v>14030441886</v>
      </c>
      <c r="E21" s="33">
        <v>3640</v>
      </c>
    </row>
    <row r="22" spans="1:5" s="25" customFormat="1" ht="14.5"/>
    <row r="23" spans="1:5" s="25" customFormat="1" ht="14.5">
      <c r="A23" s="25" t="s">
        <v>93</v>
      </c>
    </row>
    <row r="24" spans="1:5" s="25" customFormat="1" ht="14.5">
      <c r="A24" s="28" t="s">
        <v>77</v>
      </c>
      <c r="B24" s="28" t="s">
        <v>13</v>
      </c>
      <c r="C24" s="28" t="s">
        <v>78</v>
      </c>
      <c r="D24" s="28" t="s">
        <v>14</v>
      </c>
      <c r="E24" s="28" t="s">
        <v>79</v>
      </c>
    </row>
    <row r="25" spans="1:5" s="25" customFormat="1" ht="14.5">
      <c r="A25" s="29" t="s">
        <v>80</v>
      </c>
      <c r="B25" s="27">
        <v>73205656</v>
      </c>
      <c r="C25" s="27">
        <v>193</v>
      </c>
      <c r="D25" s="27">
        <v>56443564</v>
      </c>
      <c r="E25" s="30">
        <v>166</v>
      </c>
    </row>
    <row r="26" spans="1:5" s="25" customFormat="1" ht="14.5">
      <c r="A26" s="29" t="s">
        <v>81</v>
      </c>
      <c r="B26" s="27">
        <v>55491364</v>
      </c>
      <c r="C26" s="27">
        <v>163</v>
      </c>
      <c r="D26" s="27">
        <v>196571129</v>
      </c>
      <c r="E26" s="30">
        <v>161</v>
      </c>
    </row>
    <row r="27" spans="1:5" s="25" customFormat="1" ht="14.5">
      <c r="A27" s="29" t="s">
        <v>82</v>
      </c>
      <c r="B27" s="27">
        <v>200728419</v>
      </c>
      <c r="C27" s="27">
        <v>169</v>
      </c>
      <c r="D27" s="27">
        <v>73754290</v>
      </c>
      <c r="E27" s="30">
        <v>187</v>
      </c>
    </row>
    <row r="28" spans="1:5" s="25" customFormat="1" ht="14.5">
      <c r="A28" s="29" t="s">
        <v>83</v>
      </c>
      <c r="B28" s="27">
        <v>71463870</v>
      </c>
      <c r="C28" s="27">
        <v>183</v>
      </c>
      <c r="D28" s="27">
        <v>60365236</v>
      </c>
      <c r="E28" s="30">
        <v>218</v>
      </c>
    </row>
    <row r="29" spans="1:5" s="25" customFormat="1" ht="14.5">
      <c r="A29" s="29" t="s">
        <v>84</v>
      </c>
      <c r="B29" s="27">
        <v>58677756</v>
      </c>
      <c r="C29" s="27">
        <v>216</v>
      </c>
      <c r="D29" s="27">
        <v>44023686</v>
      </c>
      <c r="E29" s="30">
        <v>194</v>
      </c>
    </row>
    <row r="30" spans="1:5" s="25" customFormat="1" ht="14.5">
      <c r="A30" s="29" t="s">
        <v>85</v>
      </c>
      <c r="B30" s="27">
        <v>44073686</v>
      </c>
      <c r="C30" s="27">
        <v>193</v>
      </c>
      <c r="D30" s="27">
        <v>413951142</v>
      </c>
      <c r="E30" s="30">
        <v>198</v>
      </c>
    </row>
    <row r="31" spans="1:5" s="25" customFormat="1" ht="14.5">
      <c r="A31" s="29" t="s">
        <v>86</v>
      </c>
      <c r="B31" s="27">
        <v>0</v>
      </c>
      <c r="C31" s="27">
        <v>0</v>
      </c>
      <c r="D31" s="27">
        <v>0</v>
      </c>
      <c r="E31" s="30">
        <v>0</v>
      </c>
    </row>
    <row r="32" spans="1:5" s="25" customFormat="1" ht="14.5">
      <c r="A32" s="29" t="s">
        <v>87</v>
      </c>
      <c r="B32" s="27">
        <v>0</v>
      </c>
      <c r="C32" s="27">
        <v>0</v>
      </c>
      <c r="D32" s="27">
        <v>0</v>
      </c>
      <c r="E32" s="30">
        <v>0</v>
      </c>
    </row>
    <row r="33" spans="1:5" s="25" customFormat="1" ht="14.5">
      <c r="A33" s="29" t="s">
        <v>88</v>
      </c>
      <c r="B33" s="27">
        <v>0</v>
      </c>
      <c r="C33" s="27">
        <v>0</v>
      </c>
      <c r="D33" s="27">
        <v>0</v>
      </c>
      <c r="E33" s="30">
        <v>0</v>
      </c>
    </row>
    <row r="34" spans="1:5" s="25" customFormat="1" ht="14.5">
      <c r="A34" s="29" t="s">
        <v>89</v>
      </c>
      <c r="B34" s="27">
        <v>0</v>
      </c>
      <c r="C34" s="27">
        <v>0</v>
      </c>
      <c r="D34" s="27">
        <v>0</v>
      </c>
      <c r="E34" s="30">
        <v>0</v>
      </c>
    </row>
    <row r="35" spans="1:5" s="25" customFormat="1" ht="14.5">
      <c r="A35" s="29" t="s">
        <v>90</v>
      </c>
      <c r="B35" s="27">
        <v>0</v>
      </c>
      <c r="C35" s="27">
        <v>0</v>
      </c>
      <c r="D35" s="27">
        <v>0</v>
      </c>
      <c r="E35" s="30">
        <v>0</v>
      </c>
    </row>
    <row r="36" spans="1:5" s="25" customFormat="1" ht="14.5">
      <c r="A36" s="29" t="s">
        <v>91</v>
      </c>
      <c r="B36" s="27">
        <v>0</v>
      </c>
      <c r="C36" s="27">
        <v>0</v>
      </c>
      <c r="D36" s="27">
        <v>0</v>
      </c>
      <c r="E36" s="30">
        <v>0</v>
      </c>
    </row>
    <row r="37" spans="1:5" s="25" customFormat="1" ht="14.5">
      <c r="A37" s="31" t="s">
        <v>92</v>
      </c>
      <c r="B37" s="32">
        <v>503640751</v>
      </c>
      <c r="C37" s="32">
        <v>1117</v>
      </c>
      <c r="D37" s="32">
        <v>845109047</v>
      </c>
      <c r="E37" s="33">
        <v>1124</v>
      </c>
    </row>
    <row r="38" spans="1:5" s="25" customFormat="1" ht="14.5"/>
    <row r="39" spans="1:5" s="25" customFormat="1" ht="14.5">
      <c r="A39" s="25" t="s">
        <v>94</v>
      </c>
    </row>
    <row r="40" spans="1:5" s="25" customFormat="1" ht="14.5">
      <c r="A40" s="35" t="s">
        <v>77</v>
      </c>
      <c r="B40" s="32" t="s">
        <v>13</v>
      </c>
      <c r="C40" s="32" t="s">
        <v>78</v>
      </c>
      <c r="D40" s="32" t="s">
        <v>14</v>
      </c>
      <c r="E40" s="33" t="s">
        <v>79</v>
      </c>
    </row>
    <row r="41" spans="1:5" s="25" customFormat="1" ht="14.5">
      <c r="A41" s="34" t="s">
        <v>80</v>
      </c>
      <c r="B41" s="27">
        <v>957374482</v>
      </c>
      <c r="C41" s="27">
        <v>4</v>
      </c>
      <c r="D41" s="27">
        <v>877129962</v>
      </c>
      <c r="E41" s="30">
        <v>8</v>
      </c>
    </row>
    <row r="42" spans="1:5" s="25" customFormat="1" ht="14.5">
      <c r="A42" s="34" t="s">
        <v>81</v>
      </c>
      <c r="B42" s="27">
        <v>1022971913</v>
      </c>
      <c r="C42" s="27">
        <v>4</v>
      </c>
      <c r="D42" s="27">
        <v>992958973</v>
      </c>
      <c r="E42" s="30">
        <v>8</v>
      </c>
    </row>
    <row r="43" spans="1:5" s="25" customFormat="1" ht="14.5">
      <c r="A43" s="34" t="s">
        <v>82</v>
      </c>
      <c r="B43" s="27">
        <v>811432975</v>
      </c>
      <c r="C43" s="27">
        <v>3</v>
      </c>
      <c r="D43" s="27">
        <v>849100715</v>
      </c>
      <c r="E43" s="30">
        <v>8</v>
      </c>
    </row>
    <row r="44" spans="1:5" s="25" customFormat="1" ht="14.5">
      <c r="A44" s="34" t="s">
        <v>83</v>
      </c>
      <c r="B44" s="27">
        <v>839658132</v>
      </c>
      <c r="C44" s="27">
        <v>3</v>
      </c>
      <c r="D44" s="27">
        <v>814981332</v>
      </c>
      <c r="E44" s="30">
        <v>6</v>
      </c>
    </row>
    <row r="45" spans="1:5" s="25" customFormat="1" ht="14.5">
      <c r="A45" s="34" t="s">
        <v>84</v>
      </c>
      <c r="B45" s="27">
        <v>846167645</v>
      </c>
      <c r="C45" s="27">
        <v>3</v>
      </c>
      <c r="D45" s="27">
        <v>826832645</v>
      </c>
      <c r="E45" s="30">
        <v>6</v>
      </c>
    </row>
    <row r="46" spans="1:5" s="25" customFormat="1" ht="14.5">
      <c r="A46" s="34" t="s">
        <v>85</v>
      </c>
      <c r="B46" s="27">
        <v>864349975</v>
      </c>
      <c r="C46" s="27">
        <v>3</v>
      </c>
      <c r="D46" s="27">
        <v>927814795</v>
      </c>
      <c r="E46" s="30">
        <v>7</v>
      </c>
    </row>
    <row r="47" spans="1:5" s="25" customFormat="1" ht="14.5">
      <c r="A47" s="34" t="s">
        <v>86</v>
      </c>
      <c r="B47" s="27">
        <v>0</v>
      </c>
      <c r="C47" s="27">
        <v>0</v>
      </c>
      <c r="D47" s="27">
        <v>0</v>
      </c>
      <c r="E47" s="30">
        <v>0</v>
      </c>
    </row>
    <row r="48" spans="1:5" s="25" customFormat="1" ht="14.5">
      <c r="A48" s="34" t="s">
        <v>87</v>
      </c>
      <c r="B48" s="27">
        <v>0</v>
      </c>
      <c r="C48" s="27">
        <v>0</v>
      </c>
      <c r="D48" s="27">
        <v>0</v>
      </c>
      <c r="E48" s="30">
        <v>0</v>
      </c>
    </row>
    <row r="49" spans="1:5" s="25" customFormat="1" ht="14.5">
      <c r="A49" s="34" t="s">
        <v>88</v>
      </c>
      <c r="B49" s="27">
        <v>0</v>
      </c>
      <c r="C49" s="27">
        <v>0</v>
      </c>
      <c r="D49" s="27">
        <v>0</v>
      </c>
      <c r="E49" s="30">
        <v>0</v>
      </c>
    </row>
    <row r="50" spans="1:5" s="25" customFormat="1" ht="14.5">
      <c r="A50" s="34" t="s">
        <v>89</v>
      </c>
      <c r="B50" s="27">
        <v>0</v>
      </c>
      <c r="C50" s="27">
        <v>0</v>
      </c>
      <c r="D50" s="27">
        <v>0</v>
      </c>
      <c r="E50" s="30">
        <v>0</v>
      </c>
    </row>
    <row r="51" spans="1:5" s="25" customFormat="1" ht="14.5">
      <c r="A51" s="34" t="s">
        <v>90</v>
      </c>
      <c r="B51" s="27">
        <v>0</v>
      </c>
      <c r="C51" s="27">
        <v>0</v>
      </c>
      <c r="D51" s="27">
        <v>0</v>
      </c>
      <c r="E51" s="30">
        <v>0</v>
      </c>
    </row>
    <row r="52" spans="1:5" s="25" customFormat="1" ht="14.5">
      <c r="A52" s="34" t="s">
        <v>91</v>
      </c>
      <c r="B52" s="27">
        <v>0</v>
      </c>
      <c r="C52" s="27">
        <v>0</v>
      </c>
      <c r="D52" s="27">
        <v>0</v>
      </c>
      <c r="E52" s="30">
        <v>0</v>
      </c>
    </row>
    <row r="53" spans="1:5" s="25" customFormat="1" ht="14.5">
      <c r="A53" s="35" t="s">
        <v>92</v>
      </c>
      <c r="B53" s="32">
        <v>5341955122</v>
      </c>
      <c r="C53" s="32">
        <v>20</v>
      </c>
      <c r="D53" s="32">
        <v>5288818422</v>
      </c>
      <c r="E53" s="33">
        <v>43</v>
      </c>
    </row>
    <row r="54" spans="1:5" s="25" customFormat="1" ht="14.5"/>
    <row r="55" spans="1:5" s="25" customFormat="1" ht="14.5">
      <c r="A55" s="25" t="s">
        <v>95</v>
      </c>
    </row>
    <row r="56" spans="1:5" s="25" customFormat="1" ht="14.5">
      <c r="A56" s="28" t="s">
        <v>77</v>
      </c>
      <c r="B56" s="28" t="s">
        <v>13</v>
      </c>
      <c r="C56" s="28" t="s">
        <v>78</v>
      </c>
      <c r="D56" s="28" t="s">
        <v>14</v>
      </c>
      <c r="E56" s="28" t="s">
        <v>79</v>
      </c>
    </row>
    <row r="57" spans="1:5" s="25" customFormat="1" ht="14.5">
      <c r="A57" s="29" t="s">
        <v>80</v>
      </c>
      <c r="B57" s="27">
        <v>53097829</v>
      </c>
      <c r="C57" s="27">
        <v>2</v>
      </c>
      <c r="D57" s="27">
        <v>46954459</v>
      </c>
      <c r="E57" s="30">
        <v>1053</v>
      </c>
    </row>
    <row r="58" spans="1:5" s="25" customFormat="1" ht="14.5">
      <c r="A58" s="29" t="s">
        <v>81</v>
      </c>
      <c r="B58" s="27">
        <v>46954459</v>
      </c>
      <c r="C58" s="27">
        <v>2</v>
      </c>
      <c r="D58" s="27">
        <v>38836646</v>
      </c>
      <c r="E58" s="30">
        <v>900</v>
      </c>
    </row>
    <row r="59" spans="1:5" s="25" customFormat="1" ht="14.5">
      <c r="A59" s="29" t="s">
        <v>82</v>
      </c>
      <c r="B59" s="27">
        <v>38751046</v>
      </c>
      <c r="C59" s="27">
        <v>2</v>
      </c>
      <c r="D59" s="27">
        <v>48507287</v>
      </c>
      <c r="E59" s="30">
        <v>1109</v>
      </c>
    </row>
    <row r="60" spans="1:5" s="25" customFormat="1" ht="14.5">
      <c r="A60" s="29" t="s">
        <v>83</v>
      </c>
      <c r="B60" s="27">
        <v>48592887</v>
      </c>
      <c r="C60" s="27">
        <v>2</v>
      </c>
      <c r="D60" s="27">
        <v>60205075</v>
      </c>
      <c r="E60" s="30">
        <v>1256</v>
      </c>
    </row>
    <row r="61" spans="1:5" s="25" customFormat="1" ht="14.5">
      <c r="A61" s="29" t="s">
        <v>84</v>
      </c>
      <c r="B61" s="27">
        <v>60919575</v>
      </c>
      <c r="C61" s="27">
        <v>3</v>
      </c>
      <c r="D61" s="27">
        <v>49168024</v>
      </c>
      <c r="E61" s="30">
        <v>1116</v>
      </c>
    </row>
    <row r="62" spans="1:5" s="25" customFormat="1" ht="14.5">
      <c r="A62" s="29" t="s">
        <v>85</v>
      </c>
      <c r="B62" s="27">
        <v>49153194</v>
      </c>
      <c r="C62" s="27">
        <v>3</v>
      </c>
      <c r="D62" s="27">
        <v>77413302</v>
      </c>
      <c r="E62" s="30">
        <v>1189</v>
      </c>
    </row>
    <row r="63" spans="1:5" s="25" customFormat="1" ht="14.5">
      <c r="A63" s="29" t="s">
        <v>86</v>
      </c>
      <c r="B63" s="27">
        <v>0</v>
      </c>
      <c r="C63" s="27">
        <v>0</v>
      </c>
      <c r="D63" s="27">
        <v>0</v>
      </c>
      <c r="E63" s="30">
        <v>0</v>
      </c>
    </row>
    <row r="64" spans="1:5" s="25" customFormat="1" ht="14.5">
      <c r="A64" s="29" t="s">
        <v>87</v>
      </c>
      <c r="B64" s="27">
        <v>0</v>
      </c>
      <c r="C64" s="27">
        <v>0</v>
      </c>
      <c r="D64" s="27">
        <v>0</v>
      </c>
      <c r="E64" s="30">
        <v>0</v>
      </c>
    </row>
    <row r="65" spans="1:5" s="25" customFormat="1" ht="14.5">
      <c r="A65" s="29" t="s">
        <v>88</v>
      </c>
      <c r="B65" s="27">
        <v>0</v>
      </c>
      <c r="C65" s="27">
        <v>0</v>
      </c>
      <c r="D65" s="27">
        <v>0</v>
      </c>
      <c r="E65" s="30">
        <v>0</v>
      </c>
    </row>
    <row r="66" spans="1:5" s="25" customFormat="1" ht="14.5">
      <c r="A66" s="29" t="s">
        <v>89</v>
      </c>
      <c r="B66" s="27">
        <v>0</v>
      </c>
      <c r="C66" s="27">
        <v>0</v>
      </c>
      <c r="D66" s="27">
        <v>0</v>
      </c>
      <c r="E66" s="30">
        <v>0</v>
      </c>
    </row>
    <row r="67" spans="1:5" s="25" customFormat="1" ht="14.5">
      <c r="A67" s="29" t="s">
        <v>90</v>
      </c>
      <c r="B67" s="27">
        <v>0</v>
      </c>
      <c r="C67" s="27">
        <v>0</v>
      </c>
      <c r="D67" s="27">
        <v>0</v>
      </c>
      <c r="E67" s="30">
        <v>0</v>
      </c>
    </row>
    <row r="68" spans="1:5" s="25" customFormat="1" ht="14.5">
      <c r="A68" s="29" t="s">
        <v>91</v>
      </c>
      <c r="B68" s="27">
        <v>0</v>
      </c>
      <c r="C68" s="27">
        <v>0</v>
      </c>
      <c r="D68" s="27">
        <v>0</v>
      </c>
      <c r="E68" s="30">
        <v>0</v>
      </c>
    </row>
    <row r="69" spans="1:5" s="25" customFormat="1" ht="14.5">
      <c r="A69" s="31" t="s">
        <v>92</v>
      </c>
      <c r="B69" s="32">
        <v>297468990</v>
      </c>
      <c r="C69" s="32">
        <v>14</v>
      </c>
      <c r="D69" s="32">
        <v>321084793</v>
      </c>
      <c r="E69" s="33">
        <v>6623</v>
      </c>
    </row>
    <row r="70" spans="1:5" s="25" customFormat="1" ht="14.5"/>
    <row r="71" spans="1:5" s="25" customFormat="1" ht="14.5">
      <c r="A71" s="25" t="s">
        <v>96</v>
      </c>
    </row>
    <row r="72" spans="1:5" s="25" customFormat="1" ht="14.5">
      <c r="A72" s="28" t="s">
        <v>77</v>
      </c>
      <c r="B72" s="28" t="s">
        <v>13</v>
      </c>
      <c r="C72" s="28" t="s">
        <v>78</v>
      </c>
      <c r="D72" s="28" t="s">
        <v>14</v>
      </c>
      <c r="E72" s="28" t="s">
        <v>79</v>
      </c>
    </row>
    <row r="73" spans="1:5" s="25" customFormat="1" ht="14.5">
      <c r="A73" s="29" t="s">
        <v>80</v>
      </c>
      <c r="B73" s="27">
        <v>74771526</v>
      </c>
      <c r="C73" s="27">
        <v>7</v>
      </c>
      <c r="D73" s="27">
        <v>75505772</v>
      </c>
      <c r="E73" s="30">
        <v>6</v>
      </c>
    </row>
    <row r="74" spans="1:5" s="25" customFormat="1" ht="14.5">
      <c r="A74" s="29" t="s">
        <v>81</v>
      </c>
      <c r="B74" s="27">
        <v>75505772</v>
      </c>
      <c r="C74" s="27">
        <v>6</v>
      </c>
      <c r="D74" s="27">
        <v>63301475</v>
      </c>
      <c r="E74" s="30">
        <v>6</v>
      </c>
    </row>
    <row r="75" spans="1:5" s="25" customFormat="1" ht="14.5">
      <c r="A75" s="29" t="s">
        <v>82</v>
      </c>
      <c r="B75" s="27">
        <v>63301475</v>
      </c>
      <c r="C75" s="27">
        <v>6</v>
      </c>
      <c r="D75" s="27">
        <v>75505771</v>
      </c>
      <c r="E75" s="30">
        <v>6</v>
      </c>
    </row>
    <row r="76" spans="1:5" s="25" customFormat="1" ht="14.5">
      <c r="A76" s="29" t="s">
        <v>83</v>
      </c>
      <c r="B76" s="27">
        <v>75505771</v>
      </c>
      <c r="C76" s="27">
        <v>6</v>
      </c>
      <c r="D76" s="27">
        <v>72892990</v>
      </c>
      <c r="E76" s="30">
        <v>6</v>
      </c>
    </row>
    <row r="77" spans="1:5" s="25" customFormat="1" ht="14.5">
      <c r="A77" s="29" t="s">
        <v>84</v>
      </c>
      <c r="B77" s="27">
        <v>72892990</v>
      </c>
      <c r="C77" s="27">
        <v>6</v>
      </c>
      <c r="D77" s="27">
        <v>27532075</v>
      </c>
      <c r="E77" s="30">
        <v>5</v>
      </c>
    </row>
    <row r="78" spans="1:5" s="25" customFormat="1" ht="14.5">
      <c r="A78" s="29" t="s">
        <v>85</v>
      </c>
      <c r="B78" s="27">
        <v>27532075</v>
      </c>
      <c r="C78" s="27">
        <v>5</v>
      </c>
      <c r="D78" s="27">
        <v>11095890</v>
      </c>
      <c r="E78" s="30">
        <v>1</v>
      </c>
    </row>
    <row r="79" spans="1:5" s="25" customFormat="1" ht="14.5">
      <c r="A79" s="29" t="s">
        <v>86</v>
      </c>
      <c r="B79" s="27">
        <v>0</v>
      </c>
      <c r="C79" s="27">
        <v>0</v>
      </c>
      <c r="D79" s="27">
        <v>0</v>
      </c>
      <c r="E79" s="30">
        <v>0</v>
      </c>
    </row>
    <row r="80" spans="1:5" s="25" customFormat="1" ht="14.5">
      <c r="A80" s="29" t="s">
        <v>87</v>
      </c>
      <c r="B80" s="27">
        <v>0</v>
      </c>
      <c r="C80" s="27">
        <v>0</v>
      </c>
      <c r="D80" s="27">
        <v>0</v>
      </c>
      <c r="E80" s="30">
        <v>0</v>
      </c>
    </row>
    <row r="81" spans="1:6" s="25" customFormat="1" ht="14.5">
      <c r="A81" s="29" t="s">
        <v>88</v>
      </c>
      <c r="B81" s="27">
        <v>0</v>
      </c>
      <c r="C81" s="27">
        <v>0</v>
      </c>
      <c r="D81" s="27">
        <v>0</v>
      </c>
      <c r="E81" s="30">
        <v>0</v>
      </c>
    </row>
    <row r="82" spans="1:6" s="25" customFormat="1" ht="14.5">
      <c r="A82" s="29" t="s">
        <v>89</v>
      </c>
      <c r="B82" s="27">
        <v>0</v>
      </c>
      <c r="C82" s="27">
        <v>0</v>
      </c>
      <c r="D82" s="27">
        <v>0</v>
      </c>
      <c r="E82" s="30">
        <v>0</v>
      </c>
    </row>
    <row r="83" spans="1:6" s="25" customFormat="1" ht="14.5">
      <c r="A83" s="29" t="s">
        <v>90</v>
      </c>
      <c r="B83" s="27">
        <v>0</v>
      </c>
      <c r="C83" s="27">
        <v>0</v>
      </c>
      <c r="D83" s="27">
        <v>0</v>
      </c>
      <c r="E83" s="30">
        <v>0</v>
      </c>
    </row>
    <row r="84" spans="1:6" s="25" customFormat="1" ht="14.5">
      <c r="A84" s="29" t="s">
        <v>91</v>
      </c>
      <c r="B84" s="27">
        <v>0</v>
      </c>
      <c r="C84" s="27">
        <v>0</v>
      </c>
      <c r="D84" s="27">
        <v>0</v>
      </c>
      <c r="E84" s="30">
        <v>0</v>
      </c>
    </row>
    <row r="85" spans="1:6" s="25" customFormat="1" ht="14.5">
      <c r="A85" s="31" t="s">
        <v>92</v>
      </c>
      <c r="B85" s="32">
        <v>389509609</v>
      </c>
      <c r="C85" s="32">
        <v>36</v>
      </c>
      <c r="D85" s="32">
        <v>325833973</v>
      </c>
      <c r="E85" s="33">
        <v>30</v>
      </c>
    </row>
    <row r="86" spans="1:6" s="25" customFormat="1" ht="14.5"/>
    <row r="87" spans="1:6" s="25" customFormat="1" ht="14.5">
      <c r="A87" s="25" t="s">
        <v>10</v>
      </c>
    </row>
    <row r="88" spans="1:6" s="25" customFormat="1" ht="14.5">
      <c r="A88" s="35" t="s">
        <v>77</v>
      </c>
      <c r="B88" s="32" t="s">
        <v>13</v>
      </c>
      <c r="C88" s="32" t="s">
        <v>78</v>
      </c>
      <c r="D88" s="32" t="s">
        <v>14</v>
      </c>
      <c r="E88" s="33" t="s">
        <v>79</v>
      </c>
    </row>
    <row r="89" spans="1:6" s="25" customFormat="1" ht="14.5">
      <c r="A89" s="34" t="s">
        <v>80</v>
      </c>
      <c r="B89" s="27">
        <v>566523483</v>
      </c>
      <c r="C89" s="27">
        <v>69</v>
      </c>
      <c r="D89" s="27">
        <v>767521392</v>
      </c>
      <c r="E89" s="30">
        <v>73</v>
      </c>
    </row>
    <row r="90" spans="1:6" s="25" customFormat="1" ht="14.5">
      <c r="A90" s="34" t="s">
        <v>81</v>
      </c>
      <c r="B90" s="27">
        <v>544642955</v>
      </c>
      <c r="C90" s="27">
        <v>48</v>
      </c>
      <c r="D90" s="27">
        <v>656252204</v>
      </c>
      <c r="E90" s="30">
        <v>60</v>
      </c>
    </row>
    <row r="91" spans="1:6" s="25" customFormat="1" ht="14.5">
      <c r="A91" s="34" t="s">
        <v>82</v>
      </c>
      <c r="B91" s="27">
        <v>626476640</v>
      </c>
      <c r="C91" s="27">
        <v>76</v>
      </c>
      <c r="D91" s="27">
        <v>1099479908</v>
      </c>
      <c r="E91" s="30">
        <v>89</v>
      </c>
      <c r="F91" s="25" t="s">
        <v>99</v>
      </c>
    </row>
    <row r="92" spans="1:6" s="25" customFormat="1" ht="14.5">
      <c r="A92" s="34" t="s">
        <v>83</v>
      </c>
      <c r="B92" s="27">
        <v>8269844299</v>
      </c>
      <c r="C92" s="27">
        <v>75</v>
      </c>
      <c r="D92" s="27">
        <v>7761685680</v>
      </c>
      <c r="E92" s="30">
        <v>86</v>
      </c>
      <c r="F92" s="25" t="s">
        <v>101</v>
      </c>
    </row>
    <row r="93" spans="1:6" s="25" customFormat="1" ht="14.5">
      <c r="A93" s="34" t="s">
        <v>84</v>
      </c>
      <c r="B93" s="27">
        <v>507789869</v>
      </c>
      <c r="C93" s="27">
        <v>70</v>
      </c>
      <c r="D93" s="27">
        <v>973942329</v>
      </c>
      <c r="E93" s="30">
        <v>77</v>
      </c>
      <c r="F93" s="25" t="s">
        <v>98</v>
      </c>
    </row>
    <row r="94" spans="1:6" s="25" customFormat="1" ht="14.5">
      <c r="A94" s="34" t="s">
        <v>85</v>
      </c>
      <c r="B94" s="27">
        <v>1100762003</v>
      </c>
      <c r="C94" s="27">
        <v>73</v>
      </c>
      <c r="D94" s="27">
        <v>357157736</v>
      </c>
      <c r="E94" s="30">
        <v>95</v>
      </c>
    </row>
    <row r="95" spans="1:6" s="25" customFormat="1" ht="14.5">
      <c r="A95" s="34" t="s">
        <v>86</v>
      </c>
      <c r="B95" s="27">
        <v>0</v>
      </c>
      <c r="C95" s="27">
        <v>0</v>
      </c>
      <c r="D95" s="27">
        <v>0</v>
      </c>
      <c r="E95" s="30">
        <v>0</v>
      </c>
    </row>
    <row r="96" spans="1:6" s="25" customFormat="1" ht="14.5">
      <c r="A96" s="34" t="s">
        <v>87</v>
      </c>
      <c r="B96" s="27">
        <v>0</v>
      </c>
      <c r="C96" s="27">
        <v>0</v>
      </c>
      <c r="D96" s="27">
        <v>0</v>
      </c>
      <c r="E96" s="30">
        <v>0</v>
      </c>
    </row>
    <row r="97" spans="1:5" s="25" customFormat="1" ht="14.5">
      <c r="A97" s="34" t="s">
        <v>88</v>
      </c>
      <c r="B97" s="27">
        <v>0</v>
      </c>
      <c r="C97" s="27">
        <v>0</v>
      </c>
      <c r="D97" s="27">
        <v>0</v>
      </c>
      <c r="E97" s="30">
        <v>0</v>
      </c>
    </row>
    <row r="98" spans="1:5" s="25" customFormat="1" ht="14.5">
      <c r="A98" s="34" t="s">
        <v>89</v>
      </c>
      <c r="B98" s="27">
        <v>0</v>
      </c>
      <c r="C98" s="27">
        <v>0</v>
      </c>
      <c r="D98" s="27">
        <v>0</v>
      </c>
      <c r="E98" s="30">
        <v>0</v>
      </c>
    </row>
    <row r="99" spans="1:5" s="25" customFormat="1" ht="14.5">
      <c r="A99" s="34" t="s">
        <v>90</v>
      </c>
      <c r="B99" s="27">
        <v>0</v>
      </c>
      <c r="C99" s="27">
        <v>0</v>
      </c>
      <c r="D99" s="27">
        <v>0</v>
      </c>
      <c r="E99" s="30">
        <v>0</v>
      </c>
    </row>
    <row r="100" spans="1:5" s="25" customFormat="1" ht="14.5">
      <c r="A100" s="34" t="s">
        <v>91</v>
      </c>
      <c r="B100" s="27">
        <v>0</v>
      </c>
      <c r="C100" s="27">
        <v>0</v>
      </c>
      <c r="D100" s="27">
        <v>0</v>
      </c>
      <c r="E100" s="30">
        <v>0</v>
      </c>
    </row>
    <row r="101" spans="1:5" s="25" customFormat="1" ht="14.5">
      <c r="A101" s="35" t="s">
        <v>92</v>
      </c>
      <c r="B101" s="32">
        <v>11616039249</v>
      </c>
      <c r="C101" s="32">
        <v>411</v>
      </c>
      <c r="D101" s="32">
        <v>11616039249</v>
      </c>
      <c r="E101" s="33">
        <v>480</v>
      </c>
    </row>
    <row r="102" spans="1:5" s="25" customFormat="1" ht="14.5"/>
    <row r="103" spans="1:5" s="25" customFormat="1" ht="14.5">
      <c r="A103" s="25" t="s">
        <v>99</v>
      </c>
      <c r="B103" s="25" t="s">
        <v>102</v>
      </c>
    </row>
    <row r="104" spans="1:5" s="25" customFormat="1" ht="14.5">
      <c r="A104" s="25" t="s">
        <v>101</v>
      </c>
      <c r="B104" s="25" t="s">
        <v>103</v>
      </c>
    </row>
    <row r="105" spans="1:5">
      <c r="A105" s="25" t="s">
        <v>98</v>
      </c>
      <c r="B105" s="26" t="s">
        <v>104</v>
      </c>
    </row>
  </sheetData>
  <mergeCells count="5">
    <mergeCell ref="A2:F2"/>
    <mergeCell ref="A1:J1"/>
    <mergeCell ref="A3:J3"/>
    <mergeCell ref="A4:J4"/>
    <mergeCell ref="G2:J2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B27B-4196-49E3-9211-9F2EB9D247D6}">
  <dimension ref="A1:J20"/>
  <sheetViews>
    <sheetView workbookViewId="0">
      <selection activeCell="J26" sqref="J26"/>
    </sheetView>
  </sheetViews>
  <sheetFormatPr defaultRowHeight="17"/>
  <cols>
    <col min="2" max="2" width="12.58203125" bestFit="1" customWidth="1"/>
    <col min="4" max="5" width="12.58203125" bestFit="1" customWidth="1"/>
    <col min="7" max="7" width="12.58203125" bestFit="1" customWidth="1"/>
  </cols>
  <sheetData>
    <row r="1" spans="1:10">
      <c r="A1" s="36"/>
      <c r="B1" s="37"/>
      <c r="C1" s="37"/>
      <c r="D1" s="37"/>
      <c r="E1" s="37"/>
      <c r="F1" s="37"/>
      <c r="G1" s="37"/>
      <c r="H1" s="37"/>
      <c r="I1" s="37"/>
      <c r="J1" s="37"/>
    </row>
    <row r="2" spans="1:10" ht="17.5" customHeight="1">
      <c r="A2" s="60" t="s">
        <v>1</v>
      </c>
      <c r="B2" s="37"/>
      <c r="C2" s="37"/>
      <c r="D2" s="37"/>
      <c r="E2" s="37"/>
      <c r="F2" s="37"/>
      <c r="G2" s="54" t="s">
        <v>1610</v>
      </c>
      <c r="H2" s="37"/>
      <c r="I2" s="37"/>
      <c r="J2" s="37"/>
    </row>
    <row r="3" spans="1:10" ht="25.5" customHeight="1">
      <c r="A3" s="61" t="s">
        <v>63</v>
      </c>
      <c r="B3" s="37"/>
      <c r="C3" s="37"/>
      <c r="D3" s="37"/>
      <c r="E3" s="37"/>
      <c r="F3" s="37"/>
      <c r="G3" s="37"/>
      <c r="H3" s="37"/>
      <c r="I3" s="37"/>
      <c r="J3" s="37"/>
    </row>
    <row r="4" spans="1:10">
      <c r="A4" s="65" t="s">
        <v>1608</v>
      </c>
      <c r="B4" s="37"/>
      <c r="C4" s="37"/>
      <c r="D4" s="37"/>
      <c r="E4" s="37"/>
      <c r="F4" s="37"/>
      <c r="G4" s="37"/>
      <c r="H4" s="37"/>
      <c r="I4" s="37"/>
      <c r="J4" s="37"/>
    </row>
    <row r="7" spans="1:10">
      <c r="A7" t="s">
        <v>1618</v>
      </c>
    </row>
    <row r="8" spans="1:10">
      <c r="A8" s="290" t="s">
        <v>1611</v>
      </c>
      <c r="B8" s="291"/>
      <c r="C8" s="291"/>
      <c r="D8" s="291"/>
      <c r="E8" s="291"/>
      <c r="F8" s="291"/>
      <c r="G8" s="292"/>
    </row>
    <row r="9" spans="1:10">
      <c r="A9" s="293" t="s">
        <v>1612</v>
      </c>
      <c r="B9" s="294" t="s">
        <v>1613</v>
      </c>
      <c r="C9" s="295"/>
      <c r="D9" s="296"/>
      <c r="E9" s="294" t="s">
        <v>1614</v>
      </c>
      <c r="F9" s="295"/>
      <c r="G9" s="297"/>
    </row>
    <row r="10" spans="1:10">
      <c r="A10" s="298"/>
      <c r="B10" s="299" t="s">
        <v>1615</v>
      </c>
      <c r="C10" s="299" t="s">
        <v>1616</v>
      </c>
      <c r="D10" s="299" t="s">
        <v>1617</v>
      </c>
      <c r="E10" s="299" t="s">
        <v>1615</v>
      </c>
      <c r="F10" s="299" t="s">
        <v>1616</v>
      </c>
      <c r="G10" s="300" t="s">
        <v>1617</v>
      </c>
    </row>
    <row r="11" spans="1:10">
      <c r="A11" s="301" t="s">
        <v>7</v>
      </c>
      <c r="B11" s="304">
        <f>'5300_기타유동부채'!H12</f>
        <v>2004815438</v>
      </c>
      <c r="C11" s="302">
        <v>0</v>
      </c>
      <c r="D11" s="304">
        <f>SUM(B11:C11)</f>
        <v>2004815438</v>
      </c>
      <c r="E11" s="302">
        <f>'5300_기타유동부채'!B12</f>
        <v>1534681919</v>
      </c>
      <c r="F11" s="302">
        <v>0</v>
      </c>
      <c r="G11" s="303">
        <f>SUM(E11:F11)</f>
        <v>1534681919</v>
      </c>
    </row>
    <row r="12" spans="1:10">
      <c r="A12" s="301" t="s">
        <v>11</v>
      </c>
      <c r="B12" s="302">
        <f>'5300_기타유동부채'!H13</f>
        <v>641919463</v>
      </c>
      <c r="C12" s="302">
        <v>0</v>
      </c>
      <c r="D12" s="302">
        <f>SUM(B12:C12)</f>
        <v>641919463</v>
      </c>
      <c r="E12" s="302">
        <f>'5300_기타유동부채'!B13</f>
        <v>735115996</v>
      </c>
      <c r="F12" s="302">
        <v>0</v>
      </c>
      <c r="G12" s="303">
        <f>SUM(E12:F12)</f>
        <v>735115996</v>
      </c>
    </row>
    <row r="15" spans="1:10">
      <c r="A15" t="s">
        <v>1619</v>
      </c>
    </row>
    <row r="16" spans="1:10">
      <c r="A16" s="305" t="s">
        <v>1611</v>
      </c>
      <c r="B16" s="305"/>
      <c r="C16" s="305"/>
      <c r="D16" s="305"/>
      <c r="E16" s="305"/>
      <c r="F16" s="305"/>
      <c r="G16" s="305"/>
    </row>
    <row r="17" spans="1:7">
      <c r="A17" s="306" t="s">
        <v>1612</v>
      </c>
      <c r="B17" s="306" t="s">
        <v>1613</v>
      </c>
      <c r="C17" s="306"/>
      <c r="D17" s="306"/>
      <c r="E17" s="306" t="s">
        <v>1614</v>
      </c>
      <c r="F17" s="306"/>
      <c r="G17" s="306"/>
    </row>
    <row r="18" spans="1:7">
      <c r="A18" s="306"/>
      <c r="B18" s="307" t="s">
        <v>1620</v>
      </c>
      <c r="C18" s="307" t="s">
        <v>1621</v>
      </c>
      <c r="D18" s="307" t="s">
        <v>1592</v>
      </c>
      <c r="E18" s="307" t="s">
        <v>1620</v>
      </c>
      <c r="F18" s="307" t="s">
        <v>1621</v>
      </c>
      <c r="G18" s="307" t="s">
        <v>1592</v>
      </c>
    </row>
    <row r="19" spans="1:7">
      <c r="A19" s="308" t="s">
        <v>64</v>
      </c>
      <c r="B19" s="309">
        <f>'5300_기타유동부채'!H14</f>
        <v>1331816</v>
      </c>
      <c r="C19" s="309"/>
      <c r="D19" s="309">
        <f>SUM(B19:C19)</f>
        <v>1331816</v>
      </c>
      <c r="E19" s="309">
        <f>'5300_기타유동부채'!B14</f>
        <v>1331816</v>
      </c>
      <c r="F19" s="309"/>
      <c r="G19" s="310">
        <f>SUM(E19:F19)</f>
        <v>1331816</v>
      </c>
    </row>
    <row r="20" spans="1:7">
      <c r="A20" s="308" t="s">
        <v>8</v>
      </c>
      <c r="B20" s="311">
        <f>'5300_기타유동부채'!H15</f>
        <v>58575095</v>
      </c>
      <c r="C20" s="309"/>
      <c r="D20" s="311">
        <f t="shared" ref="D20" si="0">SUM(B20:C20)</f>
        <v>58575095</v>
      </c>
      <c r="E20" s="309">
        <f>'5300_기타유동부채'!B15</f>
        <v>67274989</v>
      </c>
      <c r="F20" s="309"/>
      <c r="G20" s="310">
        <f t="shared" ref="G20" si="1">SUM(E20:F20)</f>
        <v>67274989</v>
      </c>
    </row>
  </sheetData>
  <mergeCells count="13">
    <mergeCell ref="A9:A10"/>
    <mergeCell ref="B9:D9"/>
    <mergeCell ref="E9:G9"/>
    <mergeCell ref="A16:G16"/>
    <mergeCell ref="A17:A18"/>
    <mergeCell ref="B17:D17"/>
    <mergeCell ref="E17:G17"/>
    <mergeCell ref="A1:J1"/>
    <mergeCell ref="A2:F2"/>
    <mergeCell ref="G2:J2"/>
    <mergeCell ref="A3:J3"/>
    <mergeCell ref="A4:J4"/>
    <mergeCell ref="A8:G8"/>
  </mergeCells>
  <phoneticPr fontId="9" type="noConversion"/>
  <conditionalFormatting sqref="A8:G12 A16:G20">
    <cfRule type="containsText" dxfId="1" priority="3" operator="containsText" text="FALSE">
      <formula>NOT(ISERROR(SEARCH("FALSE",A8)))</formula>
    </cfRule>
    <cfRule type="containsText" dxfId="0" priority="4" operator="containsText" text="TRUE">
      <formula>NOT(ISERROR(SEARCH("TRUE",A8)))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5300_기타유동부채</vt:lpstr>
      <vt:lpstr>5300-계정명세_미지급금</vt:lpstr>
      <vt:lpstr>5300-계정명세_미지급금(사원)상세</vt:lpstr>
      <vt:lpstr>5300_계정명세_예수금</vt:lpstr>
      <vt:lpstr>5300_계정명세_일반선수금</vt:lpstr>
      <vt:lpstr>5300-계정명세_미지급비용</vt:lpstr>
      <vt:lpstr>5300_기타유동부채_총계정원장</vt:lpstr>
      <vt:lpstr>5300_주석</vt:lpstr>
      <vt:lpstr>'5300_계정명세_예수금'!Print_Area</vt:lpstr>
      <vt:lpstr>'5300_계정명세_일반선수금'!Print_Area</vt:lpstr>
      <vt:lpstr>'5300-계정명세_미지급금'!Print_Area</vt:lpstr>
      <vt:lpstr>'5300-계정명세_미지급비용'!Print_Area</vt:lpstr>
      <vt:lpstr>'5300_계정명세_일반선수금'!Print_Titles</vt:lpstr>
      <vt:lpstr>'5300-계정명세_미지급금'!Print_Titles</vt:lpstr>
      <vt:lpstr>'5300-계정명세_미지급비용'!Print_Titles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2026-07-30T15:11:11Z</dcterms:modified>
</cp:coreProperties>
</file>