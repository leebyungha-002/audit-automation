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C1B27749-FD23-4DFE-973D-6CC61F1CE08F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5600_기타비유동부채" sheetId="27" r:id="rId1"/>
    <sheet name="5600_장기미지급비용" sheetId="28" r:id="rId2"/>
    <sheet name="5600_수입보증금" sheetId="29" r:id="rId3"/>
    <sheet name="5600_임대보증금" sheetId="30" r:id="rId4"/>
    <sheet name="5600_주석" sheetId="3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_" localSheetId="1">#REF!</definedName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 localSheetId="1">[2]시산표!#REF!</definedName>
    <definedName name="____TB112">#REF!</definedName>
    <definedName name="____TB115" localSheetId="1">[3]시산표!#REF!</definedName>
    <definedName name="____TB115">#REF!</definedName>
    <definedName name="____TB124" localSheetId="1">[3]시산표!#REF!</definedName>
    <definedName name="____TB124">#REF!</definedName>
    <definedName name="____TB125" localSheetId="1">[3]시산표!#REF!</definedName>
    <definedName name="____TB125">#REF!</definedName>
    <definedName name="____TB126" localSheetId="1">[3]시산표!#REF!</definedName>
    <definedName name="____TB126">#REF!</definedName>
    <definedName name="____TB131" localSheetId="1">[3]시산표!#REF!</definedName>
    <definedName name="____TB131">#REF!</definedName>
    <definedName name="____TB132" localSheetId="1">[3]시산표!#REF!</definedName>
    <definedName name="____TB132">#REF!</definedName>
    <definedName name="____TB211" localSheetId="1">[3]시산표!#REF!</definedName>
    <definedName name="____TB211">#REF!</definedName>
    <definedName name="____TB213" localSheetId="1">[3]시산표!#REF!</definedName>
    <definedName name="____TB213">#REF!</definedName>
    <definedName name="____TB214" localSheetId="1">[3]시산표!#REF!</definedName>
    <definedName name="____TB214">#REF!</definedName>
    <definedName name="____TB215" localSheetId="1">[3]시산표!#REF!</definedName>
    <definedName name="____TB215">#REF!</definedName>
    <definedName name="____TB221" localSheetId="1">[3]시산표!#REF!</definedName>
    <definedName name="____TB221">#REF!</definedName>
    <definedName name="____TB2210" localSheetId="1">[2]시산표!#REF!</definedName>
    <definedName name="____TB2210">#REF!</definedName>
    <definedName name="____TB222" localSheetId="1">[3]시산표!#REF!</definedName>
    <definedName name="____TB222">#REF!</definedName>
    <definedName name="____TB223" localSheetId="1">[3]시산표!#REF!</definedName>
    <definedName name="____TB223">#REF!</definedName>
    <definedName name="____TB224" localSheetId="1">[3]시산표!#REF!</definedName>
    <definedName name="____TB224">#REF!</definedName>
    <definedName name="____TB225" localSheetId="1">[2]시산표!#REF!</definedName>
    <definedName name="____TB225">#REF!</definedName>
    <definedName name="____TB227" localSheetId="1">[2]시산표!#REF!</definedName>
    <definedName name="____TB227">#REF!</definedName>
    <definedName name="____TB229" localSheetId="1">[2]시산표!#REF!</definedName>
    <definedName name="____TB229">#REF!</definedName>
    <definedName name="____TB311" localSheetId="1">[3]시산표!#REF!</definedName>
    <definedName name="____TB311">#REF!</definedName>
    <definedName name="____TB313" localSheetId="1">[3]시산표!#REF!</definedName>
    <definedName name="____TB313">#REF!</definedName>
    <definedName name="____TB317" localSheetId="1">[3]시산표!#REF!</definedName>
    <definedName name="____TB317">#REF!</definedName>
    <definedName name="____TB318" localSheetId="1">[3]시산표!#REF!</definedName>
    <definedName name="____TB318">#REF!</definedName>
    <definedName name="____TB319" localSheetId="1">[2]시산표!#REF!</definedName>
    <definedName name="____TB319">#REF!</definedName>
    <definedName name="____TB322" localSheetId="1">[3]시산표!#REF!</definedName>
    <definedName name="____TB322">#REF!</definedName>
    <definedName name="____TB323" localSheetId="1">[3]시산표!#REF!</definedName>
    <definedName name="____TB323">#REF!</definedName>
    <definedName name="____TB324" localSheetId="1">[3]시산표!#REF!</definedName>
    <definedName name="____TB324">#REF!</definedName>
    <definedName name="____TB325" localSheetId="1">[3]시산표!#REF!</definedName>
    <definedName name="____TB325">#REF!</definedName>
    <definedName name="____TB401" localSheetId="1">[3]시산표!#REF!</definedName>
    <definedName name="____TB401">#REF!</definedName>
    <definedName name="____TB402" localSheetId="1">[3]시산표!#REF!</definedName>
    <definedName name="____TB402">#REF!</definedName>
    <definedName name="____TB403" localSheetId="1">[3]시산표!#REF!</definedName>
    <definedName name="____TB403">#REF!</definedName>
    <definedName name="____TB404" localSheetId="1">[3]시산표!#REF!</definedName>
    <definedName name="____TB404">#REF!</definedName>
    <definedName name="____TB405" localSheetId="1">[3]시산표!#REF!</definedName>
    <definedName name="____TB405">#REF!</definedName>
    <definedName name="____TB510" localSheetId="1">[2]시산표!#REF!</definedName>
    <definedName name="____TB510">#REF!</definedName>
    <definedName name="____TB511" localSheetId="1">[3]시산표!#REF!</definedName>
    <definedName name="____TB511">#REF!</definedName>
    <definedName name="____TB601" localSheetId="1">[3]시산표!#REF!</definedName>
    <definedName name="____TB601">#REF!</definedName>
    <definedName name="____TB604" localSheetId="1">[3]시산표!#REF!</definedName>
    <definedName name="____TB604">#REF!</definedName>
    <definedName name="____TB605" localSheetId="1">[3]시산표!#REF!</definedName>
    <definedName name="____TB605">#REF!</definedName>
    <definedName name="____TB811" localSheetId="1">[3]시산표!#REF!</definedName>
    <definedName name="____TB811">#REF!</definedName>
    <definedName name="____TB812" localSheetId="1">[3]시산표!#REF!</definedName>
    <definedName name="____TB812">#REF!</definedName>
    <definedName name="____TB813" localSheetId="1">[3]시산표!#REF!</definedName>
    <definedName name="____TB813">#REF!</definedName>
    <definedName name="____TB814" localSheetId="1">[3]시산표!#REF!</definedName>
    <definedName name="____TB814">#REF!</definedName>
    <definedName name="____TB820" localSheetId="1">[3]시산표!#REF!</definedName>
    <definedName name="____TB820">#REF!</definedName>
    <definedName name="____TBI1001" localSheetId="1">[3]시산표!#REF!</definedName>
    <definedName name="____TBI1001">#REF!</definedName>
    <definedName name="____TBI1002" localSheetId="1">[3]시산표!#REF!</definedName>
    <definedName name="____TBI1002">#REF!</definedName>
    <definedName name="____TBI1003" localSheetId="1">[3]시산표!#REF!</definedName>
    <definedName name="____TBI1003">#REF!</definedName>
    <definedName name="____TBI1004" localSheetId="1">[3]시산표!#REF!</definedName>
    <definedName name="____TBI1004">#REF!</definedName>
    <definedName name="____TBI1005" localSheetId="1">[3]시산표!#REF!</definedName>
    <definedName name="____TBI1005">#REF!</definedName>
    <definedName name="____TBI102" localSheetId="1">[3]시산표!#REF!</definedName>
    <definedName name="____TBI102">#REF!</definedName>
    <definedName name="____TBI1200" localSheetId="1">[3]시산표!#REF!</definedName>
    <definedName name="____TBI1200">#REF!</definedName>
    <definedName name="____TBI403" localSheetId="1">[2]시산표!#REF!</definedName>
    <definedName name="____TBI403">#REF!</definedName>
    <definedName name="____TBI425" localSheetId="1">[3]시산표!#REF!</definedName>
    <definedName name="____TBI425">#REF!</definedName>
    <definedName name="____TBI603" localSheetId="1">[3]시산표!#REF!</definedName>
    <definedName name="____TBI603">#REF!</definedName>
    <definedName name="____TBI604" localSheetId="1">[3]시산표!#REF!</definedName>
    <definedName name="____TBI604">#REF!</definedName>
    <definedName name="____TBI605" localSheetId="1">[3]시산표!#REF!</definedName>
    <definedName name="____TBI605">#REF!</definedName>
    <definedName name="____TBI606" localSheetId="1">[3]시산표!#REF!</definedName>
    <definedName name="____TBI606">#REF!</definedName>
    <definedName name="____TBI607" localSheetId="1">[3]시산표!#REF!</definedName>
    <definedName name="____TBI607">#REF!</definedName>
    <definedName name="____TBI608" localSheetId="1">[3]시산표!#REF!</definedName>
    <definedName name="____TBI608">#REF!</definedName>
    <definedName name="____TBI609" localSheetId="1">[3]시산표!#REF!</definedName>
    <definedName name="____TBI609">#REF!</definedName>
    <definedName name="____TBI611" localSheetId="1">[3]시산표!#REF!</definedName>
    <definedName name="____TBI611">#REF!</definedName>
    <definedName name="____TBI613" localSheetId="1">[3]시산표!#REF!</definedName>
    <definedName name="____TBI613">#REF!</definedName>
    <definedName name="____TBI703" localSheetId="1">[3]시산표!#REF!</definedName>
    <definedName name="____TBI703">#REF!</definedName>
    <definedName name="____TBI704" localSheetId="1">[3]시산표!#REF!</definedName>
    <definedName name="____TBI704">#REF!</definedName>
    <definedName name="____TBI705" localSheetId="1">[3]시산표!#REF!</definedName>
    <definedName name="____TBI705">#REF!</definedName>
    <definedName name="____TBI706" localSheetId="1">[3]시산표!#REF!</definedName>
    <definedName name="____TBI706">#REF!</definedName>
    <definedName name="____TBI707" localSheetId="1">[3]시산표!#REF!</definedName>
    <definedName name="____TBI707">#REF!</definedName>
    <definedName name="____TBI708" localSheetId="1">[3]시산표!#REF!</definedName>
    <definedName name="____TBI708">#REF!</definedName>
    <definedName name="____TBI710" localSheetId="1">[3]시산표!#REF!</definedName>
    <definedName name="____TBI710">#REF!</definedName>
    <definedName name="____TBI711" localSheetId="1">[3]시산표!#REF!</definedName>
    <definedName name="____TBI711">#REF!</definedName>
    <definedName name="____TBI712" localSheetId="1">[3]시산표!#REF!</definedName>
    <definedName name="____TBI712">#REF!</definedName>
    <definedName name="____TBI713" localSheetId="1">[3]시산표!#REF!</definedName>
    <definedName name="____TBI713">#REF!</definedName>
    <definedName name="____TBI715" localSheetId="1">[3]시산표!#REF!</definedName>
    <definedName name="____TBI715">#REF!</definedName>
    <definedName name="____TBI717" localSheetId="1">[2]시산표!#REF!</definedName>
    <definedName name="____TBI717">#REF!</definedName>
    <definedName name="____TBI719" localSheetId="1">[2]시산표!#REF!</definedName>
    <definedName name="____TBI719">#REF!</definedName>
    <definedName name="____TBI903" localSheetId="1">[3]시산표!#REF!</definedName>
    <definedName name="____TBI903">#REF!</definedName>
    <definedName name="____TBI904" localSheetId="1">[3]시산표!#REF!</definedName>
    <definedName name="____TBI904">#REF!</definedName>
    <definedName name="____TBI905" localSheetId="1">[3]시산표!#REF!</definedName>
    <definedName name="____TBI905">#REF!</definedName>
    <definedName name="____TBI906" localSheetId="1">[3]시산표!#REF!</definedName>
    <definedName name="____TBI906">#REF!</definedName>
    <definedName name="____TBI907" localSheetId="1">[3]시산표!#REF!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 localSheetId="1">#REF!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 localSheetId="1">#REF!</definedName>
    <definedName name="___AA1">#REF!</definedName>
    <definedName name="___ADJ1" localSheetId="1">#REF!</definedName>
    <definedName name="___ADJ1">#REF!</definedName>
    <definedName name="___ADJ3" localSheetId="1">#REF!</definedName>
    <definedName name="___ADJ3">#REF!</definedName>
    <definedName name="___ADJ4" localSheetId="1">#REF!</definedName>
    <definedName name="___ADJ4">#REF!</definedName>
    <definedName name="___ADJ5" localSheetId="1">#REF!</definedName>
    <definedName name="___ADJ5">#REF!</definedName>
    <definedName name="___ADJ6" localSheetId="1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 localSheetId="1">#REF!</definedName>
    <definedName name="___bs2">#REF!</definedName>
    <definedName name="___C111142" localSheetId="1">#REF!</definedName>
    <definedName name="___C111142">#REF!</definedName>
    <definedName name="___C199999" localSheetId="1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 localSheetId="1">#REF!</definedName>
    <definedName name="___EUR3">#REF!</definedName>
    <definedName name="___EUR4" localSheetId="1">#REF!</definedName>
    <definedName name="___EUR4">#REF!</definedName>
    <definedName name="___fa2" hidden="1">{"'Sheet1'!$A$1:$H$36"}</definedName>
    <definedName name="___FAB6" hidden="1">#REF!</definedName>
    <definedName name="___H31285" localSheetId="1">[4]업무연락!#REF!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 localSheetId="1">#REF!</definedName>
    <definedName name="___HKD2">#REF!</definedName>
    <definedName name="___HKD3" localSheetId="1">#REF!</definedName>
    <definedName name="___HKD3">#REF!</definedName>
    <definedName name="___HKD5" localSheetId="1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 localSheetId="1">BlankMacro1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 localSheetId="1">[5]작업통제용!#REF!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 localSheetId="1">[2]시산표!#REF!</definedName>
    <definedName name="___TB112">#REF!</definedName>
    <definedName name="___TB113">#REF!</definedName>
    <definedName name="___TB114">#REF!</definedName>
    <definedName name="___TB115" localSheetId="1">[3]시산표!#REF!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 localSheetId="1">[3]시산표!#REF!</definedName>
    <definedName name="___TB124">#REF!</definedName>
    <definedName name="___TB125" localSheetId="1">[3]시산표!#REF!</definedName>
    <definedName name="___TB125">#REF!</definedName>
    <definedName name="___TB126" localSheetId="1">[3]시산표!#REF!</definedName>
    <definedName name="___TB126">#REF!</definedName>
    <definedName name="___TB131" localSheetId="1">[3]시산표!#REF!</definedName>
    <definedName name="___TB131">#REF!</definedName>
    <definedName name="___TB132" localSheetId="1">[3]시산표!#REF!</definedName>
    <definedName name="___TB132">#REF!</definedName>
    <definedName name="___TB211" localSheetId="1">[3]시산표!#REF!</definedName>
    <definedName name="___TB211">#REF!</definedName>
    <definedName name="___TB212">#REF!</definedName>
    <definedName name="___TB213" localSheetId="1">[3]시산표!#REF!</definedName>
    <definedName name="___TB213">#REF!</definedName>
    <definedName name="___TB214" localSheetId="1">[3]시산표!#REF!</definedName>
    <definedName name="___TB214">#REF!</definedName>
    <definedName name="___TB215" localSheetId="1">[3]시산표!#REF!</definedName>
    <definedName name="___TB215">#REF!</definedName>
    <definedName name="___TB221" localSheetId="1">[3]시산표!#REF!</definedName>
    <definedName name="___TB221">#REF!</definedName>
    <definedName name="___TB2210" localSheetId="1">[2]시산표!#REF!</definedName>
    <definedName name="___TB2210">#REF!</definedName>
    <definedName name="___TB222" localSheetId="1">[3]시산표!#REF!</definedName>
    <definedName name="___TB222">#REF!</definedName>
    <definedName name="___TB223" localSheetId="1">[3]시산표!#REF!</definedName>
    <definedName name="___TB223">#REF!</definedName>
    <definedName name="___TB224" localSheetId="1">[3]시산표!#REF!</definedName>
    <definedName name="___TB224">#REF!</definedName>
    <definedName name="___TB225" localSheetId="1">[2]시산표!#REF!</definedName>
    <definedName name="___TB225">#REF!</definedName>
    <definedName name="___TB226">#REF!</definedName>
    <definedName name="___TB227" localSheetId="1">[2]시산표!#REF!</definedName>
    <definedName name="___TB227">#REF!</definedName>
    <definedName name="___TB228">#REF!</definedName>
    <definedName name="___TB229" localSheetId="1">[2]시산표!#REF!</definedName>
    <definedName name="___TB229">#REF!</definedName>
    <definedName name="___TB311" localSheetId="1">[3]시산표!#REF!</definedName>
    <definedName name="___TB311">#REF!</definedName>
    <definedName name="___TB312">#REF!</definedName>
    <definedName name="___TB313" localSheetId="1">[3]시산표!#REF!</definedName>
    <definedName name="___TB313">#REF!</definedName>
    <definedName name="___TB314">#REF!</definedName>
    <definedName name="___TB315">#REF!</definedName>
    <definedName name="___TB316">#REF!</definedName>
    <definedName name="___TB317" localSheetId="1">[3]시산표!#REF!</definedName>
    <definedName name="___TB317">#REF!</definedName>
    <definedName name="___TB318" localSheetId="1">[3]시산표!#REF!</definedName>
    <definedName name="___TB318">#REF!</definedName>
    <definedName name="___TB319" localSheetId="1">[2]시산표!#REF!</definedName>
    <definedName name="___TB319">#REF!</definedName>
    <definedName name="___TB321">#REF!</definedName>
    <definedName name="___TB322" localSheetId="1">[3]시산표!#REF!</definedName>
    <definedName name="___TB322">#REF!</definedName>
    <definedName name="___TB323" localSheetId="1">[3]시산표!#REF!</definedName>
    <definedName name="___TB323">#REF!</definedName>
    <definedName name="___TB324" localSheetId="1">[3]시산표!#REF!</definedName>
    <definedName name="___TB324">#REF!</definedName>
    <definedName name="___TB325" localSheetId="1">[3]시산표!#REF!</definedName>
    <definedName name="___TB325">#REF!</definedName>
    <definedName name="___TB401" localSheetId="1">[3]시산표!#REF!</definedName>
    <definedName name="___TB401">#REF!</definedName>
    <definedName name="___TB402" localSheetId="1">[3]시산표!#REF!</definedName>
    <definedName name="___TB402">#REF!</definedName>
    <definedName name="___TB403" localSheetId="1">[3]시산표!#REF!</definedName>
    <definedName name="___TB403">#REF!</definedName>
    <definedName name="___TB404" localSheetId="1">[3]시산표!#REF!</definedName>
    <definedName name="___TB404">#REF!</definedName>
    <definedName name="___TB405" localSheetId="1">[3]시산표!#REF!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 localSheetId="1">[2]시산표!#REF!</definedName>
    <definedName name="___TB510">#REF!</definedName>
    <definedName name="___TB511" localSheetId="1">[3]시산표!#REF!</definedName>
    <definedName name="___TB511">#REF!</definedName>
    <definedName name="___TB512">#REF!</definedName>
    <definedName name="___TB513">#REF!</definedName>
    <definedName name="___TB601" localSheetId="1">[3]시산표!#REF!</definedName>
    <definedName name="___TB601">#REF!</definedName>
    <definedName name="___TB602">#REF!</definedName>
    <definedName name="___TB603">#REF!</definedName>
    <definedName name="___TB604" localSheetId="1">[3]시산표!#REF!</definedName>
    <definedName name="___TB604">#REF!</definedName>
    <definedName name="___TB605" localSheetId="1">[3]시산표!#REF!</definedName>
    <definedName name="___TB605">#REF!</definedName>
    <definedName name="___TB701">#REF!</definedName>
    <definedName name="___TB811" localSheetId="1">[3]시산표!#REF!</definedName>
    <definedName name="___TB811">#REF!</definedName>
    <definedName name="___TB812" localSheetId="1">[3]시산표!#REF!</definedName>
    <definedName name="___TB812">#REF!</definedName>
    <definedName name="___TB813" localSheetId="1">[3]시산표!#REF!</definedName>
    <definedName name="___TB813">#REF!</definedName>
    <definedName name="___TB814" localSheetId="1">[3]시산표!#REF!</definedName>
    <definedName name="___TB814">#REF!</definedName>
    <definedName name="___TB820" localSheetId="1">[3]시산표!#REF!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 localSheetId="1">[3]시산표!#REF!</definedName>
    <definedName name="___TBI1001">#REF!</definedName>
    <definedName name="___TBI1002" localSheetId="1">[3]시산표!#REF!</definedName>
    <definedName name="___TBI1002">#REF!</definedName>
    <definedName name="___TBI1003" localSheetId="1">[3]시산표!#REF!</definedName>
    <definedName name="___TBI1003">#REF!</definedName>
    <definedName name="___TBI1004" localSheetId="1">[3]시산표!#REF!</definedName>
    <definedName name="___TBI1004">#REF!</definedName>
    <definedName name="___TBI1005" localSheetId="1">[3]시산표!#REF!</definedName>
    <definedName name="___TBI1005">#REF!</definedName>
    <definedName name="___TBI101">#REF!</definedName>
    <definedName name="___TBI102" localSheetId="1">[3]시산표!#REF!</definedName>
    <definedName name="___TBI102">#REF!</definedName>
    <definedName name="___TBI1100">#REF!</definedName>
    <definedName name="___TBI1200" localSheetId="1">[3]시산표!#REF!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 localSheetId="1">[2]시산표!#REF!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 localSheetId="1">[3]시산표!#REF!</definedName>
    <definedName name="___TBI425">#REF!</definedName>
    <definedName name="___TBI601">#REF!</definedName>
    <definedName name="___TBI602">#REF!</definedName>
    <definedName name="___TBI603" localSheetId="1">[3]시산표!#REF!</definedName>
    <definedName name="___TBI603">#REF!</definedName>
    <definedName name="___TBI604" localSheetId="1">[3]시산표!#REF!</definedName>
    <definedName name="___TBI604">#REF!</definedName>
    <definedName name="___TBI605" localSheetId="1">[3]시산표!#REF!</definedName>
    <definedName name="___TBI605">#REF!</definedName>
    <definedName name="___TBI606" localSheetId="1">[3]시산표!#REF!</definedName>
    <definedName name="___TBI606">#REF!</definedName>
    <definedName name="___TBI607" localSheetId="1">[3]시산표!#REF!</definedName>
    <definedName name="___TBI607">#REF!</definedName>
    <definedName name="___TBI608" localSheetId="1">[3]시산표!#REF!</definedName>
    <definedName name="___TBI608">#REF!</definedName>
    <definedName name="___TBI609" localSheetId="1">[3]시산표!#REF!</definedName>
    <definedName name="___TBI609">#REF!</definedName>
    <definedName name="___TBI610">#REF!</definedName>
    <definedName name="___TBI611" localSheetId="1">[3]시산표!#REF!</definedName>
    <definedName name="___TBI611">#REF!</definedName>
    <definedName name="___TBI612">#REF!</definedName>
    <definedName name="___TBI613" localSheetId="1">[3]시산표!#REF!</definedName>
    <definedName name="___TBI613">#REF!</definedName>
    <definedName name="___TBI614">#REF!</definedName>
    <definedName name="___TBI701">#REF!</definedName>
    <definedName name="___TBI702">#REF!</definedName>
    <definedName name="___TBI703" localSheetId="1">[3]시산표!#REF!</definedName>
    <definedName name="___TBI703">#REF!</definedName>
    <definedName name="___TBI704" localSheetId="1">[3]시산표!#REF!</definedName>
    <definedName name="___TBI704">#REF!</definedName>
    <definedName name="___TBI705" localSheetId="1">[3]시산표!#REF!</definedName>
    <definedName name="___TBI705">#REF!</definedName>
    <definedName name="___TBI706" localSheetId="1">[3]시산표!#REF!</definedName>
    <definedName name="___TBI706">#REF!</definedName>
    <definedName name="___TBI707" localSheetId="1">[3]시산표!#REF!</definedName>
    <definedName name="___TBI707">#REF!</definedName>
    <definedName name="___TBI708" localSheetId="1">[3]시산표!#REF!</definedName>
    <definedName name="___TBI708">#REF!</definedName>
    <definedName name="___TBI709">#REF!</definedName>
    <definedName name="___TBI710" localSheetId="1">[3]시산표!#REF!</definedName>
    <definedName name="___TBI710">#REF!</definedName>
    <definedName name="___TBI711" localSheetId="1">[3]시산표!#REF!</definedName>
    <definedName name="___TBI711">#REF!</definedName>
    <definedName name="___TBI712" localSheetId="1">[3]시산표!#REF!</definedName>
    <definedName name="___TBI712">#REF!</definedName>
    <definedName name="___TBI713" localSheetId="1">[3]시산표!#REF!</definedName>
    <definedName name="___TBI713">#REF!</definedName>
    <definedName name="___TBI714">#REF!</definedName>
    <definedName name="___TBI715" localSheetId="1">[3]시산표!#REF!</definedName>
    <definedName name="___TBI715">#REF!</definedName>
    <definedName name="___TBI716">#REF!</definedName>
    <definedName name="___TBI717" localSheetId="1">[2]시산표!#REF!</definedName>
    <definedName name="___TBI717">#REF!</definedName>
    <definedName name="___TBI718">#REF!</definedName>
    <definedName name="___TBI719" localSheetId="1">[2]시산표!#REF!</definedName>
    <definedName name="___TBI719">#REF!</definedName>
    <definedName name="___TBI901">#REF!</definedName>
    <definedName name="___TBI902">#REF!</definedName>
    <definedName name="___TBI903" localSheetId="1">[3]시산표!#REF!</definedName>
    <definedName name="___TBI903">#REF!</definedName>
    <definedName name="___TBI904" localSheetId="1">[3]시산표!#REF!</definedName>
    <definedName name="___TBI904">#REF!</definedName>
    <definedName name="___TBI905" localSheetId="1">[3]시산표!#REF!</definedName>
    <definedName name="___TBI905">#REF!</definedName>
    <definedName name="___TBI906" localSheetId="1">[3]시산표!#REF!</definedName>
    <definedName name="___TBI906">#REF!</definedName>
    <definedName name="___TBI907" localSheetId="1">[3]시산표!#REF!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 localSheetId="1">#REF!</definedName>
    <definedName name="___USD1">#REF!</definedName>
    <definedName name="___USD2" localSheetId="1">#REF!</definedName>
    <definedName name="___USD2">#REF!</definedName>
    <definedName name="___USD3" localSheetId="1">#REF!</definedName>
    <definedName name="___USD3">#REF!</definedName>
    <definedName name="___USD4" localSheetId="1">#REF!</definedName>
    <definedName name="___USD4">#REF!</definedName>
    <definedName name="___USD5" localSheetId="1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localSheetId="2" hidden="1">[6]시산표!#REF!</definedName>
    <definedName name="__123Graph_A" localSheetId="1" hidden="1">[6]시산표!#REF!</definedName>
    <definedName name="__123Graph_A" hidden="1">#REF!</definedName>
    <definedName name="__123Graph_A그래프2" hidden="1">#REF!</definedName>
    <definedName name="__123Graph_B" localSheetId="2" hidden="1">[6]시산표!#REF!</definedName>
    <definedName name="__123Graph_B" localSheetId="1" hidden="1">[6]시산표!#REF!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localSheetId="2" hidden="1">[6]시산표!#REF!</definedName>
    <definedName name="__123Graph_LBL_A" localSheetId="1" hidden="1">[6]시산표!#REF!</definedName>
    <definedName name="__123Graph_LBL_A" hidden="1">#REF!</definedName>
    <definedName name="__123Graph_LBL_B" localSheetId="2" hidden="1">[6]시산표!#REF!</definedName>
    <definedName name="__123Graph_LBL_B" localSheetId="1" hidden="1">[6]시산표!#REF!</definedName>
    <definedName name="__123Graph_LBL_B" hidden="1">#REF!</definedName>
    <definedName name="__123Graph_LBL_E" hidden="1">#REF!</definedName>
    <definedName name="__123Graph_X" localSheetId="2" hidden="1">[6]시산표!#REF!</definedName>
    <definedName name="__123Graph_X" localSheetId="1" hidden="1">[6]시산표!#REF!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 localSheetId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 localSheetId="1">'[7]000000'!#REF!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 localSheetId="1">#REF!</definedName>
    <definedName name="__AA1">#REF!</definedName>
    <definedName name="__ADJ1" localSheetId="1">#REF!</definedName>
    <definedName name="__ADJ1">#REF!</definedName>
    <definedName name="__ADJ2" localSheetId="1">#REF!</definedName>
    <definedName name="__ADJ2">#REF!</definedName>
    <definedName name="__ADJ3" localSheetId="1">#REF!</definedName>
    <definedName name="__ADJ3">#REF!</definedName>
    <definedName name="__ADJ4" localSheetId="1">#REF!</definedName>
    <definedName name="__ADJ4">#REF!</definedName>
    <definedName name="__ADJ5" localSheetId="1">#REF!</definedName>
    <definedName name="__ADJ5">#REF!</definedName>
    <definedName name="__ADJ6" localSheetId="1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 localSheetId="1">#REF!</definedName>
    <definedName name="__bs2">#REF!</definedName>
    <definedName name="__C111142" localSheetId="1">#REF!</definedName>
    <definedName name="__C111142">#REF!</definedName>
    <definedName name="__C199999" localSheetId="1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 localSheetId="1">#REF!</definedName>
    <definedName name="__EUR3">#REF!</definedName>
    <definedName name="__EUR4" localSheetId="1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 localSheetId="1">[4]업무연락!#REF!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 localSheetId="1">#REF!</definedName>
    <definedName name="__HKD2">#REF!</definedName>
    <definedName name="__HKD3" localSheetId="1">#REF!</definedName>
    <definedName name="__HKD3">#REF!</definedName>
    <definedName name="__HKD5" localSheetId="1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 localSheetId="1">BlankMacro1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 localSheetId="1">#REF!</definedName>
    <definedName name="__LN1">#REF!</definedName>
    <definedName name="__LN2" localSheetId="1">#REF!</definedName>
    <definedName name="__LN2">#REF!</definedName>
    <definedName name="__LN3" localSheetId="1">#REF!</definedName>
    <definedName name="__LN3">#REF!</definedName>
    <definedName name="__LN4" localSheetId="1">#REF!</definedName>
    <definedName name="__LN4">#REF!</definedName>
    <definedName name="__LN5" localSheetId="1">#REF!</definedName>
    <definedName name="__LN5">#REF!</definedName>
    <definedName name="__LN6" localSheetId="1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 localSheetId="1">[5]작업통제용!#REF!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 localSheetId="1">#REF!</definedName>
    <definedName name="__SEL1">#REF!</definedName>
    <definedName name="__SEL2" localSheetId="1">#REF!</definedName>
    <definedName name="__SEL2">#REF!</definedName>
    <definedName name="__SEL3" localSheetId="1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 localSheetId="1">#REF!</definedName>
    <definedName name="__USD1">#REF!</definedName>
    <definedName name="__USD2" localSheetId="1">#REF!</definedName>
    <definedName name="__USD2">#REF!</definedName>
    <definedName name="__USD3" localSheetId="1">#REF!</definedName>
    <definedName name="__USD3">#REF!</definedName>
    <definedName name="__USD4" localSheetId="1">#REF!</definedName>
    <definedName name="__USD4">#REF!</definedName>
    <definedName name="__USD5" localSheetId="1">#REF!</definedName>
    <definedName name="__USD5">#REF!</definedName>
    <definedName name="__xlfn.BAHTTEXT" hidden="1">#NAME?</definedName>
    <definedName name="__YP1" localSheetId="1">#REF!</definedName>
    <definedName name="__YP1">#REF!</definedName>
    <definedName name="__YP2" localSheetId="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 localSheetId="1">'[8]scale &amp; Income'!#REF!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 localSheetId="1">#REF!</definedName>
    <definedName name="_101600">#REF!</definedName>
    <definedName name="_102C_0PA" localSheetId="1">#REF!</definedName>
    <definedName name="_102C_0PA">#REF!</definedName>
    <definedName name="_10320" localSheetId="1">[9]만기!#REF!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 localSheetId="1">BlankMacro1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 localSheetId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 localSheetId="1">#REF!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 localSheetId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 localSheetId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 localSheetId="1">#REF!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 localSheetId="1">#REF!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 localSheetId="1">'[7]000000'!#REF!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 localSheetId="1">#REF!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 localSheetId="1">'[8]scale &amp; Income'!#REF!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 localSheetId="2">#REF!</definedName>
    <definedName name="_2000년입출고" localSheetId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 localSheetId="1">#REF!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 localSheetId="1">#REF!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 localSheetId="1">#REF!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 localSheetId="1">'[7]000000'!#REF!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 localSheetId="1">#REF!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 localSheetId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 localSheetId="1">'[8]scale &amp; Income'!#REF!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 localSheetId="1">#REF!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 localSheetId="1">#REF!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 localSheetId="1">#REF!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 localSheetId="1">#REF!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 localSheetId="1">#REF!</definedName>
    <definedName name="_4AA1_">#REF!</definedName>
    <definedName name="_4h1_" hidden="1">{"'표지'!$B$5"}</definedName>
    <definedName name="_4item" localSheetId="1">#REF!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 localSheetId="1">#REF!</definedName>
    <definedName name="_5bs2_">#REF!</definedName>
    <definedName name="_5h2_" hidden="1">{"'표지'!$B$5"}</definedName>
    <definedName name="_5item" localSheetId="1">#REF!</definedName>
    <definedName name="_5item">#REF!</definedName>
    <definedName name="_5K24_" localSheetId="1">BlankMacro1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 localSheetId="1">'[8]scale &amp; Income'!#REF!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 localSheetId="1">#REF!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 localSheetId="1">#REF!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 localSheetId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 localSheetId="1">#REF!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 localSheetId="1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 localSheetId="1">#REF!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 localSheetId="2">#REF!</definedName>
    <definedName name="_bs2" localSheetId="1">#REF!</definedName>
    <definedName name="_bs2">#REF!</definedName>
    <definedName name="_C111142" localSheetId="2">#REF!</definedName>
    <definedName name="_C111142" localSheetId="1">#REF!</definedName>
    <definedName name="_C111142">#REF!</definedName>
    <definedName name="_C199999" localSheetId="2">#REF!</definedName>
    <definedName name="_C199999" localSheetId="1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localSheetId="2" hidden="1">#REF!</definedName>
    <definedName name="_Fill" localSheetId="1" hidden="1">#REF!</definedName>
    <definedName name="_Fill" hidden="1">#REF!</definedName>
    <definedName name="_FILL1" hidden="1">#REF!</definedName>
    <definedName name="_xlnm._FilterDatabase" localSheetId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 localSheetId="1">BlankMacro1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localSheetId="2" hidden="1">#REF!</definedName>
    <definedName name="_Key1" localSheetId="1" hidden="1">#REF!</definedName>
    <definedName name="_Key1" hidden="1">#REF!</definedName>
    <definedName name="_Key11" hidden="1">#REF!</definedName>
    <definedName name="_Key2" localSheetId="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 localSheetId="1">#REF!</definedName>
    <definedName name="_LN1">#REF!</definedName>
    <definedName name="_LN2" localSheetId="1">#REF!</definedName>
    <definedName name="_LN2">#REF!</definedName>
    <definedName name="_LN3" localSheetId="1">#REF!</definedName>
    <definedName name="_LN3">#REF!</definedName>
    <definedName name="_LN4" localSheetId="1">#REF!</definedName>
    <definedName name="_LN4">#REF!</definedName>
    <definedName name="_LN5" localSheetId="1">#REF!</definedName>
    <definedName name="_LN5">#REF!</definedName>
    <definedName name="_LN6" localSheetId="1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 localSheetId="1">#REF!</definedName>
    <definedName name="_PAN1">#REF!</definedName>
    <definedName name="_PAN2" localSheetId="1">#REF!</definedName>
    <definedName name="_PAN2">#REF!</definedName>
    <definedName name="_PAN3" localSheetId="1">#REF!</definedName>
    <definedName name="_PAN3">#REF!</definedName>
    <definedName name="_PAN4" localSheetId="1">#REF!</definedName>
    <definedName name="_PAN4">#REF!</definedName>
    <definedName name="_Parse_In" hidden="1">#N/A</definedName>
    <definedName name="_Parse_Out" localSheetId="1" hidden="1">#REF!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 localSheetId="1">#REF!</definedName>
    <definedName name="_SEL1">#REF!</definedName>
    <definedName name="_SEL2" localSheetId="1">#REF!</definedName>
    <definedName name="_SEL2">#REF!</definedName>
    <definedName name="_SEL3" localSheetId="1">#REF!</definedName>
    <definedName name="_SEL3">#REF!</definedName>
    <definedName name="_sim1">#REF!</definedName>
    <definedName name="_sim2">#REF!</definedName>
    <definedName name="_Sort" localSheetId="2" hidden="1">#REF!</definedName>
    <definedName name="_Sort" localSheetId="1" hidden="1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 localSheetId="2">[2]시산표!#REF!</definedName>
    <definedName name="_TB112" localSheetId="1">[2]시산표!#REF!</definedName>
    <definedName name="_TB112">#REF!</definedName>
    <definedName name="_TB113">#REF!</definedName>
    <definedName name="_TB114">#REF!</definedName>
    <definedName name="_TB115" localSheetId="2">[3]시산표!#REF!</definedName>
    <definedName name="_TB115" localSheetId="1">[3]시산표!#REF!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 localSheetId="2">[3]시산표!#REF!</definedName>
    <definedName name="_TB124" localSheetId="1">[3]시산표!#REF!</definedName>
    <definedName name="_TB124">#REF!</definedName>
    <definedName name="_TB125" localSheetId="2">[3]시산표!#REF!</definedName>
    <definedName name="_TB125" localSheetId="1">[3]시산표!#REF!</definedName>
    <definedName name="_TB125">#REF!</definedName>
    <definedName name="_TB126" localSheetId="1">[3]시산표!#REF!</definedName>
    <definedName name="_TB126">#REF!</definedName>
    <definedName name="_TB131" localSheetId="1">[3]시산표!#REF!</definedName>
    <definedName name="_TB131">#REF!</definedName>
    <definedName name="_TB132" localSheetId="1">[3]시산표!#REF!</definedName>
    <definedName name="_TB132">#REF!</definedName>
    <definedName name="_TB211" localSheetId="1">[3]시산표!#REF!</definedName>
    <definedName name="_TB211">#REF!</definedName>
    <definedName name="_TB212">#REF!</definedName>
    <definedName name="_TB213" localSheetId="2">[3]시산표!#REF!</definedName>
    <definedName name="_TB213" localSheetId="1">[3]시산표!#REF!</definedName>
    <definedName name="_TB213">#REF!</definedName>
    <definedName name="_TB214" localSheetId="2">[3]시산표!#REF!</definedName>
    <definedName name="_TB214" localSheetId="1">[3]시산표!#REF!</definedName>
    <definedName name="_TB214">#REF!</definedName>
    <definedName name="_TB215" localSheetId="1">[3]시산표!#REF!</definedName>
    <definedName name="_TB215">#REF!</definedName>
    <definedName name="_TB221" localSheetId="1">[3]시산표!#REF!</definedName>
    <definedName name="_TB221">#REF!</definedName>
    <definedName name="_TB2210" localSheetId="1">[2]시산표!#REF!</definedName>
    <definedName name="_TB2210">#REF!</definedName>
    <definedName name="_TB222" localSheetId="1">[3]시산표!#REF!</definedName>
    <definedName name="_TB222">#REF!</definedName>
    <definedName name="_TB223" localSheetId="1">[3]시산표!#REF!</definedName>
    <definedName name="_TB223">#REF!</definedName>
    <definedName name="_TB224" localSheetId="1">[3]시산표!#REF!</definedName>
    <definedName name="_TB224">#REF!</definedName>
    <definedName name="_TB225" localSheetId="1">[2]시산표!#REF!</definedName>
    <definedName name="_TB225">#REF!</definedName>
    <definedName name="_TB226">#REF!</definedName>
    <definedName name="_TB227" localSheetId="2">[2]시산표!#REF!</definedName>
    <definedName name="_TB227" localSheetId="1">[2]시산표!#REF!</definedName>
    <definedName name="_TB227">#REF!</definedName>
    <definedName name="_TB228">#REF!</definedName>
    <definedName name="_TB229" localSheetId="2">[2]시산표!#REF!</definedName>
    <definedName name="_TB229" localSheetId="1">[2]시산표!#REF!</definedName>
    <definedName name="_TB229">#REF!</definedName>
    <definedName name="_TB3" hidden="1">#REF!</definedName>
    <definedName name="_TB311" localSheetId="2">[3]시산표!#REF!</definedName>
    <definedName name="_TB311" localSheetId="1">[3]시산표!#REF!</definedName>
    <definedName name="_TB311">#REF!</definedName>
    <definedName name="_TB312">#REF!</definedName>
    <definedName name="_TB313" localSheetId="2">[3]시산표!#REF!</definedName>
    <definedName name="_TB313" localSheetId="1">[3]시산표!#REF!</definedName>
    <definedName name="_TB313">#REF!</definedName>
    <definedName name="_TB314">#REF!</definedName>
    <definedName name="_TB315">#REF!</definedName>
    <definedName name="_TB316">#REF!</definedName>
    <definedName name="_TB317" localSheetId="2">[3]시산표!#REF!</definedName>
    <definedName name="_TB317" localSheetId="1">[3]시산표!#REF!</definedName>
    <definedName name="_TB317">#REF!</definedName>
    <definedName name="_TB318" localSheetId="2">[3]시산표!#REF!</definedName>
    <definedName name="_TB318" localSheetId="1">[3]시산표!#REF!</definedName>
    <definedName name="_TB318">#REF!</definedName>
    <definedName name="_TB319" localSheetId="1">[2]시산표!#REF!</definedName>
    <definedName name="_TB319">#REF!</definedName>
    <definedName name="_TB321">#REF!</definedName>
    <definedName name="_TB322" localSheetId="2">[3]시산표!#REF!</definedName>
    <definedName name="_TB322" localSheetId="1">[3]시산표!#REF!</definedName>
    <definedName name="_TB322">#REF!</definedName>
    <definedName name="_TB323" localSheetId="2">[3]시산표!#REF!</definedName>
    <definedName name="_TB323" localSheetId="1">[3]시산표!#REF!</definedName>
    <definedName name="_TB323">#REF!</definedName>
    <definedName name="_TB324" localSheetId="1">[3]시산표!#REF!</definedName>
    <definedName name="_TB324">#REF!</definedName>
    <definedName name="_TB325" localSheetId="1">[3]시산표!#REF!</definedName>
    <definedName name="_TB325">#REF!</definedName>
    <definedName name="_TB401" localSheetId="1">[3]시산표!#REF!</definedName>
    <definedName name="_TB401">#REF!</definedName>
    <definedName name="_TB402" localSheetId="1">[3]시산표!#REF!</definedName>
    <definedName name="_TB402">#REF!</definedName>
    <definedName name="_TB403" localSheetId="1">[3]시산표!#REF!</definedName>
    <definedName name="_TB403">#REF!</definedName>
    <definedName name="_TB404" localSheetId="1">[3]시산표!#REF!</definedName>
    <definedName name="_TB404">#REF!</definedName>
    <definedName name="_TB405" localSheetId="1">[3]시산표!#REF!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 localSheetId="2">[2]시산표!#REF!</definedName>
    <definedName name="_TB510" localSheetId="1">[2]시산표!#REF!</definedName>
    <definedName name="_TB510">#REF!</definedName>
    <definedName name="_TB511" localSheetId="2">[3]시산표!#REF!</definedName>
    <definedName name="_TB511" localSheetId="1">[3]시산표!#REF!</definedName>
    <definedName name="_TB511">#REF!</definedName>
    <definedName name="_TB512">#REF!</definedName>
    <definedName name="_TB513">#REF!</definedName>
    <definedName name="_TB601" localSheetId="2">[3]시산표!#REF!</definedName>
    <definedName name="_TB601" localSheetId="1">[3]시산표!#REF!</definedName>
    <definedName name="_TB601">#REF!</definedName>
    <definedName name="_TB602">#REF!</definedName>
    <definedName name="_TB603">#REF!</definedName>
    <definedName name="_TB604" localSheetId="2">[3]시산표!#REF!</definedName>
    <definedName name="_TB604" localSheetId="1">[3]시산표!#REF!</definedName>
    <definedName name="_TB604">#REF!</definedName>
    <definedName name="_TB605" localSheetId="2">[3]시산표!#REF!</definedName>
    <definedName name="_TB605" localSheetId="1">[3]시산표!#REF!</definedName>
    <definedName name="_TB605">#REF!</definedName>
    <definedName name="_TB701">#REF!</definedName>
    <definedName name="_TB811" localSheetId="2">[3]시산표!#REF!</definedName>
    <definedName name="_TB811" localSheetId="1">[3]시산표!#REF!</definedName>
    <definedName name="_TB811">#REF!</definedName>
    <definedName name="_TB812" localSheetId="2">[3]시산표!#REF!</definedName>
    <definedName name="_TB812" localSheetId="1">[3]시산표!#REF!</definedName>
    <definedName name="_TB812">#REF!</definedName>
    <definedName name="_TB813" localSheetId="1">[3]시산표!#REF!</definedName>
    <definedName name="_TB813">#REF!</definedName>
    <definedName name="_TB814" localSheetId="1">[3]시산표!#REF!</definedName>
    <definedName name="_TB814">#REF!</definedName>
    <definedName name="_TB820" localSheetId="1">[3]시산표!#REF!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 localSheetId="2">[3]시산표!#REF!</definedName>
    <definedName name="_TBI1001" localSheetId="1">[3]시산표!#REF!</definedName>
    <definedName name="_TBI1001">#REF!</definedName>
    <definedName name="_TBI1002" localSheetId="2">[3]시산표!#REF!</definedName>
    <definedName name="_TBI1002" localSheetId="1">[3]시산표!#REF!</definedName>
    <definedName name="_TBI1002">#REF!</definedName>
    <definedName name="_TBI1003" localSheetId="1">[3]시산표!#REF!</definedName>
    <definedName name="_TBI1003">#REF!</definedName>
    <definedName name="_TBI1004" localSheetId="1">[3]시산표!#REF!</definedName>
    <definedName name="_TBI1004">#REF!</definedName>
    <definedName name="_TBI1005" localSheetId="1">[3]시산표!#REF!</definedName>
    <definedName name="_TBI1005">#REF!</definedName>
    <definedName name="_TBI101">#REF!</definedName>
    <definedName name="_TBI102" localSheetId="2">[3]시산표!#REF!</definedName>
    <definedName name="_TBI102" localSheetId="1">[3]시산표!#REF!</definedName>
    <definedName name="_TBI102">#REF!</definedName>
    <definedName name="_TBI1100">#REF!</definedName>
    <definedName name="_TBI1200" localSheetId="2">[3]시산표!#REF!</definedName>
    <definedName name="_TBI1200" localSheetId="1">[3]시산표!#REF!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 localSheetId="2">[2]시산표!#REF!</definedName>
    <definedName name="_TBI403" localSheetId="1">[2]시산표!#REF!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 localSheetId="2">[3]시산표!#REF!</definedName>
    <definedName name="_TBI425" localSheetId="1">[3]시산표!#REF!</definedName>
    <definedName name="_TBI425">#REF!</definedName>
    <definedName name="_TBI601">#REF!</definedName>
    <definedName name="_TBI602">#REF!</definedName>
    <definedName name="_TBI603" localSheetId="2">[3]시산표!#REF!</definedName>
    <definedName name="_TBI603" localSheetId="1">[3]시산표!#REF!</definedName>
    <definedName name="_TBI603">#REF!</definedName>
    <definedName name="_TBI604" localSheetId="2">[3]시산표!#REF!</definedName>
    <definedName name="_TBI604" localSheetId="1">[3]시산표!#REF!</definedName>
    <definedName name="_TBI604">#REF!</definedName>
    <definedName name="_TBI605" localSheetId="1">[3]시산표!#REF!</definedName>
    <definedName name="_TBI605">#REF!</definedName>
    <definedName name="_TBI606" localSheetId="1">[3]시산표!#REF!</definedName>
    <definedName name="_TBI606">#REF!</definedName>
    <definedName name="_TBI607" localSheetId="1">[3]시산표!#REF!</definedName>
    <definedName name="_TBI607">#REF!</definedName>
    <definedName name="_TBI608" localSheetId="1">[3]시산표!#REF!</definedName>
    <definedName name="_TBI608">#REF!</definedName>
    <definedName name="_TBI609" localSheetId="1">[3]시산표!#REF!</definedName>
    <definedName name="_TBI609">#REF!</definedName>
    <definedName name="_TBI610">#REF!</definedName>
    <definedName name="_TBI611" localSheetId="2">[3]시산표!#REF!</definedName>
    <definedName name="_TBI611" localSheetId="1">[3]시산표!#REF!</definedName>
    <definedName name="_TBI611">#REF!</definedName>
    <definedName name="_TBI612">#REF!</definedName>
    <definedName name="_TBI613" localSheetId="2">[3]시산표!#REF!</definedName>
    <definedName name="_TBI613" localSheetId="1">[3]시산표!#REF!</definedName>
    <definedName name="_TBI613">#REF!</definedName>
    <definedName name="_TBI614">#REF!</definedName>
    <definedName name="_TBI701">#REF!</definedName>
    <definedName name="_TBI702">#REF!</definedName>
    <definedName name="_TBI703" localSheetId="2">[3]시산표!#REF!</definedName>
    <definedName name="_TBI703" localSheetId="1">[3]시산표!#REF!</definedName>
    <definedName name="_TBI703">#REF!</definedName>
    <definedName name="_TBI704" localSheetId="2">[3]시산표!#REF!</definedName>
    <definedName name="_TBI704" localSheetId="1">[3]시산표!#REF!</definedName>
    <definedName name="_TBI704">#REF!</definedName>
    <definedName name="_TBI705" localSheetId="1">[3]시산표!#REF!</definedName>
    <definedName name="_TBI705">#REF!</definedName>
    <definedName name="_TBI706" localSheetId="1">[3]시산표!#REF!</definedName>
    <definedName name="_TBI706">#REF!</definedName>
    <definedName name="_TBI707" localSheetId="1">[3]시산표!#REF!</definedName>
    <definedName name="_TBI707">#REF!</definedName>
    <definedName name="_TBI708" localSheetId="1">[3]시산표!#REF!</definedName>
    <definedName name="_TBI708">#REF!</definedName>
    <definedName name="_TBI709">#REF!</definedName>
    <definedName name="_TBI710" localSheetId="2">[3]시산표!#REF!</definedName>
    <definedName name="_TBI710" localSheetId="1">[3]시산표!#REF!</definedName>
    <definedName name="_TBI710">#REF!</definedName>
    <definedName name="_TBI711" localSheetId="2">[3]시산표!#REF!</definedName>
    <definedName name="_TBI711" localSheetId="1">[3]시산표!#REF!</definedName>
    <definedName name="_TBI711">#REF!</definedName>
    <definedName name="_TBI712" localSheetId="1">[3]시산표!#REF!</definedName>
    <definedName name="_TBI712">#REF!</definedName>
    <definedName name="_TBI713" localSheetId="1">[3]시산표!#REF!</definedName>
    <definedName name="_TBI713">#REF!</definedName>
    <definedName name="_TBI714">#REF!</definedName>
    <definedName name="_TBI715" localSheetId="2">[3]시산표!#REF!</definedName>
    <definedName name="_TBI715" localSheetId="1">[3]시산표!#REF!</definedName>
    <definedName name="_TBI715">#REF!</definedName>
    <definedName name="_TBI716">#REF!</definedName>
    <definedName name="_TBI717" localSheetId="2">[2]시산표!#REF!</definedName>
    <definedName name="_TBI717" localSheetId="1">[2]시산표!#REF!</definedName>
    <definedName name="_TBI717">#REF!</definedName>
    <definedName name="_TBI718">#REF!</definedName>
    <definedName name="_TBI719" localSheetId="2">[2]시산표!#REF!</definedName>
    <definedName name="_TBI719" localSheetId="1">[2]시산표!#REF!</definedName>
    <definedName name="_TBI719">#REF!</definedName>
    <definedName name="_TBI901">#REF!</definedName>
    <definedName name="_TBI902">#REF!</definedName>
    <definedName name="_TBI903" localSheetId="2">[3]시산표!#REF!</definedName>
    <definedName name="_TBI903" localSheetId="1">[3]시산표!#REF!</definedName>
    <definedName name="_TBI903">#REF!</definedName>
    <definedName name="_TBI904" localSheetId="2">[3]시산표!#REF!</definedName>
    <definedName name="_TBI904" localSheetId="1">[3]시산표!#REF!</definedName>
    <definedName name="_TBI904">#REF!</definedName>
    <definedName name="_TBI905" localSheetId="1">[3]시산표!#REF!</definedName>
    <definedName name="_TBI905">#REF!</definedName>
    <definedName name="_TBI906" localSheetId="1">[3]시산표!#REF!</definedName>
    <definedName name="_TBI906">#REF!</definedName>
    <definedName name="_TBI907" localSheetId="1">[3]시산표!#REF!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 localSheetId="1">#REF!</definedName>
    <definedName name="_YP1">#REF!</definedName>
    <definedName name="_YP2" localSheetId="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 localSheetId="1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 localSheetId="2">#REF!</definedName>
    <definedName name="\a" localSheetId="1">#REF!</definedName>
    <definedName name="\a">#REF!</definedName>
    <definedName name="\b" localSheetId="1">#REF!</definedName>
    <definedName name="\b">#REF!</definedName>
    <definedName name="\c" localSheetId="2">[6]시산표!#REF!</definedName>
    <definedName name="\c" localSheetId="1">[6]시산표!#REF!</definedName>
    <definedName name="\c">#REF!</definedName>
    <definedName name="\d">#N/A</definedName>
    <definedName name="\e" localSheetId="2">#REF!</definedName>
    <definedName name="\e" localSheetId="1">#REF!</definedName>
    <definedName name="\e">#REF!</definedName>
    <definedName name="\GGG" hidden="1">{#N/A,#N/A,TRUE,"Y생산";#N/A,#N/A,TRUE,"Y판매";#N/A,#N/A,TRUE,"Y총물량";#N/A,#N/A,TRUE,"Y능력";#N/A,#N/A,TRUE,"YKD"}</definedName>
    <definedName name="\h" localSheetId="2">[6]시산표!#REF!</definedName>
    <definedName name="\h" localSheetId="1">[6]시산표!#REF!</definedName>
    <definedName name="\h">#REF!</definedName>
    <definedName name="\l" localSheetId="1">#REF!</definedName>
    <definedName name="\l">#REF!</definedName>
    <definedName name="\LARGE" localSheetId="1">#REF!</definedName>
    <definedName name="\LARGE">#REF!</definedName>
    <definedName name="\m" localSheetId="1">#REF!</definedName>
    <definedName name="\m">#REF!</definedName>
    <definedName name="\MIDDLE" localSheetId="1">#REF!</definedName>
    <definedName name="\MIDDLE">#REF!</definedName>
    <definedName name="\n" localSheetId="1">#REF!</definedName>
    <definedName name="\n">#REF!</definedName>
    <definedName name="\p" localSheetId="2">[6]시산표!#REF!</definedName>
    <definedName name="\p" localSheetId="1">[6]시산표!#REF!</definedName>
    <definedName name="\p">#REF!</definedName>
    <definedName name="\q">#N/A</definedName>
    <definedName name="\r">#N/A</definedName>
    <definedName name="\s" localSheetId="2">#REF!</definedName>
    <definedName name="\s" localSheetId="1">#REF!</definedName>
    <definedName name="\s">#REF!</definedName>
    <definedName name="\SMALL" localSheetId="1">#REF!</definedName>
    <definedName name="\SMALL">#REF!</definedName>
    <definedName name="\v" localSheetId="1">#REF!</definedName>
    <definedName name="\v">#REF!</definedName>
    <definedName name="\w">#N/A</definedName>
    <definedName name="\x" localSheetId="2">#REF!</definedName>
    <definedName name="\x" localSheetId="1">#REF!</definedName>
    <definedName name="\x">#REF!</definedName>
    <definedName name="\y" localSheetId="1">#REF!</definedName>
    <definedName name="\y">#REF!</definedName>
    <definedName name="\z" localSheetId="2">#REF!</definedName>
    <definedName name="\z" localSheetId="1">#REF!</definedName>
    <definedName name="\z">#REF!</definedName>
    <definedName name="Ⅱ" hidden="1">{#N/A,#N/A,FALSE,"정공"}</definedName>
    <definedName name="A" localSheetId="2">#REF!</definedName>
    <definedName name="A" localSheetId="1">#REF!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 localSheetId="1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1">[0]!Common [0]!DataBase.xls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localSheetId="1">BlankMacro1</definedName>
    <definedName name="aaaaaa" hidden="1">{#N/A,#N/A,FALSE,"단축1";#N/A,#N/A,FALSE,"단축2";#N/A,#N/A,FALSE,"단축3";#N/A,#N/A,FALSE,"장축";#N/A,#N/A,FALSE,"4WD"}</definedName>
    <definedName name="aaaaaaa" localSheetId="1">BlankMacro1</definedName>
    <definedName name="AAAAAAA" hidden="1">{#N/A,#N/A,TRUE,"Y생산";#N/A,#N/A,TRUE,"Y판매";#N/A,#N/A,TRUE,"Y총물량";#N/A,#N/A,TRUE,"Y능력";#N/A,#N/A,TRUE,"YKD"}</definedName>
    <definedName name="aaaaaaaa" localSheetId="1">BlankMacro1</definedName>
    <definedName name="aaaaaaaa">BlankMacro1</definedName>
    <definedName name="AAAAAAAAA" hidden="1">{"'Sheet1'!$A$1:$H$36"}</definedName>
    <definedName name="aaaaaaaaaa" localSheetId="1">#REF!</definedName>
    <definedName name="AAAAAAAAAA" hidden="1">{"'7월NINO현황'!$K$30"}</definedName>
    <definedName name="aaaaaaaaaaa" localSheetId="1">BlankMacro1</definedName>
    <definedName name="aaaaaaaaaaa">BlankMacro1</definedName>
    <definedName name="aaaaaaaaaaaaaaa" localSheetId="1">BlankMacro1</definedName>
    <definedName name="aaaaaaaaaaaaaaa">BlankMacro1</definedName>
    <definedName name="aaaaaaaaaaaaaaaaaaaaaa" localSheetId="1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 localSheetId="1">#REF!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 localSheetId="1">#REF!</definedName>
    <definedName name="ac">#REF!</definedName>
    <definedName name="AC105bj35" localSheetId="1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 localSheetId="1">'[10]Excess Calc'!#REF!</definedName>
    <definedName name="Account_Balance">#REF!</definedName>
    <definedName name="ACCOUNTEDPERIODTYPE1" localSheetId="1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 localSheetId="1">#REF!</definedName>
    <definedName name="ADDRESS_1">#REF!</definedName>
    <definedName name="address_2" localSheetId="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 localSheetId="1">#REF!</definedName>
    <definedName name="ADJA">#REF!</definedName>
    <definedName name="ADJB" localSheetId="1">#REF!</definedName>
    <definedName name="ADJB">#REF!</definedName>
    <definedName name="ADJC" localSheetId="1">#REF!</definedName>
    <definedName name="ADJC">#REF!</definedName>
    <definedName name="ADJD" localSheetId="1">#REF!</definedName>
    <definedName name="ADJD">#REF!</definedName>
    <definedName name="ADJE" localSheetId="1">#REF!</definedName>
    <definedName name="ADJE">#REF!</definedName>
    <definedName name="ADJF" localSheetId="1">#REF!</definedName>
    <definedName name="ADJF">#REF!</definedName>
    <definedName name="ADJG" localSheetId="1">#REF!</definedName>
    <definedName name="ADJG">#REF!</definedName>
    <definedName name="ADJH" localSheetId="1">#REF!</definedName>
    <definedName name="ADJH">#REF!</definedName>
    <definedName name="ADJI" localSheetId="1">#REF!</definedName>
    <definedName name="ADJI">#REF!</definedName>
    <definedName name="ADJJ" localSheetId="1">#REF!</definedName>
    <definedName name="ADJJ">#REF!</definedName>
    <definedName name="ADJK" localSheetId="1">#REF!</definedName>
    <definedName name="ADJK">#REF!</definedName>
    <definedName name="ADJL" localSheetId="1">#REF!</definedName>
    <definedName name="ADJL">#REF!</definedName>
    <definedName name="ADJLA" localSheetId="1">#REF!</definedName>
    <definedName name="ADJLA">#REF!</definedName>
    <definedName name="ADJLB" localSheetId="1">#REF!</definedName>
    <definedName name="ADJLB">#REF!</definedName>
    <definedName name="ADJLC" localSheetId="1">#REF!</definedName>
    <definedName name="ADJLC">#REF!</definedName>
    <definedName name="ADJM" localSheetId="1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 localSheetId="1">#REF!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localSheetId="2" hidden="1">[11]시산표!#REF!</definedName>
    <definedName name="akak" localSheetId="1" hidden="1">[11]시산표!#REF!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 localSheetId="1">#REF!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 localSheetId="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 localSheetId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 localSheetId="1">#REF!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 localSheetId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 localSheetId="1">+#REF!</definedName>
    <definedName name="asr">+#REF!</definedName>
    <definedName name="ASS" hidden="1">{#N/A,#N/A,FALSE,"을지 (4)";#N/A,#N/A,FALSE,"을지 (5)";#N/A,#N/A,FALSE,"을지 (6)"}</definedName>
    <definedName name="asset" localSheetId="1">#REF!</definedName>
    <definedName name="asset">#REF!</definedName>
    <definedName name="asset2" localSheetId="1">#REF!</definedName>
    <definedName name="asset2">#REF!</definedName>
    <definedName name="asset3" localSheetId="1">#REF!</definedName>
    <definedName name="asset3">#REF!</definedName>
    <definedName name="Asset9808CAK" hidden="1">#REF!</definedName>
    <definedName name="AssetList" localSheetId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 localSheetId="1">BlankMacro1</definedName>
    <definedName name="ASSIGN">BlankMacro1</definedName>
    <definedName name="ASSIGN." localSheetId="1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 localSheetId="1">#REF!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 localSheetId="1">#REF!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 localSheetId="1">[12]결손금!#REF!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localSheetId="1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 localSheetId="1">#REF!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 localSheetId="1">[13]BLOOMBERG!#REF!</definedName>
    <definedName name="BDNa">#REF!</definedName>
    <definedName name="BDNb" localSheetId="1">[13]BLOOMBERG!#REF!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 localSheetId="1">[13]BLOOMBERG!#REF!</definedName>
    <definedName name="BERJAYa">#REF!</definedName>
    <definedName name="BERJAYb" localSheetId="1">[13]BLOOMBERG!#REF!</definedName>
    <definedName name="BERJAYb">#REF!</definedName>
    <definedName name="BFGBANKFRANK" localSheetId="1">#REF!</definedName>
    <definedName name="BFGBANKFRANK">#REF!</definedName>
    <definedName name="BFGLONDON" localSheetId="1">#REF!</definedName>
    <definedName name="BFGLONDON">#REF!</definedName>
    <definedName name="BFGLONDON1" localSheetId="1">#REF!</definedName>
    <definedName name="BFGLONDON1">#REF!</definedName>
    <definedName name="BG_Del" hidden="1">15</definedName>
    <definedName name="BG_Ins" hidden="1">4</definedName>
    <definedName name="BG_Mod" hidden="1">6</definedName>
    <definedName name="bi" localSheetId="1">#REF!</definedName>
    <definedName name="bi">#REF!</definedName>
    <definedName name="big_sorting" localSheetId="1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 localSheetId="1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 localSheetId="2">#REF!</definedName>
    <definedName name="bs일" localSheetId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 localSheetId="1">#REF!</definedName>
    <definedName name="bumwi">#REF!</definedName>
    <definedName name="BusEntDetail" localSheetId="1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 localSheetId="2">#REF!</definedName>
    <definedName name="C19999912" localSheetId="1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 localSheetId="1">#REF!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 localSheetId="1">#REF!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 localSheetId="1">[14]!cd_print</definedName>
    <definedName name="cd_print">#REF!</definedName>
    <definedName name="CDB" localSheetId="1">[0]!Common [0]!DataBase.xls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localSheetId="2">'[15]T6-6(2)'!#REF!</definedName>
    <definedName name="cf" localSheetId="1">'[15]T6-6(2)'!#REF!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 localSheetId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 localSheetId="1">[13]BLOOMBERG!#REF!</definedName>
    <definedName name="CHEILa">#REF!</definedName>
    <definedName name="CHEILb" localSheetId="1">[13]BLOOMBERG!#REF!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 localSheetId="1">#REF!</definedName>
    <definedName name="ClientFilter">#REF!</definedName>
    <definedName name="CM" hidden="1">{"'Broadway ML#4'!$J$7:$N$490"}</definedName>
    <definedName name="cmklldje" hidden="1">{"'Sheet1'!$A$1:$H$36"}</definedName>
    <definedName name="CODE" localSheetId="2">#REF!</definedName>
    <definedName name="CODE" localSheetId="1">#REF!</definedName>
    <definedName name="CODE">#REF!</definedName>
    <definedName name="COL" localSheetId="1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 localSheetId="1">#REF!</definedName>
    <definedName name="COLL">#REF!</definedName>
    <definedName name="COMMERa" localSheetId="1">[13]BLOOMBERG!#REF!</definedName>
    <definedName name="COMMERa">#REF!</definedName>
    <definedName name="COMMERb" localSheetId="1">[13]BLOOMBERG!#REF!</definedName>
    <definedName name="COMMERb">#REF!</definedName>
    <definedName name="CommonDatabase" localSheetId="1">#REF!</definedName>
    <definedName name="CommonDatabase">#REF!</definedName>
    <definedName name="CommonDatabase1" localSheetId="1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 localSheetId="2">'[16]control sheet'!#REF!</definedName>
    <definedName name="COMPANY" localSheetId="1">'[16]control sheet'!#REF!</definedName>
    <definedName name="COMPANY">#REF!</definedName>
    <definedName name="CoName1">#REF!</definedName>
    <definedName name="condition">#REF!</definedName>
    <definedName name="CONNECTSTRING1" localSheetId="1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 localSheetId="2">'[16]control sheet'!#REF!</definedName>
    <definedName name="CONTROL" localSheetId="1">'[16]control sheet'!#REF!</definedName>
    <definedName name="CONTROL">#REF!</definedName>
    <definedName name="controlsheet">#REF!</definedName>
    <definedName name="CoNum1">#REF!</definedName>
    <definedName name="COST">#REF!</definedName>
    <definedName name="CostPerKm" localSheetId="1">#REF!</definedName>
    <definedName name="CostPerKm">#REF!</definedName>
    <definedName name="Cover" localSheetId="1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 localSheetId="1">#REF!</definedName>
    <definedName name="CREATESUMMARYJNLS1">#REF!</definedName>
    <definedName name="CreateTable" hidden="1">#REF!</definedName>
    <definedName name="_xlnm.Criteria" localSheetId="1">'[17]1995년 섹터별 매출'!#REF!</definedName>
    <definedName name="_xlnm.Criteria">#REF!</definedName>
    <definedName name="Criteria_MI" localSheetId="1">'[18]경수97.02'!#REF!</definedName>
    <definedName name="Criteria_MI">#REF!</definedName>
    <definedName name="CRITERIACOLUMN1" localSheetId="1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 localSheetId="1">#REF!</definedName>
    <definedName name="CS기조">#REF!</definedName>
    <definedName name="CS센타" localSheetId="1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 localSheetId="1">#REF!</definedName>
    <definedName name="CS식품">#REF!</definedName>
    <definedName name="CT" hidden="1">#REF!</definedName>
    <definedName name="CTCT1" hidden="1">{"'Sheet1'!$L$16"}</definedName>
    <definedName name="CTN" localSheetId="1">#REF!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 localSheetId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 localSheetId="1">#REF!</definedName>
    <definedName name="CY_Accounts_Receivable">#REF!</definedName>
    <definedName name="CY_Administration" localSheetId="1">#REF!</definedName>
    <definedName name="CY_Administration">#REF!</definedName>
    <definedName name="CY_Cash" localSheetId="1">#REF!</definedName>
    <definedName name="CY_Cash">#REF!</definedName>
    <definedName name="CY_Cash_Div_Dec" localSheetId="1">[19]손익계산서!#REF!</definedName>
    <definedName name="CY_Cash_Div_Dec">#REF!</definedName>
    <definedName name="CY_Common_Equity" localSheetId="1">#REF!</definedName>
    <definedName name="CY_Common_Equity">#REF!</definedName>
    <definedName name="CY_Cost_of_Sales" localSheetId="1">#REF!</definedName>
    <definedName name="CY_Cost_of_Sales">#REF!</definedName>
    <definedName name="CY_Current_Liabilities" localSheetId="1">#REF!</definedName>
    <definedName name="CY_Current_Liabilities">#REF!</definedName>
    <definedName name="CY_Depreciation" localSheetId="1">[19]손익계산서!#REF!</definedName>
    <definedName name="CY_Depreciation">#REF!</definedName>
    <definedName name="CY_Gross_Profit" localSheetId="1">#REF!</definedName>
    <definedName name="CY_Gross_Profit">#REF!</definedName>
    <definedName name="CY_Inc_Bef_Tax" localSheetId="1">#REF!</definedName>
    <definedName name="CY_Inc_Bef_Tax">#REF!</definedName>
    <definedName name="CY_Intangible_Assets" localSheetId="1">#REF!</definedName>
    <definedName name="CY_Intangible_Assets">#REF!</definedName>
    <definedName name="CY_Interest_Expense" localSheetId="1">#REF!</definedName>
    <definedName name="CY_Interest_Expense">#REF!</definedName>
    <definedName name="CY_Inventory" localSheetId="1">#REF!</definedName>
    <definedName name="CY_Inventory">#REF!</definedName>
    <definedName name="CY_investment" localSheetId="1">#REF!</definedName>
    <definedName name="CY_investment">#REF!</definedName>
    <definedName name="CY_LIABIL_EQUITY" localSheetId="1">#REF!</definedName>
    <definedName name="CY_LIABIL_EQUITY">#REF!</definedName>
    <definedName name="CY_LT_Debt" localSheetId="1">#REF!</definedName>
    <definedName name="CY_LT_Debt">#REF!</definedName>
    <definedName name="CY_Market_Value_of_Equity" localSheetId="1">[19]손익계산서!#REF!</definedName>
    <definedName name="CY_Market_Value_of_Equity">#REF!</definedName>
    <definedName name="CY_Marketable_Sec" localSheetId="1">#REF!</definedName>
    <definedName name="CY_Marketable_Sec">#REF!</definedName>
    <definedName name="CY_NET_PROFIT" localSheetId="1">#REF!</definedName>
    <definedName name="CY_NET_PROFIT">#REF!</definedName>
    <definedName name="CY_Net_Revenue" localSheetId="1">#REF!</definedName>
    <definedName name="CY_Net_Revenue">#REF!</definedName>
    <definedName name="CY_Operating_Income" localSheetId="1">#REF!</definedName>
    <definedName name="CY_Operating_Income">#REF!</definedName>
    <definedName name="CY_Other" localSheetId="1">[19]손익계산서!#REF!</definedName>
    <definedName name="CY_Other">#REF!</definedName>
    <definedName name="CY_Other_Curr_Assets" localSheetId="1">[19]대차대조표!#REF!</definedName>
    <definedName name="CY_Other_Curr_Assets">#REF!</definedName>
    <definedName name="CY_Other_LT_Assets" localSheetId="1">[19]대차대조표!#REF!</definedName>
    <definedName name="CY_Other_LT_Assets">#REF!</definedName>
    <definedName name="CY_Other_LT_Liabilities" localSheetId="1">[19]대차대조표!#REF!</definedName>
    <definedName name="CY_Other_LT_Liabilities">#REF!</definedName>
    <definedName name="CY_Preferred_Stock" localSheetId="1">#REF!</definedName>
    <definedName name="CY_Preferred_Stock">#REF!</definedName>
    <definedName name="CY_QUICK_ASSETS" localSheetId="1">#REF!</definedName>
    <definedName name="CY_QUICK_ASSETS">#REF!</definedName>
    <definedName name="CY_Retained_Earnings" localSheetId="1">#REF!</definedName>
    <definedName name="CY_Retained_Earnings">#REF!</definedName>
    <definedName name="CY_Selling" localSheetId="1">[19]손익계산서!#REF!</definedName>
    <definedName name="CY_Selling">#REF!</definedName>
    <definedName name="CY_Tangible_Assets" localSheetId="1">#REF!</definedName>
    <definedName name="CY_Tangible_Assets">#REF!</definedName>
    <definedName name="CY_Tangible_Net_Worth" localSheetId="1">[19]손익계산서!#REF!</definedName>
    <definedName name="CY_Tangible_Net_Worth">#REF!</definedName>
    <definedName name="CY_Taxes" localSheetId="1">#REF!</definedName>
    <definedName name="CY_Taxes">#REF!</definedName>
    <definedName name="CY_TOTAL_ASSETS" localSheetId="1">#REF!</definedName>
    <definedName name="CY_TOTAL_ASSETS">#REF!</definedName>
    <definedName name="CY_TOTAL_CURR_ASSETS" localSheetId="1">#REF!</definedName>
    <definedName name="CY_TOTAL_CURR_ASSETS">#REF!</definedName>
    <definedName name="CY_TOTAL_DEBT" localSheetId="1">#REF!</definedName>
    <definedName name="CY_TOTAL_DEBT">#REF!</definedName>
    <definedName name="CY_TOTAL_EQUITY" localSheetId="1">#REF!</definedName>
    <definedName name="CY_TOTAL_EQUITY">#REF!</definedName>
    <definedName name="CY_Weighted_Average" localSheetId="1">[19]손익계산서!#REF!</definedName>
    <definedName name="CY_Weighted_Average">#REF!</definedName>
    <definedName name="CY_Working_Capital" localSheetId="1">[19]손익계산서!#REF!</definedName>
    <definedName name="CY_Working_Capital">#REF!</definedName>
    <definedName name="CY_경상이익" localSheetId="1">#REF!</definedName>
    <definedName name="CY_경상이익">#REF!</definedName>
    <definedName name="CY_단기차입금" localSheetId="1">#REF!</definedName>
    <definedName name="CY_단기차입금">#REF!</definedName>
    <definedName name="CY_매입채무" localSheetId="1">#REF!</definedName>
    <definedName name="CY_매입채무">#REF!</definedName>
    <definedName name="CY_사채" localSheetId="1">#REF!</definedName>
    <definedName name="CY_사채">#REF!</definedName>
    <definedName name="CY_유동성장기부채" localSheetId="1">#REF!</definedName>
    <definedName name="CY_유동성장기부채">#REF!</definedName>
    <definedName name="CY_장기차입금" localSheetId="1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 localSheetId="1">#REF!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 localSheetId="1">#REF!</definedName>
    <definedName name="data01">#REF!</definedName>
    <definedName name="data02" localSheetId="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 localSheetId="2">#REF!</definedName>
    <definedName name="_xlnm.Database" localSheetId="1">#REF!</definedName>
    <definedName name="_xlnm.Database">#REF!</definedName>
    <definedName name="Database_MI" localSheetId="1">'[18]경수97.02'!#REF!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 localSheetId="1">BlankMacro1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 localSheetId="1">#REF!</definedName>
    <definedName name="DBNAME1">#REF!</definedName>
    <definedName name="DBUSERNAME1" localSheetId="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localSheetId="1">BlankMacro1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 localSheetId="1">[20]tax1!#REF!</definedName>
    <definedName name="DEFERRED">#REF!</definedName>
    <definedName name="DEFERRED2" localSheetId="1">[20]tax1!#REF!</definedName>
    <definedName name="DEFERRED2">#REF!</definedName>
    <definedName name="DELETELOGICTYPE1" localSheetId="1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 localSheetId="1">#REF!</definedName>
    <definedName name="DEPRE">#REF!</definedName>
    <definedName name="detail" localSheetId="1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 localSheetId="1">'[10]Excess Calc'!#REF!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localSheetId="1">[0]!영광원자력5,'[21]6호기'!$A$1</definedName>
    <definedName name="DK" hidden="1">#REF!</definedName>
    <definedName name="DKD" localSheetId="1">[0]!영광원자력5,'[21]6호기'!$A$1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localSheetId="1">#REF!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localSheetId="1">#REF!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 localSheetId="1">#REF!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 localSheetId="1">#REF!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 localSheetId="1">#REF!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 localSheetId="1">#REF!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 localSheetId="1">#REF!</definedName>
    <definedName name="EDU.TAX">#REF!</definedName>
    <definedName name="ee" localSheetId="1">[0]!Common [0]!DataBase.xls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 localSheetId="1">BlankMacro1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 localSheetId="1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 localSheetId="1">#REF!</definedName>
    <definedName name="EKA_Adj">#REF!</definedName>
    <definedName name="EKA_Fut" localSheetId="1">#REF!</definedName>
    <definedName name="EKA_Fut">#REF!</definedName>
    <definedName name="EKA_Stk" localSheetId="1">#REF!</definedName>
    <definedName name="EKA_Stk">#REF!</definedName>
    <definedName name="EKC" localSheetId="1">#REF!</definedName>
    <definedName name="EKC">#REF!</definedName>
    <definedName name="ekele" hidden="1">{"'Sheet1'!$A$1:$H$36"}</definedName>
    <definedName name="EKSRK">[0]!EKSRK</definedName>
    <definedName name="ELAP" localSheetId="1">#REF!</definedName>
    <definedName name="ELAP">#REF!</definedName>
    <definedName name="ELAPP" localSheetId="1">#REF!</definedName>
    <definedName name="ELAPP">#REF!</definedName>
    <definedName name="ELC" localSheetId="1">#REF!</definedName>
    <definedName name="ELC">#REF!</definedName>
    <definedName name="ELG" localSheetId="1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 localSheetId="1">#REF!</definedName>
    <definedName name="ELWI">#REF!</definedName>
    <definedName name="ELWIP" localSheetId="1">#REF!</definedName>
    <definedName name="ELWIP">#REF!</definedName>
    <definedName name="EMC_종평보고" hidden="1">#N/A</definedName>
    <definedName name="END" localSheetId="1">#REF!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 localSheetId="1">#REF!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 localSheetId="1">'[10]Excess Calc'!#REF!</definedName>
    <definedName name="Expected_balance">#REF!</definedName>
    <definedName name="_xlnm.Extract">#REF!</definedName>
    <definedName name="Extract_MI" localSheetId="1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 localSheetId="1">#REF!</definedName>
    <definedName name="factor">#REF!</definedName>
    <definedName name="FACTORY_FAX">#REF!</definedName>
    <definedName name="fadgdfg" hidden="1">{"'4월수지'!$A$1:$AE$45"}</definedName>
    <definedName name="Fadolist" localSheetId="1">#REF!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 localSheetId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 localSheetId="1">#REF!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localSheetId="1">BlankMacro1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 localSheetId="1">#REF!</definedName>
    <definedName name="FFAPPCOLNAME1_1">#REF!</definedName>
    <definedName name="FFAPPCOLNAME2_1" localSheetId="1">#REF!</definedName>
    <definedName name="FFAPPCOLNAME2_1">#REF!</definedName>
    <definedName name="FFAPPCOLNAME3_1" localSheetId="1">#REF!</definedName>
    <definedName name="FFAPPCOLNAME3_1">#REF!</definedName>
    <definedName name="FFAPPCOLNAME4_1" localSheetId="1">#REF!</definedName>
    <definedName name="FFAPPCOLNAME4_1">#REF!</definedName>
    <definedName name="FFAPPCOLNAME5_1" localSheetId="1">#REF!</definedName>
    <definedName name="FFAPPCOLNAME5_1">#REF!</definedName>
    <definedName name="FFAPPCOLNAME6_1" localSheetId="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 localSheetId="1">#REF!</definedName>
    <definedName name="FFSEGMENT1_1">#REF!</definedName>
    <definedName name="FFSEGMENT2_1" localSheetId="1">#REF!</definedName>
    <definedName name="FFSEGMENT2_1">#REF!</definedName>
    <definedName name="FFSEGMENT3_1" localSheetId="1">#REF!</definedName>
    <definedName name="FFSEGMENT3_1">#REF!</definedName>
    <definedName name="FFSEGMENT4_1" localSheetId="1">#REF!</definedName>
    <definedName name="FFSEGMENT4_1">#REF!</definedName>
    <definedName name="FFSEGMENT5_1" localSheetId="1">#REF!</definedName>
    <definedName name="FFSEGMENT5_1">#REF!</definedName>
    <definedName name="FFSEGMENT6_1" localSheetId="1">#REF!</definedName>
    <definedName name="FFSEGMENT6_1">#REF!</definedName>
    <definedName name="FFSEGSEPARATOR1" localSheetId="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 localSheetId="1">#REF!</definedName>
    <definedName name="FIELDNAMECOLUMN1">#REF!</definedName>
    <definedName name="FIELDNAMEROW1" localSheetId="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 localSheetId="1">#REF!</definedName>
    <definedName name="FirstCell">#REF!</definedName>
    <definedName name="FIRSTDATAROW1" localSheetId="1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 localSheetId="1">#REF!</definedName>
    <definedName name="FNDNAM1">#REF!</definedName>
    <definedName name="FNDUSERID1" localSheetId="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 localSheetId="1">#REF!</definedName>
    <definedName name="FOR.SEC.">#REF!</definedName>
    <definedName name="forex" localSheetId="1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 localSheetId="1">#REF!</definedName>
    <definedName name="FUNCTIONALCURRENCY1">#REF!</definedName>
    <definedName name="FUND" localSheetId="1">#REF!</definedName>
    <definedName name="FUND">#REF!</definedName>
    <definedName name="Funding" localSheetId="1">#REF!</definedName>
    <definedName name="Funding">#REF!</definedName>
    <definedName name="fx" localSheetId="1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 localSheetId="1">#REF!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 localSheetId="1">#REF!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localSheetId="1">#REF!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 localSheetId="1">[0]!Common [0]!DataBase.xls</definedName>
    <definedName name="gkswk">[0]!Common [0]!DataBase.xls</definedName>
    <definedName name="GL_Convert" localSheetId="1">#REF!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 localSheetId="1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 localSheetId="1">[13]BLOOMBERG!#REF!</definedName>
    <definedName name="HANK01a">#REF!</definedName>
    <definedName name="HANK01b" localSheetId="1">[13]BLOOMBERG!#REF!</definedName>
    <definedName name="HANK01b">#REF!</definedName>
    <definedName name="HANWHA2a" localSheetId="1">[13]BLOOMBERG!#REF!</definedName>
    <definedName name="HANWHA2a">#REF!</definedName>
    <definedName name="HANWHA2b" localSheetId="1">[13]BLOOMBERG!#REF!</definedName>
    <definedName name="HANWHA2b">#REF!</definedName>
    <definedName name="HANYANa" localSheetId="1">[13]BLOOMBERG!#REF!</definedName>
    <definedName name="HANYANa">#REF!</definedName>
    <definedName name="HANYANb" localSheetId="1">[13]BLOOMBERG!#REF!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 localSheetId="1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 localSheetId="1">#REF!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 localSheetId="1">#REF!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" localSheetId="1" hidden="1">#REF!</definedName>
    <definedName name="hhh" hidden="1">#REF!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 localSheetId="1">'[22]Korea Sign-Internal'!#REF!</definedName>
    <definedName name="highlight1">#REF!</definedName>
    <definedName name="highlight2" localSheetId="1">'[22]Korea Sign-Internal'!#REF!</definedName>
    <definedName name="highlight2">#REF!</definedName>
    <definedName name="highlight3" localSheetId="1">'[22]Korea Sign-Internal'!#REF!</definedName>
    <definedName name="highlight3">#REF!</definedName>
    <definedName name="highlight4" localSheetId="1">'[22]Korea Sign-Internal'!#REF!</definedName>
    <definedName name="highlight4">#REF!</definedName>
    <definedName name="highlight5" localSheetId="1">'[22]Korea Sign-Internal'!#REF!</definedName>
    <definedName name="highlight5">#REF!</definedName>
    <definedName name="highlight6" localSheetId="1">'[22]Korea Sign-Internal'!#REF!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 localSheetId="1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 localSheetId="1">[13]BLOOMBERG!#REF!</definedName>
    <definedName name="HUNGARa">#REF!</definedName>
    <definedName name="HUNGARb" localSheetId="1">[13]BLOOMBERG!#REF!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 localSheetId="1">[13]BLOOMBERG!#REF!</definedName>
    <definedName name="HYOSUN3a">#REF!</definedName>
    <definedName name="HYOSUN3b" localSheetId="1">[13]BLOOMBERG!#REF!</definedName>
    <definedName name="HYOSUN3b">#REF!</definedName>
    <definedName name="i" localSheetId="1">#REF!</definedName>
    <definedName name="I">#N/A</definedName>
    <definedName name="i_?3" localSheetId="1">#REF!</definedName>
    <definedName name="i_?3">#REF!</definedName>
    <definedName name="i_E" localSheetId="1">#REF!</definedName>
    <definedName name="i_E">#REF!</definedName>
    <definedName name="i_E__.3" localSheetId="1">#REF!</definedName>
    <definedName name="i_E__.3">#REF!</definedName>
    <definedName name="i_E_O" localSheetId="1">#REF!</definedName>
    <definedName name="i_E_O">#REF!</definedName>
    <definedName name="i_E_O__.3" localSheetId="1">#REF!</definedName>
    <definedName name="i_E_O__.3">#REF!</definedName>
    <definedName name="ibt">#REF!</definedName>
    <definedName name="ibt.4">#REF!</definedName>
    <definedName name="ICBTDATA" localSheetId="1">#REF!</definedName>
    <definedName name="ICBTDATA">#REF!</definedName>
    <definedName name="ID" localSheetId="1">#REF!</definedName>
    <definedName name="ID">#REF!</definedName>
    <definedName name="II" localSheetId="1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1">#REF!</definedName>
    <definedName name="III">#REF!</definedName>
    <definedName name="IJF" hidden="1">{#N/A,#N/A,FALSE,"P.C.B"}</definedName>
    <definedName name="IJHY" hidden="1">#N/A</definedName>
    <definedName name="IMPORTDFF1" localSheetId="1">#REF!</definedName>
    <definedName name="IMPORTDFF1">#REF!</definedName>
    <definedName name="INCHON" localSheetId="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 localSheetId="2">#REF!</definedName>
    <definedName name="INPUT" localSheetId="1">#REF!</definedName>
    <definedName name="INPUT">#REF!</definedName>
    <definedName name="input1" localSheetId="1">[14]!input1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 localSheetId="1">#REF!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 localSheetId="1">[13]BLOOMBERG!#REF!</definedName>
    <definedName name="JINDOa">#REF!</definedName>
    <definedName name="JINDOb" localSheetId="1">[13]BLOOMBERG!#REF!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 localSheetId="1">#REF!</definedName>
    <definedName name="JJnlDescn">#REF!</definedName>
    <definedName name="JJnlName" localSheetId="1">#REF!</definedName>
    <definedName name="JJnlName">#REF!</definedName>
    <definedName name="JJnlRef" localSheetId="1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 localSheetId="1">#REF!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 localSheetId="1">#REF!</definedName>
    <definedName name="jung">#REF!</definedName>
    <definedName name="jungyon">#REF!</definedName>
    <definedName name="JUSO" localSheetId="2">#REF!</definedName>
    <definedName name="JUSO" localSheetId="1">#REF!</definedName>
    <definedName name="JUSO">#REF!</definedName>
    <definedName name="JUU" hidden="1">#N/A</definedName>
    <definedName name="jw.pl" localSheetId="1">#REF!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 localSheetId="1">#REF!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 localSheetId="1">[13]BLOOMBERG!#REF!</definedName>
    <definedName name="KANGW_a">#REF!</definedName>
    <definedName name="KANGW_b" localSheetId="1">[13]BLOOMBERG!#REF!</definedName>
    <definedName name="KANGW_b">#REF!</definedName>
    <definedName name="KANGWOa">#REF!</definedName>
    <definedName name="KANGWOb">#REF!</definedName>
    <definedName name="KANSOLa" localSheetId="1">[13]BLOOMBERG!#REF!</definedName>
    <definedName name="KANSOLa">#REF!</definedName>
    <definedName name="KANSOLb" localSheetId="1">[13]BLOOMBERG!#REF!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 localSheetId="1">#REF!</definedName>
    <definedName name="KEB">#REF!</definedName>
    <definedName name="KEBADJUST" localSheetId="1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localSheetId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localSheetId="1">#REF!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 localSheetId="1">[13]BLOOMBERG!#REF!</definedName>
    <definedName name="KORCOMa">#REF!</definedName>
    <definedName name="KORCOMb" localSheetId="1">[13]BLOOMBERG!#REF!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 localSheetId="1">#REF!</definedName>
    <definedName name="L0">#REF!</definedName>
    <definedName name="L1C6___1" localSheetId="1">#REF!</definedName>
    <definedName name="L1C6___1">#REF!</definedName>
    <definedName name="LABEL" localSheetId="1">BlankMacro1</definedName>
    <definedName name="LABEL">BlankMacro1</definedName>
    <definedName name="LABELTEXTCOLUMN1" localSheetId="1">#REF!</definedName>
    <definedName name="LABELTEXTCOLUMN1">#REF!</definedName>
    <definedName name="LABELTEXTROW1" localSheetId="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 localSheetId="1">#REF!</definedName>
    <definedName name="LAP">#REF!</definedName>
    <definedName name="LAPP" localSheetId="1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 localSheetId="1">#REF!</definedName>
    <definedName name="liab">#REF!</definedName>
    <definedName name="liab2" localSheetId="1">#REF!</definedName>
    <definedName name="liab2">#REF!</definedName>
    <definedName name="liab3" localSheetId="1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 localSheetId="1">#REF!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localSheetId="1" hidden="1">#REF!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localSheetId="1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 localSheetId="1">#REF!</definedName>
    <definedName name="LOC">#REF!</definedName>
    <definedName name="LOCA" localSheetId="1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 localSheetId="1">#REF!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 localSheetId="1">#REF!</definedName>
    <definedName name="LWI">#REF!</definedName>
    <definedName name="LWIP" localSheetId="1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localSheetId="2" hidden="1">[23]INMD1198!$B$30</definedName>
    <definedName name="m" hidden="1">#REF!</definedName>
    <definedName name="M_Drama" hidden="1">#REF!</definedName>
    <definedName name="M_F123.CashFlow_Button1_Click" localSheetId="1">[24]!M_F123.CashFlow_Button1_Click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 localSheetId="1">[25]수정분개!Macro8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 localSheetId="2">[23]INFG1198!$BE$8</definedName>
    <definedName name="md">#REF!</definedName>
    <definedName name="MEDISOa" localSheetId="1">[13]BLOOMBERG!#REF!</definedName>
    <definedName name="MEDISOa">#REF!</definedName>
    <definedName name="MEDISOb" localSheetId="1">[13]BLOOMBERG!#REF!</definedName>
    <definedName name="MEDISOb">#REF!</definedName>
    <definedName name="menu_button_Click">[0]!menu_button_Click</definedName>
    <definedName name="MENU1" localSheetId="1">#REF!</definedName>
    <definedName name="MENU1">#REF!</definedName>
    <definedName name="MENU2" localSheetId="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 localSheetId="2">#REF!</definedName>
    <definedName name="mii" localSheetId="1">#REF!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localSheetId="1">BlankMacro1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 localSheetId="1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 localSheetId="1">[26]공급설비!#REF!</definedName>
    <definedName name="NAME">#REF!</definedName>
    <definedName name="NAME01">#REF!</definedName>
    <definedName name="NAME02">#REF!</definedName>
    <definedName name="NAME03">#REF!</definedName>
    <definedName name="NAME1" localSheetId="1">[26]공급설비!#REF!</definedName>
    <definedName name="NAME1">#REF!</definedName>
    <definedName name="NAME2" localSheetId="1">[26]공급설비!#REF!</definedName>
    <definedName name="NAME2">#REF!</definedName>
    <definedName name="NAMSNGa" localSheetId="1">[13]BLOOMBERG!#REF!</definedName>
    <definedName name="NAMSNGa">#REF!</definedName>
    <definedName name="NAMSNGb" localSheetId="1">[13]BLOOMBERG!#REF!</definedName>
    <definedName name="NAMSNGb">#REF!</definedName>
    <definedName name="nbc" hidden="1">{"'4월수지'!$A$1:$AE$45"}</definedName>
    <definedName name="nbv" localSheetId="1">#REF!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 localSheetId="1">#REF!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 localSheetId="1">#REF!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 localSheetId="1">#REF!</definedName>
    <definedName name="nstep">#REF!</definedName>
    <definedName name="NUMBEROFDETAILFIELDS1" localSheetId="1">#REF!</definedName>
    <definedName name="NUMBEROFDETAILFIELDS1">#REF!</definedName>
    <definedName name="NUMBEROFHEADERFIELDS1" localSheetId="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 localSheetId="1">#REF!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localSheetId="1">#REF!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 localSheetId="1">#REF!</definedName>
    <definedName name="original">#REF!</definedName>
    <definedName name="OS" localSheetId="1">#REF!</definedName>
    <definedName name="OS">#REF!</definedName>
    <definedName name="OtherExp" localSheetId="1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localSheetId="1">#REF!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 localSheetId="2">'[27]T6-6(2)'!#REF!</definedName>
    <definedName name="PAGE4" localSheetId="1">'[27]T6-6(2)'!#REF!</definedName>
    <definedName name="PAGE4">#REF!</definedName>
    <definedName name="PAGE5" localSheetId="2">'[27]T6-6(2)'!#REF!</definedName>
    <definedName name="PAGE5" localSheetId="1">'[27]T6-6(2)'!#REF!</definedName>
    <definedName name="PAGE5">#REF!</definedName>
    <definedName name="PAGE8" localSheetId="1">'[27]T6-6(2)'!#REF!</definedName>
    <definedName name="PAGE8">#REF!</definedName>
    <definedName name="PAGE9" localSheetId="1">'[27]T6-6(2)'!#REF!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 localSheetId="1">#REF!</definedName>
    <definedName name="PBC">#REF!</definedName>
    <definedName name="PBC_List" localSheetId="1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 localSheetId="1">#REF!</definedName>
    <definedName name="Percent_Threshold">#REF!</definedName>
    <definedName name="PERIOD_END" localSheetId="2">#REF!</definedName>
    <definedName name="PERIOD_END" localSheetId="1">#REF!</definedName>
    <definedName name="PERIOD_END">#REF!</definedName>
    <definedName name="PERIODSETNAME1" localSheetId="1">#REF!</definedName>
    <definedName name="PERIODSETNAME1">#REF!</definedName>
    <definedName name="PG_Convert" localSheetId="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 localSheetId="1">#REF!</definedName>
    <definedName name="PIPE40">#REF!</definedName>
    <definedName name="PJT비용_B" hidden="1">{#N/A,#N/A,FALSE,"교재수정"}</definedName>
    <definedName name="PL" localSheetId="1">#REF!</definedName>
    <definedName name="PL" hidden="1">{#N/A,#N/A,FALSE,"BS";#N/A,#N/A,FALSE,"PL";#N/A,#N/A,FALSE,"처분";#N/A,#N/A,FALSE,"현금";#N/A,#N/A,FALSE,"매출";#N/A,#N/A,FALSE,"원가";#N/A,#N/A,FALSE,"경영"}</definedName>
    <definedName name="PL_Dollar_Threshold" localSheetId="1">#REF!</definedName>
    <definedName name="PL_Dollar_Threshold">#REF!</definedName>
    <definedName name="PL_Percent_Threshold" localSheetId="1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 localSheetId="2">[23]INMD1198!$AX$10</definedName>
    <definedName name="pm">#REF!</definedName>
    <definedName name="PMXa" localSheetId="1">[13]BLOOMBERG!#REF!</definedName>
    <definedName name="PMXa">#REF!</definedName>
    <definedName name="PMXb" localSheetId="1">[13]BLOOMBERG!#REF!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 localSheetId="1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 localSheetId="1">#REF!</definedName>
    <definedName name="PR">#REF!</definedName>
    <definedName name="PRESS요일">TEXT(WEEKDAY(#REF!),"aaa")</definedName>
    <definedName name="PRETA" localSheetId="1">#REF!</definedName>
    <definedName name="PRETA">#REF!</definedName>
    <definedName name="PRICE">#N/A</definedName>
    <definedName name="PRIMTH">2</definedName>
    <definedName name="PRIMTH_CHG">4</definedName>
    <definedName name="print" localSheetId="1">#REF!</definedName>
    <definedName name="print">#REF!</definedName>
    <definedName name="_xlnm.Print_Area" localSheetId="2">'5600_수입보증금'!$A$7:$L$13</definedName>
    <definedName name="_xlnm.Print_Area" localSheetId="1">'5600_장기미지급비용'!$A$8:$K$15</definedName>
    <definedName name="_xlnm.Print_Area">#REF!</definedName>
    <definedName name="PRINT_AREA_MI" localSheetId="2">#REF!</definedName>
    <definedName name="PRINT_AREA_MI" localSheetId="1">#REF!</definedName>
    <definedName name="Print_Area_MI">#REF!</definedName>
    <definedName name="Print_Areea" localSheetId="1">#REF!</definedName>
    <definedName name="Print_Areea">#REF!</definedName>
    <definedName name="Print_Dedail" localSheetId="1">#REF!</definedName>
    <definedName name="Print_Dedail">#REF!</definedName>
    <definedName name="_xlnm.Print_Titles" localSheetId="1">#REF!</definedName>
    <definedName name="_xlnm.Print_Titles">#REF!</definedName>
    <definedName name="PRINT_TITLES_MI" localSheetId="2">#REF!</definedName>
    <definedName name="PRINT_TITLES_MI" localSheetId="1">#REF!</definedName>
    <definedName name="PRINT_TITLES_MI">#REF!</definedName>
    <definedName name="PRINT1" localSheetId="1">[26]공급설비!#REF!</definedName>
    <definedName name="PRINT1">#REF!</definedName>
    <definedName name="PRINT2" localSheetId="1">[26]공급설비!#REF!</definedName>
    <definedName name="PRINT2">#REF!</definedName>
    <definedName name="PRINT3" localSheetId="1">[26]공급설비!#REF!</definedName>
    <definedName name="PRINT3">#REF!</definedName>
    <definedName name="PRINT4" localSheetId="1">[26]공급설비!#REF!</definedName>
    <definedName name="PRINT4">#REF!</definedName>
    <definedName name="PRINT5" localSheetId="1">[26]공급설비!#REF!</definedName>
    <definedName name="PRINT5">#REF!</definedName>
    <definedName name="PRINT6" localSheetId="1">[26]공급설비!#REF!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 localSheetId="1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 localSheetId="1">#REF!</definedName>
    <definedName name="property_type">#REF!</definedName>
    <definedName name="PROVISION" localSheetId="1">#REF!</definedName>
    <definedName name="PROVISION">#REF!</definedName>
    <definedName name="PRR" hidden="1">{"'status'!$B$2:$H$15"}</definedName>
    <definedName name="prueba" hidden="1">#REF!</definedName>
    <definedName name="PTR" localSheetId="2">#REF!</definedName>
    <definedName name="PTR" localSheetId="1">#REF!</definedName>
    <definedName name="PTR">#REF!</definedName>
    <definedName name="PUB_UserID" hidden="1">"MAYERX"</definedName>
    <definedName name="purchase" hidden="1">{"'손익현황'!$A$1:$J$29"}</definedName>
    <definedName name="PY_Accounts_Receivable" localSheetId="1">#REF!</definedName>
    <definedName name="PY_Accounts_Receivable">#REF!</definedName>
    <definedName name="PY_Administration" localSheetId="1">#REF!</definedName>
    <definedName name="PY_Administration">#REF!</definedName>
    <definedName name="PY_Cash" localSheetId="1">#REF!</definedName>
    <definedName name="PY_Cash">#REF!</definedName>
    <definedName name="PY_Cash_Div_Dec" localSheetId="1">[19]손익계산서!#REF!</definedName>
    <definedName name="PY_Cash_Div_Dec">#REF!</definedName>
    <definedName name="PY_Common_Equity" localSheetId="1">#REF!</definedName>
    <definedName name="PY_Common_Equity">#REF!</definedName>
    <definedName name="PY_Cost_of_Sales" localSheetId="1">#REF!</definedName>
    <definedName name="PY_Cost_of_Sales">#REF!</definedName>
    <definedName name="PY_Current_Liabilities" localSheetId="1">#REF!</definedName>
    <definedName name="PY_Current_Liabilities">#REF!</definedName>
    <definedName name="PY_Depreciation" localSheetId="1">[19]손익계산서!#REF!</definedName>
    <definedName name="PY_Depreciation">#REF!</definedName>
    <definedName name="PY_Gross_Profit" localSheetId="1">#REF!</definedName>
    <definedName name="PY_Gross_Profit">#REF!</definedName>
    <definedName name="PY_Inc_Bef_Tax" localSheetId="1">#REF!</definedName>
    <definedName name="PY_Inc_Bef_Tax">#REF!</definedName>
    <definedName name="PY_Intangible_Assets" localSheetId="1">#REF!</definedName>
    <definedName name="PY_Intangible_Assets">#REF!</definedName>
    <definedName name="PY_Interest_Expense" localSheetId="1">#REF!</definedName>
    <definedName name="PY_Interest_Expense">#REF!</definedName>
    <definedName name="PY_Inventory" localSheetId="1">#REF!</definedName>
    <definedName name="PY_Inventory">#REF!</definedName>
    <definedName name="PY_investment" localSheetId="1">#REF!</definedName>
    <definedName name="PY_investment">#REF!</definedName>
    <definedName name="PY_LIABIL_EQUITY" localSheetId="1">#REF!</definedName>
    <definedName name="PY_LIABIL_EQUITY">#REF!</definedName>
    <definedName name="PY_LT_Debt" localSheetId="1">#REF!</definedName>
    <definedName name="PY_LT_Debt">#REF!</definedName>
    <definedName name="PY_Market_Value_of_Equity" localSheetId="1">[19]손익계산서!#REF!</definedName>
    <definedName name="PY_Market_Value_of_Equity">#REF!</definedName>
    <definedName name="PY_Marketable_Sec" localSheetId="1">#REF!</definedName>
    <definedName name="PY_Marketable_Sec">#REF!</definedName>
    <definedName name="PY_NET_PROFIT" localSheetId="1">#REF!</definedName>
    <definedName name="PY_NET_PROFIT">#REF!</definedName>
    <definedName name="PY_Net_Revenue" localSheetId="1">#REF!</definedName>
    <definedName name="PY_Net_Revenue">#REF!</definedName>
    <definedName name="PY_Operating_Inc" localSheetId="1">[19]손익계산서!#REF!</definedName>
    <definedName name="PY_Operating_Inc">#REF!</definedName>
    <definedName name="PY_Operating_Income" localSheetId="1">#REF!</definedName>
    <definedName name="PY_Operating_Income">#REF!</definedName>
    <definedName name="PY_Other_Curr_Assets" localSheetId="1">[19]대차대조표!#REF!</definedName>
    <definedName name="PY_Other_Curr_Assets">#REF!</definedName>
    <definedName name="PY_Other_Exp" localSheetId="1">[19]손익계산서!#REF!</definedName>
    <definedName name="PY_Other_Exp">#REF!</definedName>
    <definedName name="PY_Other_LT_Assets" localSheetId="1">[19]대차대조표!#REF!</definedName>
    <definedName name="PY_Other_LT_Assets">#REF!</definedName>
    <definedName name="PY_Other_LT_Liabilities" localSheetId="1">[19]대차대조표!#REF!</definedName>
    <definedName name="PY_Other_LT_Liabilities">#REF!</definedName>
    <definedName name="PY_Preferred_Stock" localSheetId="1">#REF!</definedName>
    <definedName name="PY_Preferred_Stock">#REF!</definedName>
    <definedName name="PY_QUICK_ASSETS" localSheetId="1">#REF!</definedName>
    <definedName name="PY_QUICK_ASSETS">#REF!</definedName>
    <definedName name="PY_Retained_Earnings" localSheetId="1">#REF!</definedName>
    <definedName name="PY_Retained_Earnings">#REF!</definedName>
    <definedName name="PY_Selling" localSheetId="1">[19]손익계산서!#REF!</definedName>
    <definedName name="PY_Selling">#REF!</definedName>
    <definedName name="PY_Tangible_Assets" localSheetId="1">#REF!</definedName>
    <definedName name="PY_Tangible_Assets">#REF!</definedName>
    <definedName name="PY_Tangible_Net_Worth" localSheetId="1">[19]손익계산서!#REF!</definedName>
    <definedName name="PY_Tangible_Net_Worth">#REF!</definedName>
    <definedName name="PY_Taxes" localSheetId="1">#REF!</definedName>
    <definedName name="PY_Taxes">#REF!</definedName>
    <definedName name="PY_TOTAL_ASSETS" localSheetId="1">#REF!</definedName>
    <definedName name="PY_TOTAL_ASSETS">#REF!</definedName>
    <definedName name="PY_TOTAL_CURR_ASSETS" localSheetId="1">#REF!</definedName>
    <definedName name="PY_TOTAL_CURR_ASSETS">#REF!</definedName>
    <definedName name="PY_TOTAL_DEBT" localSheetId="1">#REF!</definedName>
    <definedName name="PY_TOTAL_DEBT">#REF!</definedName>
    <definedName name="PY_TOTAL_EQUITY" localSheetId="1">#REF!</definedName>
    <definedName name="PY_TOTAL_EQUITY">#REF!</definedName>
    <definedName name="PY_Weighted_Average" localSheetId="1">[19]손익계산서!#REF!</definedName>
    <definedName name="PY_Weighted_Average">#REF!</definedName>
    <definedName name="PY_Working_Capital" localSheetId="1">[19]손익계산서!#REF!</definedName>
    <definedName name="PY_Working_Capital">#REF!</definedName>
    <definedName name="PY_경상이익" localSheetId="1">#REF!</definedName>
    <definedName name="PY_경상이익">#REF!</definedName>
    <definedName name="PY_단기차입금" localSheetId="1">#REF!</definedName>
    <definedName name="PY_단기차입금">#REF!</definedName>
    <definedName name="PY_매입채무" localSheetId="1">#REF!</definedName>
    <definedName name="PY_매입채무">#REF!</definedName>
    <definedName name="PY_사채" localSheetId="1">#REF!</definedName>
    <definedName name="PY_사채">#REF!</definedName>
    <definedName name="PY_유동성장기부채" localSheetId="1">#REF!</definedName>
    <definedName name="PY_유동성장기부채">#REF!</definedName>
    <definedName name="PY_장기차입금" localSheetId="1">#REF!</definedName>
    <definedName name="PY_장기차입금">#REF!</definedName>
    <definedName name="PY2_Accounts_Receivable" localSheetId="1">#REF!</definedName>
    <definedName name="PY2_Accounts_Receivable">#REF!</definedName>
    <definedName name="PY2_Administration" localSheetId="1">#REF!</definedName>
    <definedName name="PY2_Administration">#REF!</definedName>
    <definedName name="PY2_Cash" localSheetId="1">#REF!</definedName>
    <definedName name="PY2_Cash">#REF!</definedName>
    <definedName name="PY2_Cash_Div_Dec" localSheetId="1">[19]손익계산서!#REF!</definedName>
    <definedName name="PY2_Cash_Div_Dec">#REF!</definedName>
    <definedName name="PY2_Common_Equity" localSheetId="1">#REF!</definedName>
    <definedName name="PY2_Common_Equity">#REF!</definedName>
    <definedName name="PY2_Cost_of_Sales" localSheetId="1">#REF!</definedName>
    <definedName name="PY2_Cost_of_Sales">#REF!</definedName>
    <definedName name="PY2_Current_Liabilities" localSheetId="1">#REF!</definedName>
    <definedName name="PY2_Current_Liabilities">#REF!</definedName>
    <definedName name="PY2_Depreciation" localSheetId="1">[19]손익계산서!#REF!</definedName>
    <definedName name="PY2_Depreciation">#REF!</definedName>
    <definedName name="PY2_Gross_Profit" localSheetId="1">#REF!</definedName>
    <definedName name="PY2_Gross_Profit">#REF!</definedName>
    <definedName name="PY2_Inc_Bef_Tax" localSheetId="1">#REF!</definedName>
    <definedName name="PY2_Inc_Bef_Tax">#REF!</definedName>
    <definedName name="PY2_Intangible_Assets" localSheetId="1">#REF!</definedName>
    <definedName name="PY2_Intangible_Assets">#REF!</definedName>
    <definedName name="PY2_Interest_Expense" localSheetId="1">#REF!</definedName>
    <definedName name="PY2_Interest_Expense">#REF!</definedName>
    <definedName name="PY2_Inventory" localSheetId="1">#REF!</definedName>
    <definedName name="PY2_Inventory">#REF!</definedName>
    <definedName name="PY2_investment" localSheetId="1">#REF!</definedName>
    <definedName name="PY2_investment">#REF!</definedName>
    <definedName name="PY2_LIABIL_EQUITY" localSheetId="1">#REF!</definedName>
    <definedName name="PY2_LIABIL_EQUITY">#REF!</definedName>
    <definedName name="PY2_LT_Debt" localSheetId="1">#REF!</definedName>
    <definedName name="PY2_LT_Debt">#REF!</definedName>
    <definedName name="PY2_Marketable_Sec" localSheetId="1">#REF!</definedName>
    <definedName name="PY2_Marketable_Sec">#REF!</definedName>
    <definedName name="PY2_NET_PROFIT" localSheetId="1">#REF!</definedName>
    <definedName name="PY2_NET_PROFIT">#REF!</definedName>
    <definedName name="PY2_Net_Revenue" localSheetId="1">#REF!</definedName>
    <definedName name="PY2_Net_Revenue">#REF!</definedName>
    <definedName name="PY2_Operating_Inc" localSheetId="1">[19]손익계산서!#REF!</definedName>
    <definedName name="PY2_Operating_Inc">#REF!</definedName>
    <definedName name="PY2_Operating_Income" localSheetId="1">#REF!</definedName>
    <definedName name="PY2_Operating_Income">#REF!</definedName>
    <definedName name="PY2_Other_Curr_Assets" localSheetId="1">[19]대차대조표!#REF!</definedName>
    <definedName name="PY2_Other_Curr_Assets">#REF!</definedName>
    <definedName name="PY2_Other_Exp." localSheetId="1">[19]손익계산서!#REF!</definedName>
    <definedName name="PY2_Other_Exp.">#REF!</definedName>
    <definedName name="PY2_Other_LT_Assets" localSheetId="1">[19]대차대조표!#REF!</definedName>
    <definedName name="PY2_Other_LT_Assets">#REF!</definedName>
    <definedName name="PY2_Other_LT_Liabilities" localSheetId="1">[19]대차대조표!#REF!</definedName>
    <definedName name="PY2_Other_LT_Liabilities">#REF!</definedName>
    <definedName name="PY2_Preferred_Stock" localSheetId="1">#REF!</definedName>
    <definedName name="PY2_Preferred_Stock">#REF!</definedName>
    <definedName name="PY2_QUICK_ASSETS" localSheetId="1">#REF!</definedName>
    <definedName name="PY2_QUICK_ASSETS">#REF!</definedName>
    <definedName name="PY2_Retained_Earnings" localSheetId="1">#REF!</definedName>
    <definedName name="PY2_Retained_Earnings">#REF!</definedName>
    <definedName name="PY2_Selling" localSheetId="1">[19]손익계산서!#REF!</definedName>
    <definedName name="PY2_Selling">#REF!</definedName>
    <definedName name="PY2_Tangible_Assets" localSheetId="1">#REF!</definedName>
    <definedName name="PY2_Tangible_Assets">#REF!</definedName>
    <definedName name="PY2_Tangible_Net_Worth" localSheetId="1">[19]손익계산서!#REF!</definedName>
    <definedName name="PY2_Tangible_Net_Worth">#REF!</definedName>
    <definedName name="PY2_Taxes" localSheetId="1">#REF!</definedName>
    <definedName name="PY2_Taxes">#REF!</definedName>
    <definedName name="PY2_TOTAL_ASSETS" localSheetId="1">#REF!</definedName>
    <definedName name="PY2_TOTAL_ASSETS">#REF!</definedName>
    <definedName name="PY2_TOTAL_CURR_ASSETS" localSheetId="1">#REF!</definedName>
    <definedName name="PY2_TOTAL_CURR_ASSETS">#REF!</definedName>
    <definedName name="PY2_TOTAL_DEBT" localSheetId="1">#REF!</definedName>
    <definedName name="PY2_TOTAL_DEBT">#REF!</definedName>
    <definedName name="PY2_TOTAL_EQUITY" localSheetId="1">#REF!</definedName>
    <definedName name="PY2_TOTAL_EQUITY">#REF!</definedName>
    <definedName name="PY2_Weighted_Average" localSheetId="1">[19]손익계산서!#REF!</definedName>
    <definedName name="PY2_Weighted_Average">#REF!</definedName>
    <definedName name="PY2_Working_Capital" localSheetId="1">[19]손익계산서!#REF!</definedName>
    <definedName name="PY2_Working_Capital">#REF!</definedName>
    <definedName name="PY2_경상이익" localSheetId="1">#REF!</definedName>
    <definedName name="PY2_경상이익">#REF!</definedName>
    <definedName name="PY2_단기차입금" localSheetId="1">#REF!</definedName>
    <definedName name="PY2_단기차입금">#REF!</definedName>
    <definedName name="PY2_매입채무" localSheetId="1">#REF!</definedName>
    <definedName name="PY2_매입채무">#REF!</definedName>
    <definedName name="PY2_사채" localSheetId="1">#REF!</definedName>
    <definedName name="PY2_사채">#REF!</definedName>
    <definedName name="PY2_유동성장기부채" localSheetId="1">#REF!</definedName>
    <definedName name="PY2_유동성장기부채">#REF!</definedName>
    <definedName name="PY2_장기차입금" localSheetId="1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localSheetId="1">#REF!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 localSheetId="1">[28]주채무!#REF!</definedName>
    <definedName name="QNTKS">#REF!</definedName>
    <definedName name="QOTHR" hidden="1">{#N/A,#N/A,FALSE,"P.C.B"}</definedName>
    <definedName name="QQ" localSheetId="1">[0]!Common [0]!DataBase.xls</definedName>
    <definedName name="qq" hidden="1">{#N/A,#N/A,FALSE,"정공"}</definedName>
    <definedName name="qqq" localSheetId="1">#REF!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 localSheetId="1">#REF!</definedName>
    <definedName name="Query1">#REF!</definedName>
    <definedName name="Query2" localSheetId="1">#REF!</definedName>
    <definedName name="Query2">#REF!</definedName>
    <definedName name="quit_button_Click">[0]!quit_button_Click</definedName>
    <definedName name="qw" localSheetId="1">#REF!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localSheetId="1">#REF!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 localSheetId="1">#REF!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 localSheetId="1">#REF!</definedName>
    <definedName name="_xlnm.Recorder">#REF!</definedName>
    <definedName name="recorder\" localSheetId="1">#REF!</definedName>
    <definedName name="recorder\">#REF!</definedName>
    <definedName name="Records" localSheetId="1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 localSheetId="1">[26]공급설비!#REF!</definedName>
    <definedName name="REPORT1">#REF!</definedName>
    <definedName name="REPORT2" localSheetId="1">[26]공급설비!#REF!</definedName>
    <definedName name="REPORT2">#REF!</definedName>
    <definedName name="REPORT3" localSheetId="1">[26]공급설비!#REF!</definedName>
    <definedName name="REPORT3">#REF!</definedName>
    <definedName name="REPORT4" localSheetId="1">[26]공급설비!#REF!</definedName>
    <definedName name="REPORT4">#REF!</definedName>
    <definedName name="REPORT5" localSheetId="1">[26]공급설비!#REF!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 localSheetId="1">#REF!</definedName>
    <definedName name="Reset">#REF!</definedName>
    <definedName name="Residual_difference" localSheetId="1">'[10]Excess Calc'!#REF!</definedName>
    <definedName name="Residual_difference">#REF!</definedName>
    <definedName name="RESPONSIBILITYAPPLICATIONID1" localSheetId="1">#REF!</definedName>
    <definedName name="RESPONSIBILITYAPPLICATIONID1">#REF!</definedName>
    <definedName name="RESPONSIBILITYID1" localSheetId="1">#REF!</definedName>
    <definedName name="RESPONSIBILITYID1">#REF!</definedName>
    <definedName name="RESPONSIBILITYNAME1" localSheetId="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 localSheetId="1">#REF!</definedName>
    <definedName name="review">#REF!</definedName>
    <definedName name="REVISED" localSheetId="1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 localSheetId="1">BlankMacro1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 localSheetId="1">#REF!</definedName>
    <definedName name="rlawjdgus">#REF!</definedName>
    <definedName name="rm" localSheetId="2">[23]INFG1198!$B$53:$AZ$279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 localSheetId="1">#REF!</definedName>
    <definedName name="ROWSTOUPLOAD1">#REF!</definedName>
    <definedName name="rPghlr" hidden="1">{#N/A,#N/A,FALSE,"기술료 비교"}</definedName>
    <definedName name="RP대비">OFFSET([0]!출하구분,0,2)</definedName>
    <definedName name="rr" localSheetId="1">#REF!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cctDes" localSheetId="1">#REF!</definedName>
    <definedName name="S_AcctDes">#REF!</definedName>
    <definedName name="S_Adjust" localSheetId="1">#REF!</definedName>
    <definedName name="S_Adjust">#REF!</definedName>
    <definedName name="S_Adjust_Data" localSheetId="1">#REF!</definedName>
    <definedName name="S_Adjust_Data">#REF!</definedName>
    <definedName name="S_Adjust_GT" localSheetId="1">#REF!</definedName>
    <definedName name="S_Adjust_GT">#REF!</definedName>
    <definedName name="S_AJE_Tot" localSheetId="1">#REF!</definedName>
    <definedName name="S_AJE_Tot">#REF!</definedName>
    <definedName name="S_AJE_Tot_Data" localSheetId="1">#REF!</definedName>
    <definedName name="S_AJE_Tot_Data">#REF!</definedName>
    <definedName name="S_AJE_Tot_GT" localSheetId="1">#REF!</definedName>
    <definedName name="S_AJE_Tot_GT">#REF!</definedName>
    <definedName name="S_CompNum" localSheetId="1">#REF!</definedName>
    <definedName name="S_CompNum">#REF!</definedName>
    <definedName name="S_CY_Beg" localSheetId="1">#REF!</definedName>
    <definedName name="S_CY_Beg">#REF!</definedName>
    <definedName name="S_CY_Beg_Data" localSheetId="1">#REF!</definedName>
    <definedName name="S_CY_Beg_Data">#REF!</definedName>
    <definedName name="S_CY_Beg_GT" localSheetId="1">#REF!</definedName>
    <definedName name="S_CY_Beg_GT">#REF!</definedName>
    <definedName name="S_CY_End" localSheetId="1">#REF!</definedName>
    <definedName name="S_CY_End">#REF!</definedName>
    <definedName name="S_CY_End_Data" localSheetId="1">#REF!</definedName>
    <definedName name="S_CY_End_Data">#REF!</definedName>
    <definedName name="S_CY_End_GT" localSheetId="1">#REF!</definedName>
    <definedName name="S_CY_End_GT">#REF!</definedName>
    <definedName name="S_Diff_Amt" localSheetId="1">#REF!</definedName>
    <definedName name="S_Diff_Amt">#REF!</definedName>
    <definedName name="S_Diff_Pct" localSheetId="1">#REF!</definedName>
    <definedName name="S_Diff_Pct">#REF!</definedName>
    <definedName name="S_GrpNum" localSheetId="1">#REF!</definedName>
    <definedName name="S_GrpNum">#REF!</definedName>
    <definedName name="S_Headings" localSheetId="1">#REF!</definedName>
    <definedName name="S_Headings">#REF!</definedName>
    <definedName name="S_KeyValue" localSheetId="1">#REF!</definedName>
    <definedName name="S_KeyValue">#REF!</definedName>
    <definedName name="S_PY_End" localSheetId="1">#REF!</definedName>
    <definedName name="S_PY_End">#REF!</definedName>
    <definedName name="S_PY_End_Data" localSheetId="1">#REF!</definedName>
    <definedName name="S_PY_End_Data">#REF!</definedName>
    <definedName name="S_PY_End_GT" localSheetId="1">#REF!</definedName>
    <definedName name="S_PY_End_GT">#REF!</definedName>
    <definedName name="S_RJE_Tot" localSheetId="1">#REF!</definedName>
    <definedName name="S_RJE_Tot">#REF!</definedName>
    <definedName name="S_RJE_Tot_Data" localSheetId="1">#REF!</definedName>
    <definedName name="S_RJE_Tot_Data">#REF!</definedName>
    <definedName name="S_RJE_Tot_GT" localSheetId="1">#REF!</definedName>
    <definedName name="S_RJE_Tot_GT">#REF!</definedName>
    <definedName name="S_RowNum" localSheetId="1">#REF!</definedName>
    <definedName name="S_RowNum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 localSheetId="2">[29]시산표!#REF!</definedName>
    <definedName name="safd" localSheetId="1">[29]시산표!#REF!</definedName>
    <definedName name="safd">#REF!</definedName>
    <definedName name="sales" localSheetId="1">#REF!</definedName>
    <definedName name="sales">#REF!</definedName>
    <definedName name="Sales_Equip." localSheetId="1">#REF!</definedName>
    <definedName name="Sales_Equip.">#REF!</definedName>
    <definedName name="SAMDIS2a" localSheetId="1">[13]BLOOMBERG!#REF!</definedName>
    <definedName name="SAMDIS2a">#REF!</definedName>
    <definedName name="SAMDIS2b" localSheetId="1">[13]BLOOMBERG!#REF!</definedName>
    <definedName name="SAMDIS2b">#REF!</definedName>
    <definedName name="SAMELEa">#REF!</definedName>
    <definedName name="SAMELEb">#REF!</definedName>
    <definedName name="SAMSNGa" localSheetId="1">[13]BLOOMBERG!#REF!</definedName>
    <definedName name="SAMSNGa">#REF!</definedName>
    <definedName name="SAMSNGb" localSheetId="1">[13]BLOOMBERG!#REF!</definedName>
    <definedName name="SAMSNGb">#REF!</definedName>
    <definedName name="SAMSUN2a" localSheetId="1">[13]BLOOMBERG!#REF!</definedName>
    <definedName name="SAMSUN2a">#REF!</definedName>
    <definedName name="SAMSUN2b" localSheetId="1">[13]BLOOMBERG!#REF!</definedName>
    <definedName name="SAMSUN2b">#REF!</definedName>
    <definedName name="SAMSUNa" localSheetId="1">[13]BLOOMBERG!#REF!</definedName>
    <definedName name="SAMSUNa">#REF!</definedName>
    <definedName name="SAMSUNb" localSheetId="1">[13]BLOOMBERG!#REF!</definedName>
    <definedName name="SAMSUNb">#REF!</definedName>
    <definedName name="sang" localSheetId="2">#REF!</definedName>
    <definedName name="sang" localSheetId="1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 localSheetId="2">#REF!</definedName>
    <definedName name="sang1" localSheetId="1">#REF!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 localSheetId="1">#REF!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 localSheetId="1">#REF!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 localSheetId="1">#REF!</definedName>
    <definedName name="SETOFBOOKSID1">#REF!</definedName>
    <definedName name="SETOFBOOKSNAME1" localSheetId="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 localSheetId="1">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 localSheetId="1">#REF!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 localSheetId="1">[13]BLOOMBERG!#REF!</definedName>
    <definedName name="SKCHEMa">#REF!</definedName>
    <definedName name="SKCHEMb" localSheetId="1">[13]BLOOMBERG!#REF!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 localSheetId="1">#REF!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 localSheetId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 localSheetId="1">[0]!Common [0]!DataBase.xls</definedName>
    <definedName name="sssssssss">[0]!Common [0]!DataBase.xls</definedName>
    <definedName name="ssssssssssss" localSheetId="1">[0]!Common [0]!DataBase.xls</definedName>
    <definedName name="ssssssssssss">[0]!Common [0]!DataBase.xls</definedName>
    <definedName name="Start" localSheetId="1">#REF!</definedName>
    <definedName name="Start">#REF!</definedName>
    <definedName name="STARTJOURNALIMPORT1" localSheetId="1">#REF!</definedName>
    <definedName name="STARTJOURNALIMPORT1">#REF!</definedName>
    <definedName name="stat_copy" localSheetId="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 localSheetId="1">[30]Oct!#REF!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 localSheetId="1">#REF!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 localSheetId="1">#REF!</definedName>
    <definedName name="TABLE">#REF!</definedName>
    <definedName name="TABLE1" localSheetId="2">#REF!</definedName>
    <definedName name="TABLE1" localSheetId="1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localSheetId="1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 localSheetId="2">[3]시산표!#REF!</definedName>
    <definedName name="TB112.1" localSheetId="1">[3]시산표!#REF!</definedName>
    <definedName name="TB112.1">#REF!</definedName>
    <definedName name="TB113.1">#REF!</definedName>
    <definedName name="TB114.1">#REF!</definedName>
    <definedName name="TB115.1" localSheetId="2">[3]시산표!#REF!</definedName>
    <definedName name="TB115.1" localSheetId="1">[3]시산표!#REF!</definedName>
    <definedName name="TB115.1">#REF!</definedName>
    <definedName name="TB116.1" localSheetId="2">[2]시산표!#REF!</definedName>
    <definedName name="TB116.1" localSheetId="1">[2]시산표!#REF!</definedName>
    <definedName name="TB116.1">#REF!</definedName>
    <definedName name="TB117.1" localSheetId="1">[3]시산표!#REF!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 localSheetId="2">[3]시산표!#REF!</definedName>
    <definedName name="TB213.1" localSheetId="1">[3]시산표!#REF!</definedName>
    <definedName name="TB213.1">#REF!</definedName>
    <definedName name="TB221.1" localSheetId="2">[3]시산표!#REF!</definedName>
    <definedName name="TB221.1" localSheetId="1">[3]시산표!#REF!</definedName>
    <definedName name="TB221.1">#REF!</definedName>
    <definedName name="TB222.1" localSheetId="1">[3]시산표!#REF!</definedName>
    <definedName name="TB222.1">#REF!</definedName>
    <definedName name="TB222.2" localSheetId="1">[3]시산표!#REF!</definedName>
    <definedName name="TB222.2">#REF!</definedName>
    <definedName name="TB223.1" localSheetId="1">[3]시산표!#REF!</definedName>
    <definedName name="TB223.1">#REF!</definedName>
    <definedName name="TB224.1" localSheetId="1">[3]시산표!#REF!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 localSheetId="2">[3]시산표!#REF!</definedName>
    <definedName name="TB313.1" localSheetId="1">[3]시산표!#REF!</definedName>
    <definedName name="TB313.1">#REF!</definedName>
    <definedName name="TB314.1">#REF!</definedName>
    <definedName name="TB315.1">#REF!</definedName>
    <definedName name="TB316.1">#REF!</definedName>
    <definedName name="TB317.1" localSheetId="2">[3]시산표!#REF!</definedName>
    <definedName name="TB317.1" localSheetId="1">[3]시산표!#REF!</definedName>
    <definedName name="TB317.1">#REF!</definedName>
    <definedName name="TB318.1" localSheetId="2">[3]시산표!#REF!</definedName>
    <definedName name="TB318.1" localSheetId="1">[3]시산표!#REF!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 localSheetId="1">[3]시산표!#REF!</definedName>
    <definedName name="TB601.1">#REF!</definedName>
    <definedName name="TB6037588e_73db_4e47_9a8d_11910a626cf3" hidden="1">#REF!</definedName>
    <definedName name="TB605.1" localSheetId="1">[3]시산표!#REF!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 localSheetId="1">'[31]관계회사거래내역및 채권채무잔액 99'!#REF!</definedName>
    <definedName name="TDS">#REF!</definedName>
    <definedName name="TE" hidden="1">{"'Desktop Inventory 현황'!$B$2:$O$35"}</definedName>
    <definedName name="TEMPLATENUMBER1" localSheetId="1">#REF!</definedName>
    <definedName name="TEMPLATENUMBER1">#REF!</definedName>
    <definedName name="TEMPLATESTYLE1" localSheetId="1">#REF!</definedName>
    <definedName name="TEMPLATESTYLE1">#REF!</definedName>
    <definedName name="TEMPLATETYPE1" localSheetId="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 localSheetId="1">#REF!</definedName>
    <definedName name="TextRefCopy1">#REF!</definedName>
    <definedName name="TextRefCopy10" localSheetId="1">#REF!</definedName>
    <definedName name="TextRefCopy10">#REF!</definedName>
    <definedName name="TextRefCopy11" localSheetId="1">#REF!</definedName>
    <definedName name="TextRefCopy11">#REF!</definedName>
    <definedName name="TextRefCopy12" localSheetId="1">#REF!</definedName>
    <definedName name="TextRefCopy12">#REF!</definedName>
    <definedName name="TextRefCopy13" localSheetId="1">[32]분석적검토!#REF!</definedName>
    <definedName name="TextRefCopy13">#REF!</definedName>
    <definedName name="TextRefCopy14" localSheetId="1">#REF!</definedName>
    <definedName name="TextRefCopy14">#REF!</definedName>
    <definedName name="TextRefCopy15" localSheetId="1">#REF!</definedName>
    <definedName name="TextRefCopy15">#REF!</definedName>
    <definedName name="TextRefCopy16" localSheetId="1">#REF!</definedName>
    <definedName name="TextRefCopy16">#REF!</definedName>
    <definedName name="TextRefCopy17" localSheetId="1">#REF!</definedName>
    <definedName name="TextRefCopy17">#REF!</definedName>
    <definedName name="TextRefCopy18" localSheetId="1">#REF!</definedName>
    <definedName name="TextRefCopy18">#REF!</definedName>
    <definedName name="TextRefCopy19" localSheetId="1">#REF!</definedName>
    <definedName name="TextRefCopy19">#REF!</definedName>
    <definedName name="TextRefCopy2" localSheetId="1">#REF!</definedName>
    <definedName name="TextRefCopy2">#REF!</definedName>
    <definedName name="TextRefCopy20" localSheetId="1">#REF!</definedName>
    <definedName name="TextRefCopy20">#REF!</definedName>
    <definedName name="TextRefCopy21" localSheetId="1">#REF!</definedName>
    <definedName name="TextRefCopy21">#REF!</definedName>
    <definedName name="TextRefCopy22" localSheetId="1">#REF!</definedName>
    <definedName name="TextRefCopy22">#REF!</definedName>
    <definedName name="TextRefCopy23" localSheetId="1">#REF!</definedName>
    <definedName name="TextRefCopy23">#REF!</definedName>
    <definedName name="TextRefCopy24" localSheetId="1">#REF!</definedName>
    <definedName name="TextRefCopy24">#REF!</definedName>
    <definedName name="TextRefCopy25" localSheetId="1">#REF!</definedName>
    <definedName name="TextRefCopy25">#REF!</definedName>
    <definedName name="TextRefCopy26" localSheetId="1">#REF!</definedName>
    <definedName name="TextRefCopy26">#REF!</definedName>
    <definedName name="TextRefCopy27" localSheetId="1">#REF!</definedName>
    <definedName name="TextRefCopy27">#REF!</definedName>
    <definedName name="TextRefCopy28" localSheetId="1">#REF!</definedName>
    <definedName name="TextRefCopy28">#REF!</definedName>
    <definedName name="TextRefCopy29" localSheetId="1">#REF!</definedName>
    <definedName name="TextRefCopy29">#REF!</definedName>
    <definedName name="TextRefCopy3" localSheetId="1">[33]외환차손익!#REF!</definedName>
    <definedName name="TextRefCopy3">#REF!</definedName>
    <definedName name="TextRefCopy30" localSheetId="1">#REF!</definedName>
    <definedName name="TextRefCopy30">#REF!</definedName>
    <definedName name="TextRefCopy31" localSheetId="1">#REF!</definedName>
    <definedName name="TextRefCopy31">#REF!</definedName>
    <definedName name="TextRefCopy32" localSheetId="1">#REF!</definedName>
    <definedName name="TextRefCopy32">#REF!</definedName>
    <definedName name="TextRefCopy33" localSheetId="1">#REF!</definedName>
    <definedName name="TextRefCopy33">#REF!</definedName>
    <definedName name="TextRefCopy34" localSheetId="1">#REF!</definedName>
    <definedName name="TextRefCopy34">#REF!</definedName>
    <definedName name="TextRefCopy35" localSheetId="1">#REF!</definedName>
    <definedName name="TextRefCopy35">#REF!</definedName>
    <definedName name="TextRefCopy36" localSheetId="1">#REF!</definedName>
    <definedName name="TextRefCopy36">#REF!</definedName>
    <definedName name="TextRefCopy37" localSheetId="1">#REF!</definedName>
    <definedName name="TextRefCopy37">#REF!</definedName>
    <definedName name="TextRefCopy38" localSheetId="1">#REF!</definedName>
    <definedName name="TextRefCopy38">#REF!</definedName>
    <definedName name="TextRefCopy39" localSheetId="1">#REF!</definedName>
    <definedName name="TextRefCopy39">#REF!</definedName>
    <definedName name="TextRefCopy4" localSheetId="1">[33]외환차손익!#REF!</definedName>
    <definedName name="TextRefCopy4">#REF!</definedName>
    <definedName name="TextRefCopy40" localSheetId="1">#REF!</definedName>
    <definedName name="TextRefCopy40">#REF!</definedName>
    <definedName name="TextRefCopy41" localSheetId="1">#REF!</definedName>
    <definedName name="TextRefCopy41">#REF!</definedName>
    <definedName name="TextRefCopy42" localSheetId="1">#REF!</definedName>
    <definedName name="TextRefCopy42">#REF!</definedName>
    <definedName name="TextRefCopy43" localSheetId="1">#REF!</definedName>
    <definedName name="TextRefCopy43">#REF!</definedName>
    <definedName name="TextRefCopy44" localSheetId="1">#REF!</definedName>
    <definedName name="TextRefCopy44">#REF!</definedName>
    <definedName name="TextRefCopy45" localSheetId="1">#REF!</definedName>
    <definedName name="TextRefCopy45">#REF!</definedName>
    <definedName name="TextRefCopy46" localSheetId="1">#REF!</definedName>
    <definedName name="TextRefCopy46">#REF!</definedName>
    <definedName name="TextRefCopy47" localSheetId="1">#REF!</definedName>
    <definedName name="TextRefCopy47">#REF!</definedName>
    <definedName name="TextRefCopy48" localSheetId="1">#REF!</definedName>
    <definedName name="TextRefCopy48">#REF!</definedName>
    <definedName name="TextRefCopy49" localSheetId="1">#REF!</definedName>
    <definedName name="TextRefCopy49">#REF!</definedName>
    <definedName name="TextRefCopy5" localSheetId="1">[33]외환차손익!#REF!</definedName>
    <definedName name="TextRefCopy5">#REF!</definedName>
    <definedName name="TextRefCopy6">#REF!</definedName>
    <definedName name="TextRefCopy60" localSheetId="1">#REF!</definedName>
    <definedName name="TextRefCopy60">#REF!</definedName>
    <definedName name="TextRefCopy7" localSheetId="1">#REF!</definedName>
    <definedName name="TextRefCopy7">#REF!</definedName>
    <definedName name="TextRefCopy8" localSheetId="1">#REF!</definedName>
    <definedName name="TextRefCopy8">#REF!</definedName>
    <definedName name="TextRefCopy9" localSheetId="1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localSheetId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 localSheetId="1">#REF!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 localSheetId="1">#REF!</definedName>
    <definedName name="Training">#REF!</definedName>
    <definedName name="TransNum" localSheetId="1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 localSheetId="1">[13]BLOOMBERG!#REF!</definedName>
    <definedName name="TRIGEMa">#REF!</definedName>
    <definedName name="TRIGEMb" localSheetId="1">[13]BLOOMBERG!#REF!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 localSheetId="1">#REF!</definedName>
    <definedName name="UNPTA">#REF!</definedName>
    <definedName name="UNYANG">#REF!</definedName>
    <definedName name="UploadFile">#REF!</definedName>
    <definedName name="USD" localSheetId="1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 localSheetId="1">'[34]Stock Div Accural'!#REF!</definedName>
    <definedName name="warrant">#REF!</definedName>
    <definedName name="warrants" localSheetId="1">#REF!</definedName>
    <definedName name="warrants">#REF!</definedName>
    <definedName name="warrants1" localSheetId="1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 localSheetId="1">'[35]1995년 섹터별 매출'!#REF!</definedName>
    <definedName name="WHANT">#REF!</definedName>
    <definedName name="what" hidden="1">{"CostData",#N/A,FALSE,"Ethylene Price Model";"CostData2",#N/A,FALSE,"Input Assumptions"}</definedName>
    <definedName name="widebs" localSheetId="1">#REF!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 localSheetId="1">#REF!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>BlankMacro1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localSheetId="1">BlankMacro1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localSheetId="1">[0]!Common [0]!DataBase.xls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localSheetId="1">BlankMacro1</definedName>
    <definedName name="WWWWW" hidden="1">{"'호선별현황(방식)'!$K$22:$P$22","'호선별현황(방식)'!$K$22:$P$22"}</definedName>
    <definedName name="wwwwww" localSheetId="1">BlankMacro1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localSheetId="1">BlankMacro1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 localSheetId="1">BlankMacro1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localSheetId="1">BlankMacro1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 localSheetId="1">BlankMacro1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 localSheetId="1">[36]손익!#REF!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localSheetId="1" hidden="1">#REF!</definedName>
    <definedName name="XREF_COLUMN_1" hidden="1">#N/A</definedName>
    <definedName name="XREF_COLUMN_10" localSheetId="1" hidden="1">#REF!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localSheetId="1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localSheetId="1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localSheetId="1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localSheetId="1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localSheetId="1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localSheetId="1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localSheetId="1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localSheetId="1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localSheetId="1" hidden="1">#REF!</definedName>
    <definedName name="XREF_COLUMN_19" hidden="1">#REF!</definedName>
    <definedName name="XREF_COLUMN_2" localSheetId="1" hidden="1">#REF!</definedName>
    <definedName name="XREF_COLUMN_2" hidden="1">#REF!</definedName>
    <definedName name="XREF_COLUMN_20" localSheetId="1" hidden="1">#REF!</definedName>
    <definedName name="XREF_COLUMN_20" hidden="1">#N/A</definedName>
    <definedName name="XREF_COLUMN_21" localSheetId="1" hidden="1">#REF!</definedName>
    <definedName name="XREF_COLUMN_21" hidden="1">#REF!</definedName>
    <definedName name="XREF_COLUMN_22" localSheetId="1" hidden="1">#REF!</definedName>
    <definedName name="XREF_COLUMN_22" hidden="1">#REF!</definedName>
    <definedName name="XREF_COLUMN_23" localSheetId="1" hidden="1">#REF!</definedName>
    <definedName name="XREF_COLUMN_23" hidden="1">#N/A</definedName>
    <definedName name="XREF_COLUMN_24" localSheetId="1" hidden="1">#REF!</definedName>
    <definedName name="XREF_COLUMN_24" hidden="1">#REF!</definedName>
    <definedName name="XREF_COLUMN_25" localSheetId="1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localSheetId="1" hidden="1">'[37]E Lead'!#REF!</definedName>
    <definedName name="XREF_COLUMN_28" hidden="1">#REF!</definedName>
    <definedName name="XREF_COLUMN_29" localSheetId="1" hidden="1">#REF!</definedName>
    <definedName name="XREF_COLUMN_29" hidden="1">#REF!</definedName>
    <definedName name="XREF_COLUMN_3" localSheetId="1" hidden="1">#REF!</definedName>
    <definedName name="XREF_COLUMN_3" hidden="1">#REF!</definedName>
    <definedName name="XREF_COLUMN_30" localSheetId="1" hidden="1">#REF!</definedName>
    <definedName name="XREF_COLUMN_30" hidden="1">#REF!</definedName>
    <definedName name="XREF_COLUMN_31" localSheetId="1" hidden="1">#REF!</definedName>
    <definedName name="XREF_COLUMN_31" hidden="1">#REF!</definedName>
    <definedName name="XREF_COLUMN_32" localSheetId="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localSheetId="1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localSheetId="1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localSheetId="1" hidden="1">[38]LEAD!#REF!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localSheetId="1" hidden="1">[38]LEAD!#REF!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localSheetId="1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localSheetId="1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1" hidden="1">#REF!</definedName>
    <definedName name="XRefCopy1" hidden="1">#N/A</definedName>
    <definedName name="XRefCopy10" localSheetId="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localSheetId="1" hidden="1">#REF!</definedName>
    <definedName name="XRefCopy10Row" hidden="1">#N/A</definedName>
    <definedName name="XRefCopy11" localSheetId="1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localSheetId="1" hidden="1">#REF!</definedName>
    <definedName name="XRefCopy11Row" hidden="1">#N/A</definedName>
    <definedName name="XRefCopy12" localSheetId="1" hidden="1">#REF!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localSheetId="1" hidden="1">[39]XREF!#REF!</definedName>
    <definedName name="XRefCopy12Row" hidden="1">#N/A</definedName>
    <definedName name="XRefCopy13" localSheetId="1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localSheetId="1" hidden="1">#REF!</definedName>
    <definedName name="XRefCopy13Row" hidden="1">#N/A</definedName>
    <definedName name="XRefCopy14" localSheetId="1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localSheetId="1" hidden="1">#REF!</definedName>
    <definedName name="XRefCopy14Row" hidden="1">#N/A</definedName>
    <definedName name="XRefCopy15" localSheetId="1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localSheetId="1" hidden="1">[40]XREF!#REF!</definedName>
    <definedName name="XRefCopy15Row" hidden="1">#N/A</definedName>
    <definedName name="XRefCopy16" localSheetId="1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localSheetId="1" hidden="1">#REF!</definedName>
    <definedName name="XRefCopy16Row" hidden="1">#N/A</definedName>
    <definedName name="XRefCopy17" localSheetId="1" hidden="1">#REF!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localSheetId="1" hidden="1">#REF!</definedName>
    <definedName name="XRefCopy17Row" hidden="1">#N/A</definedName>
    <definedName name="XRefCopy18" localSheetId="1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localSheetId="1" hidden="1">#REF!</definedName>
    <definedName name="XRefCopy18Row" hidden="1">#N/A</definedName>
    <definedName name="XRefCopy19" localSheetId="1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localSheetId="1" hidden="1">[40]XREF!#REF!</definedName>
    <definedName name="XRefCopy1Row" hidden="1">#N/A</definedName>
    <definedName name="XRefCopy2" localSheetId="1" hidden="1">[39]무형!#REF!</definedName>
    <definedName name="XRefCopy2" hidden="1">#REF!</definedName>
    <definedName name="XRefCopy20" localSheetId="1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localSheetId="1" hidden="1">#REF!</definedName>
    <definedName name="XRefCopy20Row" hidden="1">#N/A</definedName>
    <definedName name="XRefCopy21" localSheetId="1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localSheetId="1" hidden="1">#REF!</definedName>
    <definedName name="XRefCopy21Row" hidden="1">#N/A</definedName>
    <definedName name="XRefCopy22" localSheetId="1" hidden="1">#REF!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localSheetId="1" hidden="1">#REF!</definedName>
    <definedName name="XRefCopy22Row" hidden="1">#N/A</definedName>
    <definedName name="XRefCopy23" localSheetId="1" hidden="1">#REF!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localSheetId="1" hidden="1">#REF!</definedName>
    <definedName name="XRefCopy23Row" hidden="1">#N/A</definedName>
    <definedName name="XRefCopy24" localSheetId="1" hidden="1">#REF!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localSheetId="1" hidden="1">#REF!</definedName>
    <definedName name="XRefCopy24Row" hidden="1">#N/A</definedName>
    <definedName name="XRefCopy25" localSheetId="1" hidden="1">#REF!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localSheetId="1" hidden="1">#REF!</definedName>
    <definedName name="XRefCopy25Row" hidden="1">#N/A</definedName>
    <definedName name="XRefCopy26" localSheetId="1" hidden="1">#REF!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localSheetId="1" hidden="1">#REF!</definedName>
    <definedName name="XRefCopy26Row" hidden="1">#N/A</definedName>
    <definedName name="XRefCopy27" localSheetId="1" hidden="1">#REF!</definedName>
    <definedName name="XRefCopy27" hidden="1">#REF!</definedName>
    <definedName name="XRefCopy27Row" localSheetId="1" hidden="1">#REF!</definedName>
    <definedName name="XRefCopy27Row" hidden="1">#N/A</definedName>
    <definedName name="XRefCopy28" localSheetId="1" hidden="1">#REF!</definedName>
    <definedName name="XRefCopy28" hidden="1">#REF!</definedName>
    <definedName name="XRefCopy28Row" localSheetId="1" hidden="1">#REF!</definedName>
    <definedName name="XRefCopy28Row" hidden="1">#N/A</definedName>
    <definedName name="XRefCopy29" localSheetId="1" hidden="1">#REF!</definedName>
    <definedName name="XRefCopy29" hidden="1">#REF!</definedName>
    <definedName name="XRefCopy29Row" localSheetId="1" hidden="1">#REF!</definedName>
    <definedName name="XRefCopy29Row" hidden="1">#N/A</definedName>
    <definedName name="XRefCopy2Row" localSheetId="1" hidden="1">[40]XREF!#REF!</definedName>
    <definedName name="XRefCopy2Row" hidden="1">#N/A</definedName>
    <definedName name="XRefCopy3" localSheetId="1" hidden="1">[39]무형!#REF!</definedName>
    <definedName name="XRefCopy3" hidden="1">#REF!</definedName>
    <definedName name="XRefCopy30" localSheetId="1" hidden="1">#REF!</definedName>
    <definedName name="XRefCopy30" hidden="1">#REF!</definedName>
    <definedName name="XRefCopy30Row" localSheetId="1" hidden="1">#REF!</definedName>
    <definedName name="XRefCopy30Row" hidden="1">#N/A</definedName>
    <definedName name="XRefCopy31" localSheetId="1" hidden="1">#REF!</definedName>
    <definedName name="XRefCopy31" hidden="1">#REF!</definedName>
    <definedName name="XRefCopy31Row" localSheetId="1" hidden="1">#REF!</definedName>
    <definedName name="XRefCopy31Row" hidden="1">#N/A</definedName>
    <definedName name="XRefCopy32" localSheetId="1" hidden="1">#REF!</definedName>
    <definedName name="XRefCopy32" hidden="1">#REF!</definedName>
    <definedName name="XRefCopy32Row" localSheetId="1" hidden="1">#REF!</definedName>
    <definedName name="XRefCopy32Row" hidden="1">#N/A</definedName>
    <definedName name="XRefCopy33" localSheetId="1" hidden="1">#REF!</definedName>
    <definedName name="XRefCopy33" hidden="1">#REF!</definedName>
    <definedName name="XRefCopy33Row" localSheetId="1" hidden="1">#REF!</definedName>
    <definedName name="XRefCopy33Row" hidden="1">#N/A</definedName>
    <definedName name="XRefCopy34" localSheetId="1" hidden="1">#REF!</definedName>
    <definedName name="XRefCopy34" hidden="1">#REF!</definedName>
    <definedName name="XRefCopy34Row" localSheetId="1" hidden="1">#REF!</definedName>
    <definedName name="XRefCopy34Row" hidden="1">#N/A</definedName>
    <definedName name="XRefCopy35" localSheetId="1" hidden="1">#REF!</definedName>
    <definedName name="XRefCopy35" hidden="1">#REF!</definedName>
    <definedName name="XRefCopy35Row" localSheetId="1" hidden="1">#REF!</definedName>
    <definedName name="XRefCopy35Row" hidden="1">#N/A</definedName>
    <definedName name="XRefCopy36" localSheetId="1" hidden="1">#REF!</definedName>
    <definedName name="XRefCopy36" hidden="1">#REF!</definedName>
    <definedName name="XRefCopy36Row" localSheetId="1" hidden="1">#REF!</definedName>
    <definedName name="XRefCopy36Row" hidden="1">#N/A</definedName>
    <definedName name="XRefCopy37" localSheetId="1" hidden="1">#REF!</definedName>
    <definedName name="XRefCopy37" hidden="1">#REF!</definedName>
    <definedName name="XRefCopy37Row" localSheetId="1" hidden="1">#REF!</definedName>
    <definedName name="XRefCopy37Row" hidden="1">#N/A</definedName>
    <definedName name="XRefCopy38" localSheetId="1" hidden="1">#REF!</definedName>
    <definedName name="XRefCopy38" hidden="1">#REF!</definedName>
    <definedName name="XRefCopy38Row" localSheetId="1" hidden="1">#REF!</definedName>
    <definedName name="XRefCopy38Row" hidden="1">#N/A</definedName>
    <definedName name="XRefCopy39" localSheetId="1" hidden="1">#REF!</definedName>
    <definedName name="XRefCopy39" hidden="1">#REF!</definedName>
    <definedName name="XRefCopy39Row" localSheetId="1" hidden="1">#REF!</definedName>
    <definedName name="XRefCopy39Row" hidden="1">#N/A</definedName>
    <definedName name="XRefCopy3Row" localSheetId="1" hidden="1">[41]XREF!#REF!</definedName>
    <definedName name="XRefCopy3Row" hidden="1">#N/A</definedName>
    <definedName name="XRefCopy4" localSheetId="1" hidden="1">#REF!</definedName>
    <definedName name="XRefCopy4" hidden="1">#REF!</definedName>
    <definedName name="XRefCopy40" localSheetId="1" hidden="1">#REF!</definedName>
    <definedName name="XRefCopy40" hidden="1">#REF!</definedName>
    <definedName name="XRefCopy40Row" localSheetId="1" hidden="1">#REF!</definedName>
    <definedName name="XRefCopy40Row" hidden="1">#N/A</definedName>
    <definedName name="XRefCopy41" localSheetId="1" hidden="1">#REF!</definedName>
    <definedName name="XRefCopy41" hidden="1">#REF!</definedName>
    <definedName name="XRefCopy41Row" localSheetId="1" hidden="1">#REF!</definedName>
    <definedName name="XRefCopy41Row" hidden="1">#N/A</definedName>
    <definedName name="XRefCopy42" localSheetId="1" hidden="1">#REF!</definedName>
    <definedName name="XRefCopy42" hidden="1">#REF!</definedName>
    <definedName name="XRefCopy42Row" localSheetId="1" hidden="1">#REF!</definedName>
    <definedName name="XRefCopy42Row" hidden="1">#N/A</definedName>
    <definedName name="XRefCopy43" localSheetId="1" hidden="1">#REF!</definedName>
    <definedName name="XRefCopy43" hidden="1">#REF!</definedName>
    <definedName name="XRefCopy43Row" localSheetId="1" hidden="1">#REF!</definedName>
    <definedName name="XRefCopy43Row" hidden="1">#N/A</definedName>
    <definedName name="XRefCopy44" localSheetId="1" hidden="1">#REF!</definedName>
    <definedName name="XRefCopy44" hidden="1">#REF!</definedName>
    <definedName name="XRefCopy44Row" localSheetId="1" hidden="1">#REF!</definedName>
    <definedName name="XRefCopy44Row" hidden="1">#N/A</definedName>
    <definedName name="XRefCopy45" localSheetId="1" hidden="1">#REF!</definedName>
    <definedName name="XRefCopy45" hidden="1">#REF!</definedName>
    <definedName name="XRefCopy45Row" localSheetId="1" hidden="1">#REF!</definedName>
    <definedName name="XRefCopy45Row" hidden="1">#N/A</definedName>
    <definedName name="XRefCopy46" localSheetId="1" hidden="1">#REF!</definedName>
    <definedName name="XRefCopy46" hidden="1">#REF!</definedName>
    <definedName name="XRefCopy46Row" localSheetId="1" hidden="1">#REF!</definedName>
    <definedName name="XRefCopy46Row" hidden="1">#N/A</definedName>
    <definedName name="XRefCopy47" localSheetId="1" hidden="1">#REF!</definedName>
    <definedName name="XRefCopy47" hidden="1">#REF!</definedName>
    <definedName name="XRefCopy47Row" hidden="1">#N/A</definedName>
    <definedName name="XRefCopy48" localSheetId="1" hidden="1">[39]무형!#REF!</definedName>
    <definedName name="XRefCopy48" hidden="1">#REF!</definedName>
    <definedName name="XRefCopy48Row" localSheetId="1" hidden="1">[42]XREF!#REF!</definedName>
    <definedName name="XRefCopy48Row" hidden="1">#N/A</definedName>
    <definedName name="XRefCopy49" localSheetId="1" hidden="1">[39]무형!#REF!</definedName>
    <definedName name="XRefCopy49" hidden="1">#REF!</definedName>
    <definedName name="XRefCopy49Row" hidden="1">#N/A</definedName>
    <definedName name="XRefCopy4Row" localSheetId="1" hidden="1">#REF!</definedName>
    <definedName name="XRefCopy4Row" hidden="1">#N/A</definedName>
    <definedName name="XRefCopy5" localSheetId="1" hidden="1">[39]무형!#REF!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localSheetId="1" hidden="1">#REF!</definedName>
    <definedName name="XRefCopy5Row" hidden="1">#N/A</definedName>
    <definedName name="XRefCopy6" localSheetId="1" hidden="1">#REF!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localSheetId="1" hidden="1">#REF!</definedName>
    <definedName name="XRefCopy6Row" hidden="1">#N/A</definedName>
    <definedName name="XRefCopy7" localSheetId="1" hidden="1">#REF!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localSheetId="1" hidden="1">#REF!</definedName>
    <definedName name="XRefCopy7Row" hidden="1">#N/A</definedName>
    <definedName name="XRefCopy8" localSheetId="1" hidden="1">#REF!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localSheetId="1" hidden="1">#REF!</definedName>
    <definedName name="XRefCopy8Row" hidden="1">#N/A</definedName>
    <definedName name="XRefCopy9" localSheetId="1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1" hidden="1">#REF!</definedName>
    <definedName name="XRefCopy9Row" hidden="1">#N/A</definedName>
    <definedName name="XRefCopyRangeCount" hidden="1">1</definedName>
    <definedName name="xrefpaste01" hidden="1">#REF!</definedName>
    <definedName name="XRefPaste1" localSheetId="1" hidden="1">#REF!</definedName>
    <definedName name="XRefPaste1" hidden="1">#N/A</definedName>
    <definedName name="XRefPaste10" localSheetId="1" hidden="1">#REF!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1" hidden="1">[40]XREF!#REF!</definedName>
    <definedName name="XRefPaste10Row" hidden="1">#REF!</definedName>
    <definedName name="XRefPaste11" localSheetId="1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localSheetId="1" hidden="1">[40]XREF!#REF!</definedName>
    <definedName name="XRefPaste11Row" hidden="1">#REF!</definedName>
    <definedName name="XRefPaste12" localSheetId="1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localSheetId="1" hidden="1">[40]XREF!#REF!</definedName>
    <definedName name="XRefPaste12Row" hidden="1">#REF!</definedName>
    <definedName name="XRefPaste13" localSheetId="1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localSheetId="1" hidden="1">[40]XREF!#REF!</definedName>
    <definedName name="XRefPaste13Row" hidden="1">#REF!</definedName>
    <definedName name="XRefPaste14" localSheetId="1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localSheetId="1" hidden="1">#REF!</definedName>
    <definedName name="XRefPaste14Row" hidden="1">#REF!</definedName>
    <definedName name="XRefPaste15" localSheetId="1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localSheetId="1" hidden="1">[40]XREF!#REF!</definedName>
    <definedName name="XRefPaste15Row" hidden="1">#REF!</definedName>
    <definedName name="XRefPaste16" localSheetId="1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localSheetId="1" hidden="1">[40]XREF!#REF!</definedName>
    <definedName name="XRefPaste16Row" hidden="1">#REF!</definedName>
    <definedName name="XRefPaste17" localSheetId="1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localSheetId="1" hidden="1">#REF!</definedName>
    <definedName name="XRefPaste17Row" hidden="1">#REF!</definedName>
    <definedName name="XRefPaste18" localSheetId="1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localSheetId="1" hidden="1">#REF!</definedName>
    <definedName name="XRefPaste18Row" hidden="1">#REF!</definedName>
    <definedName name="XRefPaste19" localSheetId="1" hidden="1">[40]외상샘플링!#REF!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localSheetId="1" hidden="1">#REF!</definedName>
    <definedName name="XRefPaste19Row" hidden="1">#REF!</definedName>
    <definedName name="XRefPaste1Row" localSheetId="1" hidden="1">[40]XREF!#REF!</definedName>
    <definedName name="XRefPaste1Row" hidden="1">#REF!</definedName>
    <definedName name="XRefPaste2" localSheetId="1" hidden="1">#REF!</definedName>
    <definedName name="XRefPaste2" hidden="1">#N/A</definedName>
    <definedName name="XRefPaste20" localSheetId="1" hidden="1">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localSheetId="1" hidden="1">#REF!</definedName>
    <definedName name="XRefPaste20Row" hidden="1">#REF!</definedName>
    <definedName name="XRefPaste21" localSheetId="1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localSheetId="1" hidden="1">#REF!</definedName>
    <definedName name="XRefPaste21Row" hidden="1">#REF!</definedName>
    <definedName name="XRefPaste22" localSheetId="1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localSheetId="1" hidden="1">#REF!</definedName>
    <definedName name="XRefPaste22Row" hidden="1">#REF!</definedName>
    <definedName name="XRefPaste23" localSheetId="1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localSheetId="1" hidden="1">#REF!</definedName>
    <definedName name="XRefPaste23Row" hidden="1">#REF!</definedName>
    <definedName name="XRefPaste24" localSheetId="1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localSheetId="1" hidden="1">#REF!</definedName>
    <definedName name="XRefPaste24Row" hidden="1">#REF!</definedName>
    <definedName name="XRefPaste25" localSheetId="1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localSheetId="1" hidden="1">#REF!</definedName>
    <definedName name="XRefPaste25Row" hidden="1">#REF!</definedName>
    <definedName name="XRefPaste26" localSheetId="1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localSheetId="1" hidden="1">#REF!</definedName>
    <definedName name="XRefPaste26Row" hidden="1">#REF!</definedName>
    <definedName name="XRefPaste27" localSheetId="1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localSheetId="1" hidden="1">#REF!</definedName>
    <definedName name="XRefPaste27Row" hidden="1">#REF!</definedName>
    <definedName name="XRefPaste28" localSheetId="1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localSheetId="1" hidden="1">#REF!</definedName>
    <definedName name="XRefPaste28Row" hidden="1">#REF!</definedName>
    <definedName name="XRefPaste29" localSheetId="1" hidden="1">#REF!</definedName>
    <definedName name="XRefPaste29" hidden="1">#REF!</definedName>
    <definedName name="XRefPaste29Row" localSheetId="1" hidden="1">#REF!</definedName>
    <definedName name="XRefPaste29Row" hidden="1">#REF!</definedName>
    <definedName name="XRefPaste2Row" localSheetId="1" hidden="1">[40]XREF!#REF!</definedName>
    <definedName name="XRefPaste2Row" hidden="1">#N/A</definedName>
    <definedName name="XRefPaste3" localSheetId="1" hidden="1">#REF!</definedName>
    <definedName name="XRefPaste3" hidden="1">#REF!</definedName>
    <definedName name="XRefPaste30" localSheetId="1" hidden="1">#REF!</definedName>
    <definedName name="XRefPaste30" hidden="1">#REF!</definedName>
    <definedName name="XRefPaste30Row" localSheetId="1" hidden="1">#REF!</definedName>
    <definedName name="XRefPaste30Row" hidden="1">#REF!</definedName>
    <definedName name="XRefPaste31" localSheetId="1" hidden="1">#REF!</definedName>
    <definedName name="XRefPaste31" hidden="1">#REF!</definedName>
    <definedName name="XRefPaste31Row" localSheetId="1" hidden="1">#REF!</definedName>
    <definedName name="XRefPaste31Row" hidden="1">#REF!</definedName>
    <definedName name="XRefPaste32" localSheetId="1" hidden="1">#REF!</definedName>
    <definedName name="XRefPaste32" hidden="1">#REF!</definedName>
    <definedName name="XRefPaste32Row" localSheetId="1" hidden="1">#REF!</definedName>
    <definedName name="XRefPaste32Row" hidden="1">#N/A</definedName>
    <definedName name="XRefPaste33" localSheetId="1" hidden="1">#REF!</definedName>
    <definedName name="XRefPaste33" hidden="1">#REF!</definedName>
    <definedName name="XRefPaste33Row" localSheetId="1" hidden="1">#REF!</definedName>
    <definedName name="XRefPaste33Row" hidden="1">#REF!</definedName>
    <definedName name="XRefPaste34" localSheetId="1" hidden="1">#REF!</definedName>
    <definedName name="XRefPaste34" hidden="1">#REF!</definedName>
    <definedName name="XRefPaste34Row" localSheetId="1" hidden="1">#REF!</definedName>
    <definedName name="XRefPaste34Row" hidden="1">#N/A</definedName>
    <definedName name="XRefPaste35" localSheetId="1" hidden="1">#REF!</definedName>
    <definedName name="XRefPaste35" hidden="1">#REF!</definedName>
    <definedName name="XRefPaste35Row" localSheetId="1" hidden="1">#REF!</definedName>
    <definedName name="XRefPaste35Row" hidden="1">#N/A</definedName>
    <definedName name="XRefPaste36" localSheetId="1" hidden="1">#REF!</definedName>
    <definedName name="XRefPaste36" hidden="1">#REF!</definedName>
    <definedName name="XRefPaste36Row" localSheetId="1" hidden="1">#REF!</definedName>
    <definedName name="XRefPaste36Row" hidden="1">#N/A</definedName>
    <definedName name="XRefPaste37" localSheetId="1" hidden="1">#REF!</definedName>
    <definedName name="XRefPaste37" hidden="1">#REF!</definedName>
    <definedName name="XRefPaste37Row" localSheetId="1" hidden="1">#REF!</definedName>
    <definedName name="XRefPaste37Row" hidden="1">#N/A</definedName>
    <definedName name="XRefPaste38" localSheetId="1" hidden="1">#REF!</definedName>
    <definedName name="XRefPaste38" hidden="1">#REF!</definedName>
    <definedName name="XRefPaste38Row" localSheetId="1" hidden="1">#REF!</definedName>
    <definedName name="XRefPaste38Row" hidden="1">#N/A</definedName>
    <definedName name="XRefPaste39" localSheetId="1" hidden="1">#REF!</definedName>
    <definedName name="XRefPaste39" hidden="1">#REF!</definedName>
    <definedName name="XRefPaste39Row" localSheetId="1" hidden="1">#REF!</definedName>
    <definedName name="XRefPaste39Row" hidden="1">#N/A</definedName>
    <definedName name="XRefPaste3Row" localSheetId="1" hidden="1">[40]XREF!#REF!</definedName>
    <definedName name="XRefPaste3Row" hidden="1">#N/A</definedName>
    <definedName name="XRefPaste4" localSheetId="1" hidden="1">[40]분석적검토!#REF!</definedName>
    <definedName name="XRefPaste4" hidden="1">#REF!</definedName>
    <definedName name="XRefPaste40" localSheetId="1" hidden="1">#REF!</definedName>
    <definedName name="XRefPaste40" hidden="1">#REF!</definedName>
    <definedName name="XRefPaste40Row" localSheetId="1" hidden="1">#REF!</definedName>
    <definedName name="XRefPaste40Row" hidden="1">#N/A</definedName>
    <definedName name="XRefPaste41" localSheetId="1" hidden="1">#REF!</definedName>
    <definedName name="XRefPaste41" hidden="1">#REF!</definedName>
    <definedName name="XRefPaste41Row" localSheetId="1" hidden="1">#REF!</definedName>
    <definedName name="XRefPaste41Row" hidden="1">#N/A</definedName>
    <definedName name="XRefPaste42" localSheetId="1" hidden="1">#REF!</definedName>
    <definedName name="XRefPaste42" hidden="1">#REF!</definedName>
    <definedName name="XRefPaste42Row" localSheetId="1" hidden="1">#REF!</definedName>
    <definedName name="XRefPaste42Row" hidden="1">#N/A</definedName>
    <definedName name="XRefPaste43" localSheetId="1" hidden="1">#REF!</definedName>
    <definedName name="XRefPaste43" hidden="1">#REF!</definedName>
    <definedName name="XRefPaste43Row" localSheetId="1" hidden="1">#REF!</definedName>
    <definedName name="XRefPaste43Row" hidden="1">#N/A</definedName>
    <definedName name="XRefPaste44" localSheetId="1" hidden="1">#REF!</definedName>
    <definedName name="XRefPaste44" hidden="1">#REF!</definedName>
    <definedName name="XRefPaste44Row" localSheetId="1" hidden="1">#REF!</definedName>
    <definedName name="XRefPaste44Row" hidden="1">#N/A</definedName>
    <definedName name="XRefPaste45" localSheetId="1" hidden="1">[39]무형!#REF!</definedName>
    <definedName name="XRefPaste45" hidden="1">#REF!</definedName>
    <definedName name="XRefPaste45Row" localSheetId="1" hidden="1">[42]XREF!#REF!</definedName>
    <definedName name="XRefPaste45Row" hidden="1">#N/A</definedName>
    <definedName name="XRefPaste46" localSheetId="1" hidden="1">#REF!</definedName>
    <definedName name="XRefPaste46" hidden="1">#REF!</definedName>
    <definedName name="XRefPaste46Row" localSheetId="1" hidden="1">#REF!</definedName>
    <definedName name="XRefPaste46Row" hidden="1">#REF!</definedName>
    <definedName name="XRefPaste47" localSheetId="1" hidden="1">#REF!</definedName>
    <definedName name="XRefPaste47" hidden="1">#REF!</definedName>
    <definedName name="XRefPaste47Row" localSheetId="1" hidden="1">#REF!</definedName>
    <definedName name="XRefPaste47Row" hidden="1">#REF!</definedName>
    <definedName name="XRefPaste48" localSheetId="1" hidden="1">#REF!</definedName>
    <definedName name="XRefPaste48" hidden="1">#REF!</definedName>
    <definedName name="XRefPaste48Row" localSheetId="1" hidden="1">#REF!</definedName>
    <definedName name="XRefPaste48Row" hidden="1">#REF!</definedName>
    <definedName name="XRefPaste49" localSheetId="1" hidden="1">[39]무형!#REF!</definedName>
    <definedName name="XRefPaste49" hidden="1">#REF!</definedName>
    <definedName name="XRefPaste49Row" localSheetId="1" hidden="1">#REF!</definedName>
    <definedName name="XRefPaste49Row" hidden="1">#REF!</definedName>
    <definedName name="XRefPaste4Row" localSheetId="1" hidden="1">[40]XREF!#REF!</definedName>
    <definedName name="XRefPaste4Row" hidden="1">#N/A</definedName>
    <definedName name="XRefPaste5" localSheetId="1" hidden="1">[40]분석적검토!#REF!</definedName>
    <definedName name="XRefPaste5" hidden="1">#REF!</definedName>
    <definedName name="XRefPaste50" localSheetId="1" hidden="1">[39]무형!#REF!</definedName>
    <definedName name="XRefPaste50" hidden="1">#REF!</definedName>
    <definedName name="XRefPaste50Row" localSheetId="1" hidden="1">#REF!</definedName>
    <definedName name="XRefPaste50Row" hidden="1">#REF!</definedName>
    <definedName name="XRefPaste51" localSheetId="1" hidden="1">#REF!</definedName>
    <definedName name="XRefPaste51" hidden="1">#REF!</definedName>
    <definedName name="XRefPaste51Row" localSheetId="1" hidden="1">#REF!</definedName>
    <definedName name="XRefPaste51Row" hidden="1">#REF!</definedName>
    <definedName name="XRefPaste52" localSheetId="1" hidden="1">#REF!</definedName>
    <definedName name="XRefPaste52" hidden="1">#REF!</definedName>
    <definedName name="XRefPaste52Row" localSheetId="1" hidden="1">#REF!</definedName>
    <definedName name="XRefPaste52Row" hidden="1">#REF!</definedName>
    <definedName name="XRefPaste53" localSheetId="1" hidden="1">#REF!</definedName>
    <definedName name="XRefPaste53" hidden="1">#REF!</definedName>
    <definedName name="XRefPaste53Row" localSheetId="1" hidden="1">#REF!</definedName>
    <definedName name="XRefPaste53Row" hidden="1">#REF!</definedName>
    <definedName name="XRefPaste54" localSheetId="1" hidden="1">#REF!</definedName>
    <definedName name="XRefPaste54" hidden="1">#REF!</definedName>
    <definedName name="XRefPaste54Row" localSheetId="1" hidden="1">#REF!</definedName>
    <definedName name="XRefPaste54Row" hidden="1">#REF!</definedName>
    <definedName name="XRefPaste55" localSheetId="1" hidden="1">#REF!</definedName>
    <definedName name="XRefPaste55" hidden="1">#REF!</definedName>
    <definedName name="XRefPaste55Row" localSheetId="1" hidden="1">[39]XREF!#REF!</definedName>
    <definedName name="XRefPaste55Row" hidden="1">#REF!</definedName>
    <definedName name="XRefPaste56" localSheetId="1" hidden="1">#REF!</definedName>
    <definedName name="XRefPaste56" hidden="1">#REF!</definedName>
    <definedName name="XRefPaste56Row" localSheetId="1" hidden="1">#REF!</definedName>
    <definedName name="XRefPaste56Row" hidden="1">#REF!</definedName>
    <definedName name="XRefPaste57" localSheetId="1" hidden="1">#REF!</definedName>
    <definedName name="XRefPaste57" hidden="1">#REF!</definedName>
    <definedName name="XRefPaste57Row" localSheetId="1" hidden="1">#REF!</definedName>
    <definedName name="XRefPaste57Row" hidden="1">#REF!</definedName>
    <definedName name="XRefPaste58" localSheetId="1" hidden="1">#REF!</definedName>
    <definedName name="XRefPaste58" hidden="1">#REF!</definedName>
    <definedName name="XRefPaste58Row" hidden="1">#REF!</definedName>
    <definedName name="XRefPaste59" localSheetId="1" hidden="1">#REF!</definedName>
    <definedName name="XRefPaste59" hidden="1">#REF!</definedName>
    <definedName name="XRefPaste59Row" hidden="1">#REF!</definedName>
    <definedName name="XRefPaste5Row" localSheetId="1" hidden="1">[40]XREF!#REF!</definedName>
    <definedName name="XRefPaste5Row" hidden="1">#N/A</definedName>
    <definedName name="XRefPaste6" localSheetId="1" hidden="1">#REF!</definedName>
    <definedName name="XRefPaste6" hidden="1">#REF!</definedName>
    <definedName name="XRefPaste60" localSheetId="1" hidden="1">#REF!</definedName>
    <definedName name="XRefPaste60" hidden="1">#REF!</definedName>
    <definedName name="XRefPaste60Row" hidden="1">#REF!</definedName>
    <definedName name="XRefPaste61" localSheetId="1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localSheetId="1" hidden="1">[40]XREF!#REF!</definedName>
    <definedName name="XRefPaste6Row" hidden="1">#N/A</definedName>
    <definedName name="XRefPaste7" localSheetId="1" hidden="1">[40]분석적검토!#REF!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localSheetId="1" hidden="1">[40]XREF!#REF!</definedName>
    <definedName name="XRefPaste7Row" hidden="1">#N/A</definedName>
    <definedName name="XRefPaste8" localSheetId="1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1" hidden="1">[40]XREF!#REF!</definedName>
    <definedName name="XRefPaste8Row" hidden="1">#N/A</definedName>
    <definedName name="XRefPaste9" localSheetId="1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1" hidden="1">[40]XREF!#REF!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 localSheetId="2">#REF!</definedName>
    <definedName name="YEAREND" localSheetId="1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 localSheetId="1">#REF!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 localSheetId="1">#REF!</definedName>
    <definedName name="YP">#REF!</definedName>
    <definedName name="YPOONGa" localSheetId="1">[13]BLOOMBERG!#REF!</definedName>
    <definedName name="YPOONGa">#REF!</definedName>
    <definedName name="YPOONGb" localSheetId="1">[13]BLOOMBERG!#REF!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localSheetId="1">#REF!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localSheetId="1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 localSheetId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localSheetId="1">#REF!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localSheetId="1">[0]!영광원자력5,'[21]6호기'!$A$1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1">#REF!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 localSheetId="1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 localSheetId="1">#REF!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localSheetId="1">[0]!영광원자력5,'[21]6호기'!$A$1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 localSheetId="1">#REF!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 localSheetId="1">#REF!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 localSheetId="1">#REF!</definedName>
    <definedName name="가중보증">#REF!</definedName>
    <definedName name="가지급" localSheetId="1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 localSheetId="1">#REF!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 localSheetId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 localSheetId="1">[0]!Common [0]!DataBase.xls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 localSheetId="1">[0]!영광원자력5,'[21]6호기'!$A$1</definedName>
    <definedName name="갑지1">[0]!영광원자력5,#REF!</definedName>
    <definedName name="갑지2" localSheetId="1">[0]!영광원자력5,'[21]6호기'!$A$1</definedName>
    <definedName name="갑지2">[0]!영광원자력5,#REF!</definedName>
    <definedName name="갑지도급비교" localSheetId="1">[0]!영광원자력5,'[21]6호기'!$A$1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 localSheetId="1">BlankMacro1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 localSheetId="2">'[8]scale &amp; Income'!#REF!</definedName>
    <definedName name="개똥이" localSheetId="1">'[8]scale &amp; Income'!#REF!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 localSheetId="1">BlankMacro1</definedName>
    <definedName name="거래">BlankMacro1</definedName>
    <definedName name="거래선명" localSheetId="1">#REF!</definedName>
    <definedName name="거래선명">#REF!</definedName>
    <definedName name="거래위험" localSheetId="1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 localSheetId="1">#REF!</definedName>
    <definedName name="거액고정">#REF!</definedName>
    <definedName name="거액요주의" localSheetId="1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 localSheetId="1">#REF!</definedName>
    <definedName name="건생경리">#REF!</definedName>
    <definedName name="건생사업지원팀" localSheetId="1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 localSheetId="1">#REF!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 localSheetId="1">#REF!</definedName>
    <definedName name="경매">#REF!</definedName>
    <definedName name="경매2" localSheetId="1">#REF!</definedName>
    <definedName name="경매2">#REF!</definedName>
    <definedName name="경매상황" localSheetId="1">#REF!</definedName>
    <definedName name="경매상황">#REF!</definedName>
    <definedName name="경매상황2" localSheetId="1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localSheetId="2" hidden="1">[43]시산표!#REF!</definedName>
    <definedName name="경영" localSheetId="1" hidden="1">[43]시산표!#REF!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 localSheetId="1">#REF!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 localSheetId="1">#REF!</definedName>
    <definedName name="계약구분">#REF!</definedName>
    <definedName name="계약내역공종분리" localSheetId="1">[0]!영광원자력5,'[21]6호기'!$A$1</definedName>
    <definedName name="계약내역공종분리">[0]!영광원자력5,#REF!</definedName>
    <definedName name="계약분리" localSheetId="1">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 localSheetId="1">[44]본부별매출!#REF!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 localSheetId="1">#REF!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 localSheetId="1">#REF!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localSheetId="1" hidden="1">#REF!</definedName>
    <definedName name="고정비비교자세히" hidden="1">#REF!</definedName>
    <definedName name="고정비집계" localSheetId="1">[45]업무연락!#REF!</definedName>
    <definedName name="고정비집계">#REF!</definedName>
    <definedName name="고정성보증" hidden="1">#REF!</definedName>
    <definedName name="고정이하비율" localSheetId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 localSheetId="1">'[46]scale &amp; Income'!#REF!</definedName>
    <definedName name="공급면적">#REF!</definedName>
    <definedName name="공기" localSheetId="1">[47]현장경상비!#REF!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 localSheetId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 localSheetId="1">#REF!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 localSheetId="1">#REF!</definedName>
    <definedName name="공정분리">#REF!</definedName>
    <definedName name="공정중" localSheetId="1">[48]비교!#REF!</definedName>
    <definedName name="공정중">#REF!</definedName>
    <definedName name="공정표" localSheetId="1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 localSheetId="1">[0]!영광원자력5,'[21]6호기'!$A$1</definedName>
    <definedName name="공종분리">[0]!영광원자력5,#REF!</definedName>
    <definedName name="공종분리계약물량" localSheetId="1">[0]!영광원자력5,'[21]6호기'!$A$1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 localSheetId="1">[28]주채무!#REF!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 localSheetId="1">#REF!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 localSheetId="1">[49]TB!#REF!</definedName>
    <definedName name="광주">#REF!</definedName>
    <definedName name="광주공장" hidden="1">#REF!</definedName>
    <definedName name="광주지점" localSheetId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localSheetId="1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 localSheetId="1">[49]TB!#REF!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 localSheetId="1">#REF!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 localSheetId="1">#REF!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 localSheetId="1">#REF!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 localSheetId="2">[50]회사개황최종!$C$3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 localSheetId="1">#REF!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 localSheetId="1">#REF!</definedName>
    <definedName name="금고동">#REF!</definedName>
    <definedName name="금고환가7" localSheetId="1">#REF!</definedName>
    <definedName name="금고환가7">#REF!</definedName>
    <definedName name="금액_수식" localSheetId="1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 localSheetId="1">#REF!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 localSheetId="1">#REF!</definedName>
    <definedName name="금총환계">#REF!</definedName>
    <definedName name="금현금환가" localSheetId="1">#REF!</definedName>
    <definedName name="금현금환가">#REF!</definedName>
    <definedName name="금현금환계" localSheetId="1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 localSheetId="1">#REF!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 localSheetId="2">#REF!</definedName>
    <definedName name="기수" localSheetId="1">#REF!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 localSheetId="1">[51]원장!#REF!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 localSheetId="1">[52]선급비용!#REF!</definedName>
    <definedName name="기준일">#REF!</definedName>
    <definedName name="기준점" localSheetId="1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localSheetId="1">[53]본부별매출!#REF!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 localSheetId="1">[0]!기타당좌자산1+[0]!기타당좌자산2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 localSheetId="1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 localSheetId="1">#REF!</definedName>
    <definedName name="김정현">#REF!</definedName>
    <definedName name="김정희" hidden="1">{"'5'!$A$1:$BB$147"}</definedName>
    <definedName name="김종묵" hidden="1">{#N/A,#N/A,FALSE,"기술료 비교"}</definedName>
    <definedName name="김종범" localSheetId="1">#REF!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 localSheetId="1">[0]!Common [0]!DataBase.xls</definedName>
    <definedName name="김진섬">[0]!Common [0]!DataBase.xls</definedName>
    <definedName name="김진성" localSheetId="1">[0]!Common [0]!DataBase.xls</definedName>
    <definedName name="김진성">[0]!Common [0]!DataBase.xls</definedName>
    <definedName name="김진성1" localSheetId="1">BlankMacro1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1">#REF!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1">[54]본부별매출!#REF!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localSheetId="2">BlankMacro1</definedName>
    <definedName name="나" localSheetId="1">BlankMacro1</definedName>
    <definedName name="나" hidden="1">{#N/A,#N/A,FALSE,"BS";#N/A,#N/A,FALSE,"PL";#N/A,#N/A,FALSE,"처분";#N/A,#N/A,FALSE,"현금";#N/A,#N/A,FALSE,"매출";#N/A,#N/A,FALSE,"원가";#N/A,#N/A,FALSE,"경영"}</definedName>
    <definedName name="나나" localSheetId="1">#REF!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 localSheetId="1">#REF!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 localSheetId="1">#REF!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 localSheetId="1">BlankMacro1</definedName>
    <definedName name="내용">BlankMacro1</definedName>
    <definedName name="낷" localSheetId="1" hidden="1">#REF!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 localSheetId="1">[55]표지!#REF!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 localSheetId="1">#REF!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localSheetId="1" hidden="1">#REF!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 localSheetId="1">#REF!</definedName>
    <definedName name="다음레코드">#REF!</definedName>
    <definedName name="단" hidden="1">{"'5'!$A$1:$BB$147"}</definedName>
    <definedName name="단가" localSheetId="1">#REF!</definedName>
    <definedName name="단가">#REF!</definedName>
    <definedName name="단가2000" localSheetId="1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 localSheetId="1">#REF!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 localSheetId="2">#REF!</definedName>
    <definedName name="담당공인회계사" localSheetId="1">#REF!</definedName>
    <definedName name="담당공인회계사">#REF!</definedName>
    <definedName name="담당자" localSheetId="1">[56]조회거래처!#REF!</definedName>
    <definedName name="담당자">#REF!</definedName>
    <definedName name="담배SK">#REF!</definedName>
    <definedName name="담배주식" localSheetId="1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 localSheetId="2">#REF!</definedName>
    <definedName name="당기말" localSheetId="1">#REF!</definedName>
    <definedName name="당기말">#REF!</definedName>
    <definedName name="당기순손실" localSheetId="1">#REF!</definedName>
    <definedName name="당기순손실">#REF!</definedName>
    <definedName name="당기순손익" localSheetId="1">#REF!</definedName>
    <definedName name="당기순손익">#REF!</definedName>
    <definedName name="당기순이익" localSheetId="1">[36]손익!#REF!</definedName>
    <definedName name="당기순이익">#REF!</definedName>
    <definedName name="당기순익" localSheetId="1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 localSheetId="1">[57]부속_8옵션위험!#REF!</definedName>
    <definedName name="당월KOSPI종가">#REF!</definedName>
    <definedName name="당월RP위험" localSheetId="1">#REF!</definedName>
    <definedName name="당월RP위험">#REF!</definedName>
    <definedName name="당월RP잔고" localSheetId="1">#REF!</definedName>
    <definedName name="당월RP잔고">#REF!</definedName>
    <definedName name="당월거래소코스닥주식" localSheetId="1">#REF!</definedName>
    <definedName name="당월거래소코스닥주식">#REF!</definedName>
    <definedName name="당월거래준비금" localSheetId="1">[57]부속_2순자본가산항목!#REF!</definedName>
    <definedName name="당월거래준비금">#REF!</definedName>
    <definedName name="당월결제위험" localSheetId="1">#REF!</definedName>
    <definedName name="당월결제위험">#REF!</definedName>
    <definedName name="당월결제잔고" localSheetId="1">#REF!</definedName>
    <definedName name="당월결제잔고">#REF!</definedName>
    <definedName name="당월고유코스닥주식2" localSheetId="1">#REF!</definedName>
    <definedName name="당월고유코스닥주식2">#REF!</definedName>
    <definedName name="당월기타위험" localSheetId="1">#REF!</definedName>
    <definedName name="당월기타위험">#REF!</definedName>
    <definedName name="당월기타잔고" localSheetId="1">#REF!</definedName>
    <definedName name="당월기타잔고">#REF!</definedName>
    <definedName name="당월대고객위험" localSheetId="1">#REF!</definedName>
    <definedName name="당월대고객위험">#REF!</definedName>
    <definedName name="당월대고객잔고" localSheetId="1">#REF!</definedName>
    <definedName name="당월대고객잔고">#REF!</definedName>
    <definedName name="당월대차위험" localSheetId="1">#REF!</definedName>
    <definedName name="당월대차위험">#REF!</definedName>
    <definedName name="당월대차잔고" localSheetId="1">#REF!</definedName>
    <definedName name="당월대차잔고">#REF!</definedName>
    <definedName name="당월상환액" localSheetId="1">#REF!</definedName>
    <definedName name="당월상환액">#REF!</definedName>
    <definedName name="당월신탁주식숏" localSheetId="1">[57]부속_4주식포지션위험!#REF!</definedName>
    <definedName name="당월신탁주식숏">#REF!</definedName>
    <definedName name="당월신탁주식위험" localSheetId="1">[57]부속_4주식포지션위험!#REF!</definedName>
    <definedName name="당월신탁주식위험">#REF!</definedName>
    <definedName name="당월신탁주식위험총액" localSheetId="1">[57]부속_4주식포지션위험!#REF!</definedName>
    <definedName name="당월신탁주식위험총액">#REF!</definedName>
    <definedName name="당월신탁채권숏" localSheetId="1">[57]부속_3채권포지션위험!#REF!</definedName>
    <definedName name="당월신탁채권숏">#REF!</definedName>
    <definedName name="당월신탁형채권위험" localSheetId="1">[57]부속_3채권포지션위험!#REF!</definedName>
    <definedName name="당월신탁형채권위험">#REF!</definedName>
    <definedName name="당월신탁형채권잔고" localSheetId="1">[57]부속_3채권포지션위험!#REF!</definedName>
    <definedName name="당월신탁형채권잔고">#REF!</definedName>
    <definedName name="당월옵션롱" localSheetId="1">[57]부속_8옵션위험!#REF!</definedName>
    <definedName name="당월옵션롱">#REF!</definedName>
    <definedName name="당월임차보증금위험" localSheetId="1">#REF!</definedName>
    <definedName name="당월임차보증금위험">#REF!</definedName>
    <definedName name="당월저축거래소주식2" localSheetId="1">#REF!</definedName>
    <definedName name="당월저축거래소주식2">#REF!</definedName>
    <definedName name="당월저축담보주식">#REF!</definedName>
    <definedName name="당월주식롱" localSheetId="1">[57]부속_4주식포지션위험!#REF!</definedName>
    <definedName name="당월주식롱">#REF!</definedName>
    <definedName name="당월주식숏" localSheetId="1">[57]부속_4주식포지션위험!#REF!</definedName>
    <definedName name="당월주식숏">#REF!</definedName>
    <definedName name="당월주식위험" localSheetId="1">[57]부속_4주식포지션위험!#REF!</definedName>
    <definedName name="당월주식위험">#REF!</definedName>
    <definedName name="당월주식위험총액" localSheetId="1">[57]부속_4주식포지션위험!#REF!</definedName>
    <definedName name="당월주식위험총액">#REF!</definedName>
    <definedName name="당월집중위험" localSheetId="1">[57]부속_12주식보유집중위험!#REF!</definedName>
    <definedName name="당월집중위험">#REF!</definedName>
    <definedName name="당월채권롱" localSheetId="1">[57]부속_3채권포지션위험!#REF!</definedName>
    <definedName name="당월채권롱">#REF!</definedName>
    <definedName name="당월채권숏" localSheetId="1">[57]부속_3채권포지션위험!#REF!</definedName>
    <definedName name="당월채권숏">#REF!</definedName>
    <definedName name="당월코스닥투자주식">#REF!</definedName>
    <definedName name="당월코스닥투자주식2" localSheetId="1">#REF!</definedName>
    <definedName name="당월코스닥투자주식2">#REF!</definedName>
    <definedName name="당월판매수익증권위험">#REF!</definedName>
    <definedName name="당월환율" localSheetId="1">#REF!</definedName>
    <definedName name="당월환율">#REF!</definedName>
    <definedName name="당일기초" localSheetId="1">[58]당좌!#REF!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 localSheetId="1">[49]TB!#REF!</definedName>
    <definedName name="대구">#REF!</definedName>
    <definedName name="대구지점" localSheetId="1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 localSheetId="1">#REF!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 localSheetId="1">#REF!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 localSheetId="1">#REF!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localSheetId="1">#REF!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 localSheetId="1">[49]TB!#REF!</definedName>
    <definedName name="대전">#REF!</definedName>
    <definedName name="대전지점" localSheetId="1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 localSheetId="1">[59]구분목록!#REF!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 localSheetId="1">#REF!</definedName>
    <definedName name="대체">#REF!</definedName>
    <definedName name="대출잔액">#REF!</definedName>
    <definedName name="대출현황" localSheetId="1">#REF!</definedName>
    <definedName name="대출현황">#REF!</definedName>
    <definedName name="대치대차" hidden="1">{#N/A,#N/A,FALSE,"매출이익"}</definedName>
    <definedName name="대표이사명" localSheetId="2">#REF!</definedName>
    <definedName name="대표이사명" localSheetId="1">#REF!</definedName>
    <definedName name="대표이사명">#REF!</definedName>
    <definedName name="대표자명" localSheetId="1">[56]조회거래처!#REF!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localSheetId="1" hidden="1">#REF!</definedName>
    <definedName name="ㄹ" hidden="1">{#N/A,#N/A,FALSE,"BS";#N/A,#N/A,FALSE,"PL";#N/A,#N/A,FALSE,"처분";#N/A,#N/A,FALSE,"현금";#N/A,#N/A,FALSE,"매출";#N/A,#N/A,FALSE,"원가";#N/A,#N/A,FALSE,"경영"}</definedName>
    <definedName name="ㄹ25" localSheetId="1">#REF!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1">BlankMacro1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 localSheetId="1">[0]!영광원자력5,'[21]6호기'!$A$1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 localSheetId="1">#REF!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1">'[60]1995년 섹터별 매출'!#REF!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 localSheetId="1">'[61]10.31'!#REF!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localSheetId="2">#REF!</definedName>
    <definedName name="ㅁㄴㅇ" localSheetId="1">#REF!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localSheetId="1">BlankMacro1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localSheetId="2">#REF!</definedName>
    <definedName name="마" localSheetId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 localSheetId="1">#REF!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 localSheetId="1">#REF!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 localSheetId="1">#REF!</definedName>
    <definedName name="매각">#REF!</definedName>
    <definedName name="매각관련" localSheetId="1">#REF!</definedName>
    <definedName name="매각관련">#REF!</definedName>
    <definedName name="買掛金" hidden="1">{"'買掛金'!$J$6"}</definedName>
    <definedName name="매입" hidden="1">#REF!</definedName>
    <definedName name="매입채무" localSheetId="2">#REF!</definedName>
    <definedName name="매입채무" localSheetId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 localSheetId="1">'[35]1995년 섹터별 매출'!#REF!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 localSheetId="2">#REF!</definedName>
    <definedName name="매출채권" localSheetId="1">#REF!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 localSheetId="1">#REF!</definedName>
    <definedName name="매크로1">#REF!</definedName>
    <definedName name="매크로2" localSheetId="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 localSheetId="1">#REF!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 localSheetId="1">#REF!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 localSheetId="1">[45]월별매출!#REF!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 localSheetId="1">[0]!영광원자력5,'[21]6호기'!$A$1</definedName>
    <definedName name="목포">[0]!영광원자력5,#REF!</definedName>
    <definedName name="목포공항" localSheetId="1">[0]!영광원자력5,'[21]6호기'!$A$1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 localSheetId="1">#REF!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 localSheetId="1">#REF!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localSheetId="1">BlankMacro1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 localSheetId="1">[62]총괄원장!#REF!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 localSheetId="1">'[63]화재보험가입내역(종류별)'!#REF!</definedName>
    <definedName name="물건명">#REF!</definedName>
    <definedName name="물건목록2" localSheetId="1">'[63]화재보험가입내역(종류별)'!#REF!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 localSheetId="1">[59]구분목록!#REF!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 localSheetId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 localSheetId="2">'[16]control sheet'!#REF!</definedName>
    <definedName name="미지급금" localSheetId="1">'[16]control sheet'!#REF!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localSheetId="1">'[64]1995년 섹터별 매출'!#REF!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 localSheetId="1">BlankMacro1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 localSheetId="1">#REF!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localSheetId="1">#REF!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localSheetId="1">[65]대차!#REF!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1">#REF!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 localSheetId="2">#REF!</definedName>
    <definedName name="발송일자" localSheetId="1">#REF!</definedName>
    <definedName name="발송일자">#REF!</definedName>
    <definedName name="발송지" localSheetId="2">#REF!</definedName>
    <definedName name="발송지" localSheetId="1">#REF!</definedName>
    <definedName name="발송지">#REF!</definedName>
    <definedName name="발송회사" localSheetId="2">#REF!</definedName>
    <definedName name="발송회사" localSheetId="1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 localSheetId="1">#REF!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localSheetId="1">#REF!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 localSheetId="1">#REF!</definedName>
    <definedName name="법인균등할주민세.">#REF!</definedName>
    <definedName name="법인등록번호1" localSheetId="2">#REF!</definedName>
    <definedName name="법인등록번호1" localSheetId="1">#REF!</definedName>
    <definedName name="법인등록번호1">#REF!</definedName>
    <definedName name="법인등록번호2" localSheetId="2">#REF!</definedName>
    <definedName name="법인등록번호2" localSheetId="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 localSheetId="1">#REF!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 localSheetId="2">#REF!</definedName>
    <definedName name="보고서형태" localSheetId="1">#REF!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localSheetId="1">#REF!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 localSheetId="1">#REF!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 localSheetId="1">#REF!</definedName>
    <definedName name="보증기관">#REF!</definedName>
    <definedName name="보증부도" localSheetId="1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 localSheetId="1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 localSheetId="1">[49]TB!#REF!</definedName>
    <definedName name="본사">#REF!</definedName>
    <definedName name="본사_B관법인">#REF!</definedName>
    <definedName name="본사누계" localSheetId="1">[49]TB!#REF!</definedName>
    <definedName name="본사누계">#REF!</definedName>
    <definedName name="본사전기" localSheetId="1">[49]TB!#REF!</definedName>
    <definedName name="본사전기">#REF!</definedName>
    <definedName name="본사주소" localSheetId="2">#REF!</definedName>
    <definedName name="본사주소" localSheetId="1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localSheetId="1">#REF!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 localSheetId="1">[0]!기타당좌자산1+[0]!기타당좌자산2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 localSheetId="1">#REF!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 localSheetId="1">#REF!</definedName>
    <definedName name="부산">#REF!</definedName>
    <definedName name="부산자영" localSheetId="1">[53]본부별매출!#REF!</definedName>
    <definedName name="부산자영">#REF!</definedName>
    <definedName name="부산지점" localSheetId="1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 localSheetId="1">#REF!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localSheetId="1" hidden="1">[66]수정시산표!#REF!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 localSheetId="1">#REF!</definedName>
    <definedName name="부채자본">#REF!</definedName>
    <definedName name="부평" localSheetId="1">[49]TB!#REF!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 localSheetId="1">#REF!</definedName>
    <definedName name="비비">#REF!</definedName>
    <definedName name="비비비" localSheetId="1" hidden="1">[67]수정시산표!#REF!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localSheetId="1" hidden="1">'[68]경영비율 '!#REF!</definedName>
    <definedName name="비율0" hidden="1">#REF!</definedName>
    <definedName name="비율2" localSheetId="1" hidden="1">[67]수정시산표!#REF!</definedName>
    <definedName name="비율2" hidden="1">#REF!</definedName>
    <definedName name="비율분석" localSheetId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 localSheetId="1">[69]업무연락!#REF!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localSheetId="1">#REF!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localSheetId="1">#REF!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 localSheetId="1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 localSheetId="2">#REF!</definedName>
    <definedName name="사업자등록번호1" localSheetId="1">#REF!</definedName>
    <definedName name="사업자등록번호1">#REF!</definedName>
    <definedName name="사업자등록번호2" localSheetId="2">#REF!</definedName>
    <definedName name="사업자등록번호2" localSheetId="1">#REF!</definedName>
    <definedName name="사업자등록번호2">#REF!</definedName>
    <definedName name="사업자등록번호3" localSheetId="2">#REF!</definedName>
    <definedName name="사업자등록번호3" localSheetId="1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 localSheetId="1">#REF!</definedName>
    <definedName name="사이버">#REF!</definedName>
    <definedName name="사장님1" hidden="1">{"'인구현황'!$A$1:$I$23"}</definedName>
    <definedName name="사장실" localSheetId="1">#REF!</definedName>
    <definedName name="사장실">#REF!</definedName>
    <definedName name="사장실CFO" localSheetId="1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 localSheetId="1">[70]!산식을값으로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localSheetId="1">#REF!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 localSheetId="1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 localSheetId="1">#REF!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 localSheetId="1">#REF!</definedName>
    <definedName name="상용직">#REF!</definedName>
    <definedName name="상이사항기록" localSheetId="2">#REF!</definedName>
    <definedName name="상이사항기록" localSheetId="1">#REF!</definedName>
    <definedName name="상이사항기록">#REF!</definedName>
    <definedName name="상장" localSheetId="2">#REF!</definedName>
    <definedName name="상장" localSheetId="1">#REF!</definedName>
    <definedName name="상장">#REF!</definedName>
    <definedName name="상장연도" localSheetId="2">#REF!</definedName>
    <definedName name="상장연도" localSheetId="1">#REF!</definedName>
    <definedName name="상장연도">#REF!</definedName>
    <definedName name="상장예정연도" localSheetId="2">#REF!</definedName>
    <definedName name="상장예정연도" localSheetId="1">#REF!</definedName>
    <definedName name="상장예정연도">#REF!</definedName>
    <definedName name="상장예정월" localSheetId="2">#REF!</definedName>
    <definedName name="상장예정월" localSheetId="1">#REF!</definedName>
    <definedName name="상장예정월">#REF!</definedName>
    <definedName name="상장예정일" localSheetId="2">#REF!</definedName>
    <definedName name="상장예정일" localSheetId="1">#REF!</definedName>
    <definedName name="상장예정일">#REF!</definedName>
    <definedName name="상장월" localSheetId="2">#REF!</definedName>
    <definedName name="상장월" localSheetId="1">#REF!</definedName>
    <definedName name="상장월">#REF!</definedName>
    <definedName name="상장일" localSheetId="2">#REF!</definedName>
    <definedName name="상장일" localSheetId="1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 localSheetId="1">[54]본부별매출!#REF!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 localSheetId="1">#REF!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 localSheetId="1">#REF!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 localSheetId="1">#REF!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 localSheetId="1">[49]TB!#REF!</definedName>
    <definedName name="서울사무소">#REF!</definedName>
    <definedName name="서울사무소월차" localSheetId="1">[49]TB!#REF!</definedName>
    <definedName name="서울사무소월차">#REF!</definedName>
    <definedName name="서울사무소전기" localSheetId="1">[49]TB!#REF!</definedName>
    <definedName name="서울사무소전기">#REF!</definedName>
    <definedName name="서울손익" hidden="1">#REF!</definedName>
    <definedName name="서울위생" localSheetId="1">[59]구분목록!#REF!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localSheetId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 localSheetId="1">#REF!</definedName>
    <definedName name="선택규격번호">#REF!</definedName>
    <definedName name="선택단가번호" localSheetId="1">#REF!</definedName>
    <definedName name="선택단가번호">#REF!</definedName>
    <definedName name="선택된코드" localSheetId="1">#REF!</definedName>
    <definedName name="선택된코드">#REF!</definedName>
    <definedName name="선택레코드" localSheetId="1">#REF!</definedName>
    <definedName name="선택레코드">#REF!</definedName>
    <definedName name="선택수량" localSheetId="1">#REF!</definedName>
    <definedName name="선택수량">#REF!</definedName>
    <definedName name="선택품목번호" localSheetId="1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 localSheetId="2">#REF!</definedName>
    <definedName name="설립연도" localSheetId="1">#REF!</definedName>
    <definedName name="설립연도">#REF!</definedName>
    <definedName name="설립월" localSheetId="2">#REF!</definedName>
    <definedName name="설립월" localSheetId="1">#REF!</definedName>
    <definedName name="설립월">#REF!</definedName>
    <definedName name="설립일" localSheetId="2">#REF!</definedName>
    <definedName name="설립일" localSheetId="1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 localSheetId="1">[49]TB!#REF!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 localSheetId="1">#REF!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 localSheetId="1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 localSheetId="1">'[71]1995년 섹터별 매출'!#REF!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 localSheetId="1">[49]TB!#REF!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localSheetId="1" hidden="1">#REF!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 localSheetId="1">'[57]부속_5_1_수익증권자산분해(단독펀드)'!#REF!</definedName>
    <definedName name="수증분해주식개별">#REF!</definedName>
    <definedName name="수증분해주식일반" localSheetId="1">'[57]부속_5_1_수익증권자산분해(단독펀드)'!#REF!</definedName>
    <definedName name="수증분해주식일반">#REF!</definedName>
    <definedName name="수증분해주식차감" localSheetId="1">'[57]부속_5_1_수익증권자산분해(단독펀드)'!#REF!</definedName>
    <definedName name="수증분해주식차감">#REF!</definedName>
    <definedName name="수증분해채권개별" localSheetId="1">'[57]부속_5_1_수익증권자산분해(단독펀드)'!#REF!</definedName>
    <definedName name="수증분해채권개별">#REF!</definedName>
    <definedName name="수증분해채권일반" localSheetId="1">'[57]부속_5_1_수익증권자산분해(단독펀드)'!#REF!</definedName>
    <definedName name="수증분해채권일반">#REF!</definedName>
    <definedName name="수증분해채권차감" localSheetId="1">'[57]부속_5_1_수익증권자산분해(단독펀드)'!#REF!</definedName>
    <definedName name="수증분해채권차감">#REF!</definedName>
    <definedName name="수지상황" localSheetId="1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 localSheetId="1">[57]산출_2순자본!#REF!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 localSheetId="1">#REF!</definedName>
    <definedName name="순현재가치">#REF!</definedName>
    <definedName name="숫자조건" localSheetId="1">[62]총괄원장!#REF!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 localSheetId="1">#REF!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 localSheetId="1">#REF!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 localSheetId="1">#REF!</definedName>
    <definedName name="시장위험">#REF!</definedName>
    <definedName name="시트1" hidden="1">#REF!</definedName>
    <definedName name="시효">#REF!</definedName>
    <definedName name="시효기일" localSheetId="1">#REF!</definedName>
    <definedName name="시효기일">#REF!</definedName>
    <definedName name="식품CEO" localSheetId="1">#REF!</definedName>
    <definedName name="식품CEO">#REF!</definedName>
    <definedName name="식품경리1" localSheetId="1">#REF!</definedName>
    <definedName name="식품경리1">#REF!</definedName>
    <definedName name="식품경리2" localSheetId="1">#REF!</definedName>
    <definedName name="식품경리2">#REF!</definedName>
    <definedName name="식품관리팀" localSheetId="1">#REF!</definedName>
    <definedName name="식품관리팀">#REF!</definedName>
    <definedName name="식품기획실" localSheetId="1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 localSheetId="1">#REF!</definedName>
    <definedName name="식품물류">#REF!</definedName>
    <definedName name="식품인사교육" localSheetId="1">#REF!</definedName>
    <definedName name="식품인사교육">#REF!</definedName>
    <definedName name="식품총무구매" localSheetId="1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 localSheetId="1">#REF!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 localSheetId="1">[59]구분목록!#REF!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 localSheetId="1">#REF!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 localSheetId="1">#REF!</definedName>
    <definedName name="신협동">#REF!</definedName>
    <definedName name="신협환가7" localSheetId="1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 localSheetId="1">#REF!</definedName>
    <definedName name="실경상">#REF!</definedName>
    <definedName name="실근무">#REF!</definedName>
    <definedName name="실근무휴무합">#REF!</definedName>
    <definedName name="실명번호" localSheetId="1">[28]주채무!#REF!</definedName>
    <definedName name="실명번호">#REF!</definedName>
    <definedName name="실사및청산가치조정표" hidden="1">{"'Sheet1'!$A$1:$D$15"}</definedName>
    <definedName name="실어" localSheetId="1">[0]!Common [0]!DataBase.xls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 localSheetId="1">[72]!실적지우기</definedName>
    <definedName name="실적지우기">#REF!</definedName>
    <definedName name="실적지우기2" localSheetId="1">[72]!실적지우기2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localSheetId="1">'[60]1995년 섹터별 매출'!#REF!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 localSheetId="1">#REF!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localSheetId="1">'[73]5.자산회수'!#REF!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localSheetId="1">#REF!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localSheetId="1">[74]!insertLt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 localSheetId="1">#REF!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localSheetId="1">[74]!SignDLG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 localSheetId="1">#REF!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 localSheetId="1">[49]TB!#REF!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 localSheetId="1">#REF!</definedName>
    <definedName name="양주묵생산">#REF!</definedName>
    <definedName name="양주생산관리" localSheetId="1">#REF!</definedName>
    <definedName name="양주생산관리">#REF!</definedName>
    <definedName name="양주생산기술" localSheetId="1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 localSheetId="1">#REF!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 localSheetId="1">'[75]9703'!#REF!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 localSheetId="2">#REF!</definedName>
    <definedName name="업태" localSheetId="1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 localSheetId="1">BlankMacro1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 localSheetId="1">#REF!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 localSheetId="1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 localSheetId="1">#REF!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 localSheetId="1">#REF!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 localSheetId="1">[0]!영광원자력5,'[21]6호기'!$A$1</definedName>
    <definedName name="영광">[0]!영광원자력5,#REF!</definedName>
    <definedName name="영광원자력56호기" localSheetId="1">[0]!영광원자력5,'[21]6호기'!$A$1</definedName>
    <definedName name="영광원자력56호기">[0]!영광원자력5,#REF!</definedName>
    <definedName name="영남보븐" localSheetId="1">#REF!</definedName>
    <definedName name="영남보븐">#REF!</definedName>
    <definedName name="영남지역" localSheetId="1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 localSheetId="2">#REF!</definedName>
    <definedName name="영문회사명" localSheetId="1">#REF!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 localSheetId="1">#REF!</definedName>
    <definedName name="영업2">#REF!</definedName>
    <definedName name="영업2지점" localSheetId="1">#REF!</definedName>
    <definedName name="영업2지점">#REF!</definedName>
    <definedName name="영업3지점" localSheetId="1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 localSheetId="1">#REF!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localSheetId="1">#REF!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 localSheetId="1">#REF!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2" hidden="1">[29]시산표!#REF!</definedName>
    <definedName name="요약" localSheetId="1" hidden="1">[29]시산표!#REF!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 localSheetId="2">#REF!</definedName>
    <definedName name="용역종류" localSheetId="1">#REF!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 localSheetId="1">BlankMacro1</definedName>
    <definedName name="우출">BlankMacro1</definedName>
    <definedName name="우편번호" localSheetId="1">[56]조회거래처!#REF!</definedName>
    <definedName name="우편번호">#REF!</definedName>
    <definedName name="우편번호1" localSheetId="2">#REF!</definedName>
    <definedName name="우편번호1" localSheetId="1">#REF!</definedName>
    <definedName name="우편번호1">#REF!</definedName>
    <definedName name="우편번호2" localSheetId="2">#REF!</definedName>
    <definedName name="우편번호2" localSheetId="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 localSheetId="1">[74]!InsertLogo</definedName>
    <definedName name="웃긴다">#REF!</definedName>
    <definedName name="워례회의이사님" hidden="1">{#N/A,#N/A,FALSE,"96매출보고현황"}</definedName>
    <definedName name="원" localSheetId="1">#REF!</definedName>
    <definedName name="원" hidden="1">{#N/A,#N/A,FALSE,"P.C.B"}</definedName>
    <definedName name="원가" localSheetId="1">#REF!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 localSheetId="1">#REF!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 localSheetId="1">[49]TB!#REF!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 localSheetId="1">#REF!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localSheetId="1">#REF!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 localSheetId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1">#REF!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 localSheetId="1">[0]!영광원자력5,'[21]6호기'!$A$1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 localSheetId="1">#REF!</definedName>
    <definedName name="유통관리">#REF!</definedName>
    <definedName name="유형" localSheetId="1">BlankMacro1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 localSheetId="1">#REF!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localSheetId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 localSheetId="1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 localSheetId="1">#REF!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localSheetId="1">#REF!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localSheetId="1">[76]!Dlog_Show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localSheetId="1" hidden="1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 localSheetId="1">#REF!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 localSheetId="1">#REF!</definedName>
    <definedName name="인쇄01">#REF!</definedName>
    <definedName name="인쇄BU" hidden="1">{#N/A,#N/A,FALSE,"지침";#N/A,#N/A,FALSE,"환경분석";#N/A,#N/A,FALSE,"Sheet16"}</definedName>
    <definedName name="인쇄영역" localSheetId="1">#REF!</definedName>
    <definedName name="인쇄영역">#REF!</definedName>
    <definedName name="인수" localSheetId="1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 localSheetId="1">[45]업무연락!#REF!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 localSheetId="1">#REF!</definedName>
    <definedName name="인적사항">#REF!</definedName>
    <definedName name="인지세">#REF!</definedName>
    <definedName name="인천의료" localSheetId="1">[59]구분목록!#REF!</definedName>
    <definedName name="인천의료">#REF!</definedName>
    <definedName name="인코랜드" hidden="1">{"'표지'!$B$5"}</definedName>
    <definedName name="인턴급여">#REF!</definedName>
    <definedName name="일" localSheetId="1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 localSheetId="1">#REF!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localSheetId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 localSheetId="2">#REF!</definedName>
    <definedName name="임원현황" localSheetId="1">#REF!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 localSheetId="1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 localSheetId="1">#REF!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 localSheetId="1">#REF!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localSheetId="1">#REF!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localSheetId="1">#REF!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 localSheetId="1">+#REF!</definedName>
    <definedName name="자산부채비율">+#REF!</definedName>
    <definedName name="자산조정" localSheetId="1">#REF!</definedName>
    <definedName name="자산조정">#REF!</definedName>
    <definedName name="자산취득" localSheetId="1">#REF!</definedName>
    <definedName name="자산취득">#REF!</definedName>
    <definedName name="자산회수" localSheetId="1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 localSheetId="1">BlankMacro1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 localSheetId="1">[77]교통대책내역!#REF!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 localSheetId="1">#REF!</definedName>
    <definedName name="자회사지급보증">#REF!</definedName>
    <definedName name="자회사출자" localSheetId="1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localSheetId="1" hidden="1">#REF!</definedName>
    <definedName name="잔액" hidden="1">#REF!</definedName>
    <definedName name="잔양" hidden="1">{#N/A,#N/A,FALSE,"P.C.B"}</definedName>
    <definedName name="잔존년수">#REF!</definedName>
    <definedName name="잔존만기" localSheetId="1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 localSheetId="1">#REF!</definedName>
    <definedName name="장부가액">#REF!</definedName>
    <definedName name="장부가액합계" localSheetId="1">#REF!</definedName>
    <definedName name="장부가액합계">#REF!</definedName>
    <definedName name="장부회수" localSheetId="1">'[78]5.자산회수'!#REF!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 localSheetId="1">[45]업무연락!#REF!</definedName>
    <definedName name="재고자산계획">#REF!</definedName>
    <definedName name="재고자산유지계획" localSheetId="1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 localSheetId="1">#REF!</definedName>
    <definedName name="재고춘천">#REF!</definedName>
    <definedName name="재공포함" hidden="1">{#N/A,#N/A,FALSE,"Sheet5"}</definedName>
    <definedName name="재단가" localSheetId="1">#REF!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 localSheetId="1">#REF!</definedName>
    <definedName name="재무조달">#REF!</definedName>
    <definedName name="재무팀2" localSheetId="1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 localSheetId="1">#REF!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 localSheetId="2">#REF!</definedName>
    <definedName name="전기말" localSheetId="1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 localSheetId="2">#REF!</definedName>
    <definedName name="전산망공사" localSheetId="1">#REF!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 localSheetId="2">'[46]scale &amp; Income'!#REF!</definedName>
    <definedName name="전용면적" localSheetId="1">'[46]scale &amp; Income'!#REF!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 localSheetId="1">[57]부속_8옵션위험!#REF!</definedName>
    <definedName name="전월KOSPI종가">#REF!</definedName>
    <definedName name="전월RP위험" localSheetId="1">#REF!</definedName>
    <definedName name="전월RP위험">#REF!</definedName>
    <definedName name="전월RP잔고" localSheetId="1">#REF!</definedName>
    <definedName name="전월RP잔고">#REF!</definedName>
    <definedName name="전월가산항목계" localSheetId="1">'[79]2산정내역'!#REF!</definedName>
    <definedName name="전월가산항목계">#REF!</definedName>
    <definedName name="전월감가상각" localSheetId="1">[79]기초위험!#REF!</definedName>
    <definedName name="전월감가상각">#REF!</definedName>
    <definedName name="전월거래상대방위험계" localSheetId="1">'[79]3총위험산정'!#REF!</definedName>
    <definedName name="전월거래상대방위험계">#REF!</definedName>
    <definedName name="전월거래준비금" localSheetId="1">[57]부속_2순자본가산항목!#REF!</definedName>
    <definedName name="전월거래준비금">#REF!</definedName>
    <definedName name="전월결제위험" localSheetId="1">#REF!</definedName>
    <definedName name="전월결제위험">#REF!</definedName>
    <definedName name="전월결제잔고" localSheetId="1">#REF!</definedName>
    <definedName name="전월결제잔고">#REF!</definedName>
    <definedName name="전월고유수익증권위험" localSheetId="1">[79]수익증권포지션위험!#REF!</definedName>
    <definedName name="전월고유수익증권위험">#REF!</definedName>
    <definedName name="전월고유수익증권잔고" localSheetId="1">[79]수익증권포지션위험!#REF!</definedName>
    <definedName name="전월고유수익증권잔고">#REF!</definedName>
    <definedName name="전월고유주식롱" localSheetId="1">[79]주식포지션위험!#REF!</definedName>
    <definedName name="전월고유주식롱">#REF!</definedName>
    <definedName name="전월고유주식위험" localSheetId="1">[79]주식포지션위험!#REF!</definedName>
    <definedName name="전월고유주식위험">#REF!</definedName>
    <definedName name="전월고유채권개별위험" localSheetId="1">[80]채권포지션위험!#REF!</definedName>
    <definedName name="전월고유채권개별위험">#REF!</definedName>
    <definedName name="전월고유채권롱" localSheetId="1">[80]채권포지션위험!#REF!</definedName>
    <definedName name="전월고유채권롱">#REF!</definedName>
    <definedName name="전월고유채권일반위험" localSheetId="1">[80]채권포지션위험!#REF!</definedName>
    <definedName name="전월고유채권일반위험">#REF!</definedName>
    <definedName name="전월기초위험" localSheetId="1">[79]기초위험!#REF!</definedName>
    <definedName name="전월기초위험">#REF!</definedName>
    <definedName name="전월기초위험합계" localSheetId="1">'[79]3총위험산정'!#REF!</definedName>
    <definedName name="전월기초위험합계">#REF!</definedName>
    <definedName name="전월기타위험" localSheetId="1">#REF!</definedName>
    <definedName name="전월기타위험">#REF!</definedName>
    <definedName name="전월기타잔고" localSheetId="1">#REF!</definedName>
    <definedName name="전월기타잔고">#REF!</definedName>
    <definedName name="전월대고객위험" localSheetId="1">#REF!</definedName>
    <definedName name="전월대고객위험">#REF!</definedName>
    <definedName name="전월대고객잔고" localSheetId="1">#REF!</definedName>
    <definedName name="전월대고객잔고">#REF!</definedName>
    <definedName name="전월대손상각" localSheetId="1">[79]기초위험!#REF!</definedName>
    <definedName name="전월대손상각">#REF!</definedName>
    <definedName name="전월대차위험" localSheetId="1">#REF!</definedName>
    <definedName name="전월대차위험">#REF!</definedName>
    <definedName name="전월대차잔고" localSheetId="1">#REF!</definedName>
    <definedName name="전월대차잔고">#REF!</definedName>
    <definedName name="전월수익증권위험" localSheetId="1">[57]부속_5수익증권포지션위험!#REF!</definedName>
    <definedName name="전월수익증권위험">#REF!</definedName>
    <definedName name="전월수익증권잔고" localSheetId="1">[57]부속_5수익증권포지션위험!#REF!</definedName>
    <definedName name="전월수익증권잔고">#REF!</definedName>
    <definedName name="전월시장위험합계" localSheetId="1">'[79]3총위험산정'!#REF!</definedName>
    <definedName name="전월시장위험합계">#REF!</definedName>
    <definedName name="전월시장조성위험" localSheetId="1">[79]인수위험!#REF!</definedName>
    <definedName name="전월시장조성위험">#REF!</definedName>
    <definedName name="전월신탁수익증권위험" localSheetId="1">[79]수익증권포지션위험!#REF!</definedName>
    <definedName name="전월신탁수익증권위험">#REF!</definedName>
    <definedName name="전월신탁수익증권잔고" localSheetId="1">[79]수익증권포지션위험!#REF!</definedName>
    <definedName name="전월신탁수익증권잔고">#REF!</definedName>
    <definedName name="전월신탁주식롱" localSheetId="1">[79]주식포지션위험!#REF!</definedName>
    <definedName name="전월신탁주식롱">#REF!</definedName>
    <definedName name="전월신탁주식숏" localSheetId="1">[57]부속_4주식포지션위험!#REF!</definedName>
    <definedName name="전월신탁주식숏">#REF!</definedName>
    <definedName name="전월신탁주식위험" localSheetId="1">[57]부속_4주식포지션위험!#REF!</definedName>
    <definedName name="전월신탁주식위험">#REF!</definedName>
    <definedName name="전월신탁주식위험총액" localSheetId="1">[57]부속_4주식포지션위험!#REF!</definedName>
    <definedName name="전월신탁주식위험총액">#REF!</definedName>
    <definedName name="전월신탁채권롱" localSheetId="1">[80]채권포지션위험!#REF!</definedName>
    <definedName name="전월신탁채권롱">#REF!</definedName>
    <definedName name="전월신탁채권숏" localSheetId="1">[57]부속_3채권포지션위험!#REF!</definedName>
    <definedName name="전월신탁채권숏">#REF!</definedName>
    <definedName name="전월신탁채권위험" localSheetId="1">[57]부속_3채권포지션위험!#REF!</definedName>
    <definedName name="전월신탁채권위험">#REF!</definedName>
    <definedName name="전월영업자본" localSheetId="1">'[79]2산정내역'!#REF!</definedName>
    <definedName name="전월영업자본">#REF!</definedName>
    <definedName name="전월옵션롱" localSheetId="1">[57]부속_8옵션위험!#REF!</definedName>
    <definedName name="전월옵션롱">#REF!</definedName>
    <definedName name="전월옵션숏" localSheetId="1">[79]옵션위험!#REF!</definedName>
    <definedName name="전월옵션숏">#REF!</definedName>
    <definedName name="전월옵션위험" localSheetId="1">[79]옵션위험!#REF!</definedName>
    <definedName name="전월옵션위험">#REF!</definedName>
    <definedName name="전월외환롱" localSheetId="1">[79]외환위험!#REF!</definedName>
    <definedName name="전월외환롱">#REF!</definedName>
    <definedName name="전월외환숏" localSheetId="1">[79]외환위험!#REF!</definedName>
    <definedName name="전월외환숏">#REF!</definedName>
    <definedName name="전월외환위험" localSheetId="1">[79]외환위험!#REF!</definedName>
    <definedName name="전월외환위험">#REF!</definedName>
    <definedName name="전월위험조정합계" localSheetId="1">'[79]3총위험산정'!#REF!</definedName>
    <definedName name="전월위험조정합계">#REF!</definedName>
    <definedName name="전월인수금액" localSheetId="1">[79]인수위험!#REF!</definedName>
    <definedName name="전월인수금액">#REF!</definedName>
    <definedName name="전월인수위험" localSheetId="1">[79]인수위험!#REF!</definedName>
    <definedName name="전월인수위험">#REF!</definedName>
    <definedName name="전월임차보증금위험" localSheetId="1">#REF!</definedName>
    <definedName name="전월임차보증금위험">#REF!</definedName>
    <definedName name="전월장부가" localSheetId="1">#REF!</definedName>
    <definedName name="전월장부가">#REF!</definedName>
    <definedName name="전월저축주식위험" localSheetId="1">[79]주식포지션위험!#REF!</definedName>
    <definedName name="전월저축주식위험">#REF!</definedName>
    <definedName name="전월저축채권개별위험" localSheetId="1">[80]채권포지션위험!#REF!</definedName>
    <definedName name="전월저축채권개별위험">#REF!</definedName>
    <definedName name="전월저축채권일반위험" localSheetId="1">[80]채권포지션위험!#REF!</definedName>
    <definedName name="전월저축채권일반위험">#REF!</definedName>
    <definedName name="전월주식롱" localSheetId="1">[57]부속_4주식포지션위험!#REF!</definedName>
    <definedName name="전월주식롱">#REF!</definedName>
    <definedName name="전월주식숏" localSheetId="1">[57]부속_4주식포지션위험!#REF!</definedName>
    <definedName name="전월주식숏">#REF!</definedName>
    <definedName name="전월주식위험" localSheetId="1">[57]부속_4주식포지션위험!#REF!</definedName>
    <definedName name="전월주식위험">#REF!</definedName>
    <definedName name="전월주식위험총액" localSheetId="1">[57]부속_4주식포지션위험!#REF!</definedName>
    <definedName name="전월주식위험총액">#REF!</definedName>
    <definedName name="전월주식집중위험" localSheetId="1">[79]집중위험!#REF!</definedName>
    <definedName name="전월주식집중위험">#REF!</definedName>
    <definedName name="전월집중위험" localSheetId="1">[57]부속_12주식보유집중위험!#REF!</definedName>
    <definedName name="전월집중위험">#REF!</definedName>
    <definedName name="전월차감항목계" localSheetId="1">'[79]2산정내역'!#REF!</definedName>
    <definedName name="전월차감항목계">#REF!</definedName>
    <definedName name="전월채권롱" localSheetId="1">[57]부속_3채권포지션위험!#REF!</definedName>
    <definedName name="전월채권롱">#REF!</definedName>
    <definedName name="전월채권숏" localSheetId="1">[57]부속_3채권포지션위험!#REF!</definedName>
    <definedName name="전월채권숏">#REF!</definedName>
    <definedName name="전월채권위험" localSheetId="1">[57]부속_3채권포지션위험!#REF!</definedName>
    <definedName name="전월채권위험">#REF!</definedName>
    <definedName name="전월채권잔고" localSheetId="1">[57]부속_3채권포지션위험!#REF!</definedName>
    <definedName name="전월채권잔고">#REF!</definedName>
    <definedName name="전월총금융비용" localSheetId="1">[79]기초위험!#REF!</definedName>
    <definedName name="전월총금융비용">#REF!</definedName>
    <definedName name="전월총금융수익" localSheetId="1">[79]기초위험!#REF!</definedName>
    <definedName name="전월총금융수익">#REF!</definedName>
    <definedName name="전월판매수익증권위험" localSheetId="1">[79]수익증권포지션위험!#REF!</definedName>
    <definedName name="전월판매수익증권위험">#REF!</definedName>
    <definedName name="전월판매수익증권잔고" localSheetId="1">[79]수익증권포지션위험!#REF!</definedName>
    <definedName name="전월판매수익증권잔고">#REF!</definedName>
    <definedName name="전월평가액" localSheetId="1">#REF!</definedName>
    <definedName name="전월평가액">#REF!</definedName>
    <definedName name="전월환율" localSheetId="1">#REF!</definedName>
    <definedName name="전월환율">#REF!</definedName>
    <definedName name="전일잔액" localSheetId="1">[58]당좌!#REF!</definedName>
    <definedName name="전일잔액">#REF!</definedName>
    <definedName name="전입액" localSheetId="1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 localSheetId="1">#REF!</definedName>
    <definedName name="전체범위">#REF!</definedName>
    <definedName name="전체영역">OFFSET(#REF!,0,0,COUNTA(#REF!)-1,46)</definedName>
    <definedName name="전체요주의" localSheetId="1">[81]전체요주의!#REF!</definedName>
    <definedName name="전체요주의">#REF!</definedName>
    <definedName name="전화번호" hidden="1">{"'Sheet1'!$A$1:$H$36"}</definedName>
    <definedName name="전화번호1" localSheetId="2">#REF!</definedName>
    <definedName name="전화번호1" localSheetId="1">#REF!</definedName>
    <definedName name="전화번호1">#REF!</definedName>
    <definedName name="전화번호2" localSheetId="2">#REF!</definedName>
    <definedName name="전화번호2" localSheetId="1">#REF!</definedName>
    <definedName name="전화번호2">#REF!</definedName>
    <definedName name="전화번호3" localSheetId="2">#REF!</definedName>
    <definedName name="전화번호3" localSheetId="1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 localSheetId="1">#REF!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localSheetId="1">'[82]5.자산회수'!#REF!</definedName>
    <definedName name="정" hidden="1">{#N/A,#N/A,FALSE,"UNIT";#N/A,#N/A,FALSE,"UNIT";#N/A,#N/A,FALSE,"계정"}</definedName>
    <definedName name="정기" localSheetId="1">BlankMacro1</definedName>
    <definedName name="정기">BlankMacro1</definedName>
    <definedName name="정기예" localSheetId="1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 localSheetId="1">#REF!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 localSheetId="1">#REF!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 localSheetId="1">#REF!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localSheetId="1">#REF!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 localSheetId="1">#REF!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 localSheetId="1">#REF!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 localSheetId="1">#REF!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 localSheetId="1">[62]총괄원장!#REF!</definedName>
    <definedName name="조건영역">#REF!</definedName>
    <definedName name="조건표" localSheetId="1">[62]총괄원장!#REF!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 localSheetId="1">#REF!</definedName>
    <definedName name="조서번호">#REF!</definedName>
    <definedName name="조세공과">#REF!</definedName>
    <definedName name="조식" localSheetId="1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 localSheetId="1">'[83]1995년 섹터별 매출'!#REF!</definedName>
    <definedName name="조직도2002">#REF!</definedName>
    <definedName name="조직실적1" localSheetId="1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 localSheetId="2">#REF!</definedName>
    <definedName name="조회서기준일" localSheetId="1">#REF!</definedName>
    <definedName name="조회서기준일">#REF!</definedName>
    <definedName name="조회서번호" localSheetId="1">#REF!</definedName>
    <definedName name="조회서번호">#REF!</definedName>
    <definedName name="좃도" hidden="1">#REF!</definedName>
    <definedName name="종금가나">#REF!</definedName>
    <definedName name="종금환가7" localSheetId="1">#REF!</definedName>
    <definedName name="종금환가7">#REF!</definedName>
    <definedName name="종기팀출자주식" localSheetId="1">#REF!</definedName>
    <definedName name="종기팀출자주식">#REF!</definedName>
    <definedName name="종목" localSheetId="2">#REF!</definedName>
    <definedName name="종목" localSheetId="1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 localSheetId="1">#REF!</definedName>
    <definedName name="주부신수익권증서_400">#REF!</definedName>
    <definedName name="주소" localSheetId="1">#REF!</definedName>
    <definedName name="주소">#REF!</definedName>
    <definedName name="주식" localSheetId="1">[84]본부별매출!#REF!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 localSheetId="1">#REF!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 localSheetId="1">#REF!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 localSheetId="1">[49]TB!#REF!</definedName>
    <definedName name="증감구로">#REF!</definedName>
    <definedName name="증감본사누계" localSheetId="1">[49]TB!#REF!</definedName>
    <definedName name="증감본사누계">#REF!</definedName>
    <definedName name="증감부평" localSheetId="1">[49]TB!#REF!</definedName>
    <definedName name="증감부평">#REF!</definedName>
    <definedName name="증감분석96계획95실적" hidden="1">{#N/A,#N/A,FALSE,"97년 투자계획 세부내역 "}</definedName>
    <definedName name="증감서울" localSheetId="1">[49]TB!#REF!</definedName>
    <definedName name="증감서울">#REF!</definedName>
    <definedName name="증감집계" hidden="1">{#N/A,#N/A,FALSE,"제목"}</definedName>
    <definedName name="증감창원" localSheetId="1">[49]TB!#REF!</definedName>
    <definedName name="증감창원">#REF!</definedName>
    <definedName name="증권가나">#REF!</definedName>
    <definedName name="증권예탁원" localSheetId="1">#REF!</definedName>
    <definedName name="증권예탁원">#REF!</definedName>
    <definedName name="증권환가7" localSheetId="1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 localSheetId="1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 localSheetId="1">#REF!</definedName>
    <definedName name="지급이자94">#REF!</definedName>
    <definedName name="지급이자95" localSheetId="1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 localSheetId="1">#REF!</definedName>
    <definedName name="지보7">#REF!</definedName>
    <definedName name="지보약" localSheetId="1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 localSheetId="1">#REF!</definedName>
    <definedName name="직위">#REF!</definedName>
    <definedName name="직위2" localSheetId="1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 localSheetId="1">[56]조회거래처!#REF!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 localSheetId="1">[0]!Common [0]!DataBase.xls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 localSheetId="1">#REF!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 localSheetId="1">#REF!</definedName>
    <definedName name="집계시트1">#REF!</definedName>
    <definedName name="집계표" localSheetId="1">#REF!</definedName>
    <definedName name="집계표">#REF!</definedName>
    <definedName name="집계표1" localSheetId="1">[0]!영광원자력5,'[21]6호기'!$A$1</definedName>
    <definedName name="집계표1">[0]!영광원자력5,#REF!</definedName>
    <definedName name="집기">[0]!집기</definedName>
    <definedName name="집기명세" hidden="1">#REF!</definedName>
    <definedName name="집기비품" localSheetId="1">#REF!</definedName>
    <definedName name="집기비품" hidden="1">#REF!</definedName>
    <definedName name="집기제각" hidden="1">#REF!</definedName>
    <definedName name="집행" localSheetId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 localSheetId="1">[0]!Common [0]!DataBase.xls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 localSheetId="1">#REF!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 localSheetId="1">#REF!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 localSheetId="1">#REF!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 localSheetId="1">#REF!</definedName>
    <definedName name="차주">#REF!</definedName>
    <definedName name="차주명" localSheetId="1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localSheetId="1">'[85]참고(3)고정비'!#REF!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 localSheetId="1">[49]TB!#REF!</definedName>
    <definedName name="창원">#REF!</definedName>
    <definedName name="채권" localSheetId="1">#REF!</definedName>
    <definedName name="채권">#REF!</definedName>
    <definedName name="채권sort" localSheetId="1">#REF!</definedName>
    <definedName name="채권sort">#REF!</definedName>
    <definedName name="채권강조" hidden="1">{"'5'!$A$1:$BB$147"}</definedName>
    <definedName name="채권계정과목" localSheetId="1">#REF!</definedName>
    <definedName name="채권계정과목">#REF!</definedName>
    <definedName name="채권금액" localSheetId="1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 localSheetId="1">#REF!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 localSheetId="1">#REF!</definedName>
    <definedName name="채무sort">#REF!</definedName>
    <definedName name="채무계정과목" localSheetId="1">#REF!</definedName>
    <definedName name="채무계정과목">#REF!</definedName>
    <definedName name="채무금액" localSheetId="1">#REF!</definedName>
    <definedName name="채무금액">#REF!</definedName>
    <definedName name="채무제목" localSheetId="1">#REF!</definedName>
    <definedName name="채무제목">#REF!</definedName>
    <definedName name="채소가공생산" localSheetId="1">#REF!</definedName>
    <definedName name="채소가공생산">#REF!</definedName>
    <definedName name="처분명세서">#REF!</definedName>
    <definedName name="천안" localSheetId="1">[49]TB!#REF!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 localSheetId="1">#REF!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 localSheetId="1">#REF!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 localSheetId="1">[0]!Common [0]!DataBase.xls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 localSheetId="1">#REF!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 localSheetId="1">#REF!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 localSheetId="1">#REF!</definedName>
    <definedName name="칠">#REF!</definedName>
    <definedName name="칠월">#REF!</definedName>
    <definedName name="ㅋ" hidden="1">{#N/A,#N/A,FALSE,"UNIT";#N/A,#N/A,FALSE,"UNIT";#N/A,#N/A,FALSE,"계정"}</definedName>
    <definedName name="ㅋ68" localSheetId="1">#REF!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 localSheetId="1">#REF!</definedName>
    <definedName name="컬러모니터">#REF!</definedName>
    <definedName name="컴" localSheetId="1">[0]!Common [0]!DataBase.xls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 localSheetId="1">#REF!</definedName>
    <definedName name="코드">#REF!</definedName>
    <definedName name="코드2" localSheetId="1">#REF!</definedName>
    <definedName name="코드2">#REF!</definedName>
    <definedName name="코드번호" localSheetId="2">#REF!</definedName>
    <definedName name="코드번호" localSheetId="1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 localSheetId="1">#REF!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 localSheetId="2">BlankMacro1</definedName>
    <definedName name="템플리트100" localSheetId="1">BlankMacro1</definedName>
    <definedName name="템플리트100">BlankMacro1</definedName>
    <definedName name="템플리트모듈1" localSheetId="2">BlankMacro1</definedName>
    <definedName name="템플리트모듈1" localSheetId="1">BlankMacro1</definedName>
    <definedName name="템플리트모듈1">BlankMacro1</definedName>
    <definedName name="템플리트모듈100" localSheetId="1">BlankMacro1</definedName>
    <definedName name="템플리트모듈100">BlankMacro1</definedName>
    <definedName name="템플리트모듈2" localSheetId="2">BlankMacro1</definedName>
    <definedName name="템플리트모듈2" localSheetId="1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 localSheetId="1">#REF!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 localSheetId="1">#REF!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 localSheetId="1">#REF!</definedName>
    <definedName name="특급">#REF!</definedName>
    <definedName name="특기시방" hidden="1">#REF!</definedName>
    <definedName name="특별여신평가세부명세" localSheetId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 localSheetId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 localSheetId="1">#REF!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 localSheetId="2">#REF!</definedName>
    <definedName name="팩스번호1" localSheetId="1">#REF!</definedName>
    <definedName name="팩스번호1">#REF!</definedName>
    <definedName name="팩스번호2" localSheetId="2">#REF!</definedName>
    <definedName name="팩스번호2" localSheetId="1">#REF!</definedName>
    <definedName name="팩스번호2">#REF!</definedName>
    <definedName name="팩스번호3" localSheetId="2">#REF!</definedName>
    <definedName name="팩스번호3" localSheetId="1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 localSheetId="1">#REF!</definedName>
    <definedName name="평가다">#REF!</definedName>
    <definedName name="평가다2" localSheetId="1">#REF!</definedName>
    <definedName name="평가다2">#REF!</definedName>
    <definedName name="평가손익" localSheetId="1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 localSheetId="1">#REF!</definedName>
    <definedName name="평가전">#REF!</definedName>
    <definedName name="평가표반여" localSheetId="1">'[86]본사감가상각대장(비품)'!#REF!</definedName>
    <definedName name="평가표반여">#REF!</definedName>
    <definedName name="평가회수" localSheetId="1">'[78]5.자산회수'!#REF!</definedName>
    <definedName name="평가회수">#REF!</definedName>
    <definedName name="평가후" localSheetId="1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 localSheetId="1">[0]!영광원자력5,'[21]6호기'!$A$1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localSheetId="1">#REF!</definedName>
    <definedName name="표" hidden="1">{#N/A,#N/A,FALSE,"ASIA1"}</definedName>
    <definedName name="표1" localSheetId="1">#REF!</definedName>
    <definedName name="표1" hidden="1">{#N/A,#N/A,FALSE,"P.C.B"}</definedName>
    <definedName name="표2" localSheetId="1">[87]이익잉여금처분계산서!#REF!</definedName>
    <definedName name="표2" hidden="1">#REF!</definedName>
    <definedName name="표3" localSheetId="1">[87]재무상태변동표!#REF!</definedName>
    <definedName name="표3">#REF!</definedName>
    <definedName name="표4" localSheetId="1">[87]제조원가명세서!#REF!</definedName>
    <definedName name="표4">#REF!</definedName>
    <definedName name="표5" localSheetId="1">[87]현금흐름표!#REF!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 localSheetId="1">#REF!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 localSheetId="1">#REF!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 localSheetId="1">#REF!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 localSheetId="1">#REF!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 localSheetId="1">[0]!영광원자력5,'[21]6호기'!$A$1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localSheetId="1">#REF!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 localSheetId="1">'[88]손익계산서(管理)'!#REF!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 localSheetId="1">#REF!</definedName>
    <definedName name="한국경제">#REF!</definedName>
    <definedName name="한국자금중개" localSheetId="1">#REF!</definedName>
    <definedName name="한국자금중개">#REF!</definedName>
    <definedName name="한글" hidden="1">{#N/A,#N/A,FALSE,"97년 투자계획 세부내역 "}</definedName>
    <definedName name="한글1" localSheetId="1">[0]!Common [0]!DataBase.xls</definedName>
    <definedName name="한글1">[0]!Common [0]!DataBase.xls</definedName>
    <definedName name="한글2" hidden="1">{#VALUE!,#N/A,FALSE,0;#N/A,#N/A,FALSE,0;#N/A,#N/A,FALSE,0;#N/A,#N/A,FALSE,0}</definedName>
    <definedName name="한금고환가" localSheetId="1">#REF!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 localSheetId="1">#REF!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 localSheetId="1">#REF!</definedName>
    <definedName name="합계">#REF!</definedName>
    <definedName name="합계잔액">#REF!</definedName>
    <definedName name="합잔">#REF!</definedName>
    <definedName name="합잔1999">#REF!</definedName>
    <definedName name="합잔99" localSheetId="1" hidden="1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localSheetId="1">[74]!sheetbutton1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localSheetId="1" hidden="1">[89]수정시산표!#REF!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 localSheetId="1">#REF!</definedName>
    <definedName name="현황">#REF!</definedName>
    <definedName name="현황2" localSheetId="1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 localSheetId="1">#REF!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 localSheetId="2">#REF!</definedName>
    <definedName name="회계시작연도" localSheetId="1">#REF!</definedName>
    <definedName name="회계시작연도">#REF!</definedName>
    <definedName name="회계시작월" localSheetId="2">#REF!</definedName>
    <definedName name="회계시작월" localSheetId="1">#REF!</definedName>
    <definedName name="회계시작월">#REF!</definedName>
    <definedName name="회계시작일" localSheetId="2">#REF!</definedName>
    <definedName name="회계시작일" localSheetId="1">#REF!</definedName>
    <definedName name="회계시작일">#REF!</definedName>
    <definedName name="회계종료연도" localSheetId="2">#REF!</definedName>
    <definedName name="회계종료연도" localSheetId="1">#REF!</definedName>
    <definedName name="회계종료연도">#REF!</definedName>
    <definedName name="회계종료월" localSheetId="2">#REF!</definedName>
    <definedName name="회계종료월" localSheetId="1">#REF!</definedName>
    <definedName name="회계종료월">#REF!</definedName>
    <definedName name="회계종료일" localSheetId="2">#REF!</definedName>
    <definedName name="회계종료일" localSheetId="1">#REF!</definedName>
    <definedName name="회계종료일">#REF!</definedName>
    <definedName name="회계팀" hidden="1">#REF!</definedName>
    <definedName name="회사구분" localSheetId="2">#REF!</definedName>
    <definedName name="회사구분" localSheetId="1">#REF!</definedName>
    <definedName name="회사구분">#REF!</definedName>
    <definedName name="회사명" localSheetId="1">#REF!</definedName>
    <definedName name="회사명">#REF!</definedName>
    <definedName name="회사이름" localSheetId="2">#REF!</definedName>
    <definedName name="회사이름" localSheetId="1">#REF!</definedName>
    <definedName name="회사이름">#REF!</definedName>
    <definedName name="회사제시안4" hidden="1">{"'호선별현황(방식)'!$K$22:$P$22","'호선별현황(방식)'!$K$22:$P$22"}</definedName>
    <definedName name="회사측대손" localSheetId="2">#REF!</definedName>
    <definedName name="회사측대손" localSheetId="1">#REF!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 localSheetId="1">[90]인수자산명세!#REF!</definedName>
    <definedName name="회수">#REF!</definedName>
    <definedName name="회수2" localSheetId="1">[90]인수자산명세!#REF!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 localSheetId="1">#REF!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 localSheetId="1">#REF!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 localSheetId="1">#REF!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localSheetId="1">#REF!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 localSheetId="1">#REF!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 localSheetId="1">#REF!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localSheetId="1" hidden="1">#REF!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localSheetId="1" hidden="1">#REF!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2" hidden="1">[6]시산표!#REF!</definedName>
    <definedName name="ㅛ" localSheetId="1" hidden="1">[6]시산표!#REF!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localSheetId="1">#REF!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 localSheetId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localSheetId="1" hidden="1">#REF!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 localSheetId="1">#REF!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localSheetId="1" hidden="1">#REF!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localSheetId="2">#REF!</definedName>
    <definedName name="ㅣㅣㅣㅣ" localSheetId="1">#REF!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1" l="1"/>
  <c r="E22" i="31"/>
  <c r="G22" i="31" s="1"/>
  <c r="D22" i="31"/>
  <c r="B13" i="31"/>
  <c r="B12" i="31"/>
  <c r="B15" i="31"/>
  <c r="B16" i="31" s="1"/>
  <c r="J13" i="29"/>
  <c r="I13" i="29"/>
  <c r="H13" i="29"/>
  <c r="K12" i="29"/>
  <c r="K13" i="29" s="1"/>
  <c r="I15" i="28"/>
  <c r="G15" i="28"/>
  <c r="H13" i="28"/>
  <c r="M13" i="29" l="1"/>
  <c r="K15" i="29"/>
  <c r="H15" i="28"/>
  <c r="J13" i="28"/>
  <c r="J15" i="28" s="1"/>
  <c r="J17" i="28" s="1"/>
</calcChain>
</file>

<file path=xl/sharedStrings.xml><?xml version="1.0" encoding="utf-8"?>
<sst xmlns="http://schemas.openxmlformats.org/spreadsheetml/2006/main" count="157" uniqueCount="118">
  <si>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</si>
  <si>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</si>
  <si>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</si>
  <si>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</si>
  <si>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</si>
  <si>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</si>
  <si>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</si>
  <si>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장기미지급비용</t>
  </si>
  <si>
    <t>수입보증금</t>
  </si>
  <si>
    <t>이광우</t>
  </si>
  <si>
    <t>임대보증금(비유동)</t>
  </si>
  <si>
    <t>LEAD SCHEDULE</t>
  </si>
  <si>
    <t>검토자</t>
  </si>
  <si>
    <t>결산일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</si>
  <si>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</si>
  <si>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</si>
  <si>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</si>
  <si>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</si>
  <si>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</si>
  <si>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</si>
  <si>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</si>
  <si>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</si>
  <si>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</si>
  <si>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</si>
  <si>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합   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</si>
  <si>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</si>
  <si>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</si>
  <si>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</si>
  <si>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</si>
  <si>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</si>
  <si>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</si>
  <si>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</si>
  <si>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</si>
  <si>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E, C, CL</t>
  </si>
  <si>
    <t>E, CL</t>
  </si>
  <si>
    <t>C, CL, U, P</t>
  </si>
  <si>
    <t>▶ 감사결론</t>
  </si>
  <si>
    <t xml:space="preserve">  ※ 본 감사조서는 「주식회사 등의 외부감사에 관한 법률」에 따라 작성되었습니다.</t>
  </si>
  <si>
    <t>전  기</t>
  </si>
  <si>
    <t>[특수관계자 거래 검토]
특수관계자와의 거래 금액·조건 적정성을 확인한다.</t>
  </si>
  <si>
    <t>[재무제표 공시사항 검토]
공시사항 점검표에 따라 주석 기재 충분성을 확인한다.</t>
  </si>
  <si>
    <t>조서No.  5601</t>
  </si>
  <si>
    <t>기타의 비유동부채</t>
  </si>
  <si>
    <t>[총괄표 작성 및 전기 대비 검토]
당기말 잔액을 총계정원장과, 전기말 잔액은 전기감사보고서와 대조하고 양연도간 유의적 변동원인을 파악한다.</t>
  </si>
  <si>
    <t>[명세서 검증]
기타비유동부채 명세서를 입수하여 계산검증하고 잔액이 보조부와 일치하는지 확인한다.</t>
  </si>
  <si>
    <t>C, A</t>
  </si>
  <si>
    <t>장 기 미 지 급 비 용 명 세 서</t>
    <phoneticPr fontId="30" type="noConversion"/>
  </si>
  <si>
    <t>기타장기종업원급여</t>
  </si>
  <si>
    <t>경남제약㈜</t>
  </si>
  <si>
    <t xml:space="preserve">단위 : 원 </t>
    <phoneticPr fontId="30" type="noConversion"/>
  </si>
  <si>
    <t>계정과목</t>
    <phoneticPr fontId="30" type="noConversion"/>
  </si>
  <si>
    <t>IFRS</t>
    <phoneticPr fontId="37" type="noConversion"/>
  </si>
  <si>
    <t>발생일자</t>
  </si>
  <si>
    <t>거래처코드</t>
  </si>
  <si>
    <t>거래처명</t>
  </si>
  <si>
    <t>내     역</t>
    <phoneticPr fontId="30" type="noConversion"/>
  </si>
  <si>
    <t>기초</t>
    <phoneticPr fontId="30" type="noConversion"/>
  </si>
  <si>
    <t>증가</t>
    <phoneticPr fontId="30" type="noConversion"/>
  </si>
  <si>
    <t>감소</t>
    <phoneticPr fontId="30" type="noConversion"/>
  </si>
  <si>
    <t>기말</t>
    <phoneticPr fontId="30" type="noConversion"/>
  </si>
  <si>
    <t>비   고</t>
    <phoneticPr fontId="30" type="noConversion"/>
  </si>
  <si>
    <t>장기미지급비용</t>
    <phoneticPr fontId="30" type="noConversion"/>
  </si>
  <si>
    <t>기타장기종업원급여</t>
    <phoneticPr fontId="37" type="noConversion"/>
  </si>
  <si>
    <t>A10446</t>
  </si>
  <si>
    <t>경남제약주식회사</t>
  </si>
  <si>
    <t>기타장기종업원급여</t>
    <phoneticPr fontId="30" type="noConversion"/>
  </si>
  <si>
    <t>합          계</t>
    <phoneticPr fontId="30" type="noConversion"/>
  </si>
  <si>
    <t>수 입 보 증 금 명 세 서</t>
    <phoneticPr fontId="30" type="noConversion"/>
  </si>
  <si>
    <t xml:space="preserve">매입채무및기타채무 </t>
  </si>
  <si>
    <t>거채처코드</t>
    <phoneticPr fontId="37" type="noConversion"/>
  </si>
  <si>
    <t>거래처</t>
    <phoneticPr fontId="30" type="noConversion"/>
  </si>
  <si>
    <t>사업자등록번호</t>
    <phoneticPr fontId="30" type="noConversion"/>
  </si>
  <si>
    <t>발생일</t>
    <phoneticPr fontId="30" type="noConversion"/>
  </si>
  <si>
    <t>증가</t>
    <phoneticPr fontId="37" type="noConversion"/>
  </si>
  <si>
    <t>기말</t>
    <phoneticPr fontId="37" type="noConversion"/>
  </si>
  <si>
    <t>F00185</t>
  </si>
  <si>
    <t>서연유통</t>
  </si>
  <si>
    <t>108-02-77883</t>
  </si>
  <si>
    <t>서연유통)담보 보증금</t>
    <phoneticPr fontId="37" type="noConversion"/>
  </si>
  <si>
    <t>최초발생일</t>
    <phoneticPr fontId="30" type="noConversion"/>
  </si>
  <si>
    <t>감소</t>
    <phoneticPr fontId="37" type="noConversion"/>
  </si>
  <si>
    <t>유동성대체</t>
    <phoneticPr fontId="37" type="noConversion"/>
  </si>
  <si>
    <t>잔액</t>
    <phoneticPr fontId="37" type="noConversion"/>
  </si>
  <si>
    <t>비고</t>
    <phoneticPr fontId="37" type="noConversion"/>
  </si>
  <si>
    <t>기 간</t>
    <phoneticPr fontId="30" type="noConversion"/>
  </si>
  <si>
    <t>임대보증금
(비유동)</t>
    <phoneticPr fontId="30" type="noConversion"/>
  </si>
  <si>
    <t>R06125</t>
  </si>
  <si>
    <t>주식회사 바나플에프엔비</t>
    <phoneticPr fontId="30" type="noConversion"/>
  </si>
  <si>
    <t>경남제약타워 임대보증금(1층)</t>
    <phoneticPr fontId="30" type="noConversion"/>
  </si>
  <si>
    <t>계약갱신연장(계약기간 1년초과전환)으로 인한 유동성 대체/202601-인사팀-59</t>
    <phoneticPr fontId="30" type="noConversion"/>
  </si>
  <si>
    <t>~</t>
  </si>
  <si>
    <t>임대보증금(비유동)</t>
    <phoneticPr fontId="7" type="noConversion"/>
  </si>
  <si>
    <t>장기미지급비용</t>
    <phoneticPr fontId="7" type="noConversion"/>
  </si>
  <si>
    <t>주주석</t>
    <phoneticPr fontId="7" type="noConversion"/>
  </si>
  <si>
    <t>조서No.  5620</t>
    <phoneticPr fontId="7" type="noConversion"/>
  </si>
  <si>
    <t>(5) 당반기와 전반기 중 기타장기종업원급여의 변동내역은 다음과 같습니다.</t>
  </si>
  <si>
    <t>(단위: 원)</t>
  </si>
  <si>
    <t>구 분</t>
  </si>
  <si>
    <t>당반기</t>
  </si>
  <si>
    <t>전반기</t>
  </si>
  <si>
    <t>기초</t>
    <phoneticPr fontId="37" type="noConversion"/>
  </si>
  <si>
    <t>설정</t>
    <phoneticPr fontId="37" type="noConversion"/>
  </si>
  <si>
    <t>지급</t>
    <phoneticPr fontId="37" type="noConversion"/>
  </si>
  <si>
    <t>반기말</t>
  </si>
  <si>
    <t>당반기말과 전기말 현재 매입채무및기타채무의 내역은 다음과 같습니다.</t>
  </si>
  <si>
    <t>(단위: 원)</t>
    <phoneticPr fontId="37" type="noConversion"/>
  </si>
  <si>
    <t>당반기말</t>
  </si>
  <si>
    <t>전기말</t>
  </si>
  <si>
    <t>유 동</t>
  </si>
  <si>
    <t>비유동</t>
  </si>
  <si>
    <t>합 계</t>
  </si>
  <si>
    <t>완료</t>
  </si>
  <si>
    <t>조서No.  5610-1</t>
    <phoneticPr fontId="7" type="noConversion"/>
  </si>
  <si>
    <t>조서No.  5610-2</t>
    <phoneticPr fontId="7" type="noConversion"/>
  </si>
  <si>
    <t>조서No.  5610-3</t>
    <phoneticPr fontId="7" type="noConversion"/>
  </si>
  <si>
    <t>해당없음</t>
  </si>
  <si>
    <t>특수관계자와의 거래내용 없음</t>
    <phoneticPr fontId="7" type="noConversion"/>
  </si>
  <si>
    <t>적정함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</si>
</sst>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;\(#,##0\);&quot;-&quot;"/>
    <numFmt numFmtId="177" formatCode="0.0%"/>
    <numFmt numFmtId="178" formatCode="yyyy\.mm\.dd"/>
    <numFmt numFmtId="179" formatCode="_(* #,##0_);_(* \(#,##0\);_(* &quot;-&quot;_);_(@_)"/>
    <numFmt numFmtId="180" formatCode="yyyy&quot;년&quot;\ mm&quot;월&quot;\ dd&quot;일 현재&quot;"/>
    <numFmt numFmtId="181" formatCode="#,##0_ "/>
    <numFmt numFmtId="182" formatCode="#,##0_ ;[Red]\-#,##0\ "/>
    <numFmt numFmtId="183" formatCode="_-\ #,##0_-;\-\ #,##0_-;_-\ &quot;-&quot;_-;_-@_-"/>
    <numFmt numFmtId="184" formatCode="#,##0_);\(#,##0\)"/>
    <numFmt numFmtId="185" formatCode="#,##0_);[Red]\(#,##0\)"/>
  </numFmts>
  <fonts count="4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1F1F1F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  <font>
      <b/>
      <u/>
      <sz val="2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u/>
      <sz val="9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0"/>
      <name val="돋움"/>
      <family val="3"/>
      <charset val="129"/>
    </font>
    <font>
      <sz val="8"/>
      <name val="굴림체"/>
      <family val="2"/>
      <charset val="129"/>
    </font>
    <font>
      <b/>
      <sz val="10"/>
      <color theme="0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FFB9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</borders>
  <cellStyleXfs count="23">
    <xf numFmtId="0" fontId="0" fillId="0" borderId="0"/>
    <xf numFmtId="0" fontId="21" fillId="0" borderId="0">
      <alignment vertical="center"/>
    </xf>
    <xf numFmtId="0" fontId="4" fillId="0" borderId="0">
      <alignment vertical="center"/>
    </xf>
    <xf numFmtId="0" fontId="24" fillId="0" borderId="0"/>
    <xf numFmtId="179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6" fillId="0" borderId="0"/>
    <xf numFmtId="0" fontId="27" fillId="0" borderId="0"/>
    <xf numFmtId="0" fontId="25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</cellStyleXfs>
  <cellXfs count="165">
    <xf numFmtId="0" fontId="0" fillId="0" borderId="0" xfId="0"/>
    <xf numFmtId="0" fontId="0" fillId="0" borderId="1" xfId="0" applyBorder="1"/>
    <xf numFmtId="0" fontId="12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2" fillId="2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indent="1"/>
    </xf>
    <xf numFmtId="176" fontId="15" fillId="4" borderId="2" xfId="0" applyNumberFormat="1" applyFont="1" applyFill="1" applyBorder="1" applyAlignment="1">
      <alignment horizontal="right" vertical="center"/>
    </xf>
    <xf numFmtId="0" fontId="1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14" fillId="6" borderId="3" xfId="0" applyFont="1" applyFill="1" applyBorder="1" applyAlignment="1">
      <alignment horizontal="center" vertical="center"/>
    </xf>
    <xf numFmtId="176" fontId="14" fillId="6" borderId="3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176" fontId="22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 indent="1"/>
    </xf>
    <xf numFmtId="176" fontId="23" fillId="4" borderId="2" xfId="0" applyNumberFormat="1" applyFont="1" applyFill="1" applyBorder="1" applyAlignment="1">
      <alignment horizontal="right" vertical="center"/>
    </xf>
    <xf numFmtId="177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9" fillId="3" borderId="3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12" fillId="3" borderId="2" xfId="0" applyFont="1" applyFill="1" applyBorder="1" applyAlignment="1">
      <alignment horizontal="center" vertical="center"/>
    </xf>
    <xf numFmtId="0" fontId="0" fillId="0" borderId="5" xfId="0" applyBorder="1"/>
    <xf numFmtId="0" fontId="0" fillId="9" borderId="2" xfId="0" applyFill="1" applyBorder="1" applyAlignment="1">
      <alignment horizontal="left" vertical="center" wrapText="1" indent="1"/>
    </xf>
    <xf numFmtId="14" fontId="13" fillId="4" borderId="2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indent="1"/>
    </xf>
    <xf numFmtId="0" fontId="0" fillId="0" borderId="8" xfId="0" applyBorder="1"/>
    <xf numFmtId="0" fontId="9" fillId="3" borderId="2" xfId="0" applyFont="1" applyFill="1" applyBorder="1" applyAlignment="1">
      <alignment horizontal="center" vertical="center"/>
    </xf>
    <xf numFmtId="0" fontId="0" fillId="0" borderId="4" xfId="0" applyBorder="1"/>
    <xf numFmtId="0" fontId="16" fillId="7" borderId="2" xfId="0" applyFont="1" applyFill="1" applyBorder="1" applyAlignment="1">
      <alignment horizontal="left" vertical="top" wrapText="1" indent="1"/>
    </xf>
    <xf numFmtId="0" fontId="0" fillId="2" borderId="8" xfId="0" applyFill="1" applyBorder="1"/>
    <xf numFmtId="0" fontId="9" fillId="2" borderId="8" xfId="0" applyFont="1" applyFill="1" applyBorder="1" applyAlignment="1">
      <alignment horizontal="right" vertical="center"/>
    </xf>
    <xf numFmtId="0" fontId="23" fillId="4" borderId="2" xfId="0" applyFont="1" applyFill="1" applyBorder="1"/>
    <xf numFmtId="0" fontId="0" fillId="7" borderId="2" xfId="0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left" vertical="center" indent="1"/>
    </xf>
    <xf numFmtId="0" fontId="16" fillId="9" borderId="2" xfId="0" applyFont="1" applyFill="1" applyBorder="1" applyAlignment="1">
      <alignment horizontal="left" vertical="top" wrapText="1" indent="1"/>
    </xf>
    <xf numFmtId="0" fontId="0" fillId="4" borderId="2" xfId="0" applyFill="1" applyBorder="1"/>
    <xf numFmtId="178" fontId="9" fillId="3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13" fillId="4" borderId="2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left" vertical="center" indent="1"/>
    </xf>
    <xf numFmtId="0" fontId="0" fillId="7" borderId="2" xfId="0" applyFill="1" applyBorder="1"/>
    <xf numFmtId="0" fontId="10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29" fillId="0" borderId="0" xfId="14" applyFont="1" applyAlignment="1">
      <alignment horizontal="center" vertical="center"/>
    </xf>
    <xf numFmtId="0" fontId="31" fillId="0" borderId="0" xfId="14" applyFont="1">
      <alignment vertical="center"/>
    </xf>
    <xf numFmtId="0" fontId="32" fillId="0" borderId="0" xfId="14" applyFont="1">
      <alignment vertical="center"/>
    </xf>
    <xf numFmtId="180" fontId="33" fillId="0" borderId="0" xfId="14" applyNumberFormat="1" applyFont="1" applyAlignment="1">
      <alignment horizontal="center" vertical="center"/>
    </xf>
    <xf numFmtId="0" fontId="34" fillId="0" borderId="0" xfId="14" applyFont="1">
      <alignment vertical="center"/>
    </xf>
    <xf numFmtId="0" fontId="35" fillId="0" borderId="0" xfId="14" applyFont="1" applyAlignment="1">
      <alignment horizontal="right" vertical="center"/>
    </xf>
    <xf numFmtId="0" fontId="35" fillId="0" borderId="9" xfId="14" applyFont="1" applyBorder="1" applyAlignment="1">
      <alignment horizontal="left" vertical="center"/>
    </xf>
    <xf numFmtId="180" fontId="35" fillId="0" borderId="9" xfId="14" applyNumberFormat="1" applyFont="1" applyBorder="1" applyAlignment="1">
      <alignment horizontal="center" vertical="center"/>
    </xf>
    <xf numFmtId="180" fontId="35" fillId="0" borderId="9" xfId="14" applyNumberFormat="1" applyFont="1" applyBorder="1">
      <alignment vertical="center"/>
    </xf>
    <xf numFmtId="180" fontId="35" fillId="0" borderId="0" xfId="14" applyNumberFormat="1" applyFont="1">
      <alignment vertical="center"/>
    </xf>
    <xf numFmtId="0" fontId="36" fillId="10" borderId="10" xfId="14" applyFont="1" applyFill="1" applyBorder="1" applyAlignment="1">
      <alignment horizontal="center" vertical="center"/>
    </xf>
    <xf numFmtId="0" fontId="36" fillId="10" borderId="11" xfId="14" applyFont="1" applyFill="1" applyBorder="1" applyAlignment="1">
      <alignment horizontal="center" vertical="center"/>
    </xf>
    <xf numFmtId="14" fontId="38" fillId="10" borderId="12" xfId="15" applyNumberFormat="1" applyFont="1" applyFill="1" applyBorder="1" applyAlignment="1">
      <alignment horizontal="center" vertical="center"/>
    </xf>
    <xf numFmtId="0" fontId="38" fillId="10" borderId="12" xfId="15" applyFont="1" applyFill="1" applyBorder="1" applyAlignment="1">
      <alignment horizontal="center" vertical="center"/>
    </xf>
    <xf numFmtId="181" fontId="36" fillId="10" borderId="13" xfId="14" applyNumberFormat="1" applyFont="1" applyFill="1" applyBorder="1" applyAlignment="1">
      <alignment horizontal="center" vertical="center"/>
    </xf>
    <xf numFmtId="182" fontId="36" fillId="10" borderId="13" xfId="14" applyNumberFormat="1" applyFont="1" applyFill="1" applyBorder="1" applyAlignment="1">
      <alignment horizontal="center" vertical="center"/>
    </xf>
    <xf numFmtId="181" fontId="36" fillId="10" borderId="14" xfId="14" applyNumberFormat="1" applyFont="1" applyFill="1" applyBorder="1" applyAlignment="1">
      <alignment horizontal="center" vertical="center"/>
    </xf>
    <xf numFmtId="0" fontId="39" fillId="0" borderId="15" xfId="14" applyFont="1" applyBorder="1" applyAlignment="1">
      <alignment horizontal="center" vertical="center"/>
    </xf>
    <xf numFmtId="0" fontId="39" fillId="0" borderId="16" xfId="14" applyFont="1" applyBorder="1" applyAlignment="1">
      <alignment horizontal="center" vertical="center" shrinkToFit="1"/>
    </xf>
    <xf numFmtId="14" fontId="39" fillId="0" borderId="16" xfId="14" applyNumberFormat="1" applyFont="1" applyBorder="1" applyAlignment="1">
      <alignment horizontal="center" vertical="center"/>
    </xf>
    <xf numFmtId="0" fontId="39" fillId="0" borderId="16" xfId="14" applyFont="1" applyBorder="1" applyAlignment="1">
      <alignment horizontal="center" vertical="center"/>
    </xf>
    <xf numFmtId="183" fontId="39" fillId="0" borderId="17" xfId="14" applyNumberFormat="1" applyFont="1" applyBorder="1">
      <alignment vertical="center"/>
    </xf>
    <xf numFmtId="182" fontId="39" fillId="0" borderId="17" xfId="16" applyNumberFormat="1" applyFont="1" applyBorder="1">
      <alignment vertical="center"/>
    </xf>
    <xf numFmtId="184" fontId="39" fillId="0" borderId="0" xfId="16" applyNumberFormat="1" applyFont="1">
      <alignment vertical="center"/>
    </xf>
    <xf numFmtId="182" fontId="39" fillId="0" borderId="17" xfId="14" applyNumberFormat="1" applyFont="1" applyBorder="1">
      <alignment vertical="center"/>
    </xf>
    <xf numFmtId="181" fontId="39" fillId="0" borderId="18" xfId="14" applyNumberFormat="1" applyFont="1" applyBorder="1" applyAlignment="1">
      <alignment vertical="center" wrapText="1"/>
    </xf>
    <xf numFmtId="0" fontId="39" fillId="0" borderId="0" xfId="14" applyFont="1">
      <alignment vertical="center"/>
    </xf>
    <xf numFmtId="41" fontId="39" fillId="0" borderId="0" xfId="17" applyFont="1">
      <alignment vertical="center"/>
    </xf>
    <xf numFmtId="182" fontId="39" fillId="0" borderId="0" xfId="14" applyNumberFormat="1" applyFont="1">
      <alignment vertical="center"/>
    </xf>
    <xf numFmtId="181" fontId="39" fillId="0" borderId="18" xfId="14" applyNumberFormat="1" applyFont="1" applyBorder="1">
      <alignment vertical="center"/>
    </xf>
    <xf numFmtId="41" fontId="39" fillId="0" borderId="0" xfId="14" applyNumberFormat="1" applyFont="1">
      <alignment vertical="center"/>
    </xf>
    <xf numFmtId="0" fontId="36" fillId="10" borderId="19" xfId="14" applyFont="1" applyFill="1" applyBorder="1" applyAlignment="1">
      <alignment horizontal="center" vertical="center"/>
    </xf>
    <xf numFmtId="0" fontId="36" fillId="10" borderId="20" xfId="14" applyFont="1" applyFill="1" applyBorder="1" applyAlignment="1">
      <alignment horizontal="center" vertical="center"/>
    </xf>
    <xf numFmtId="0" fontId="36" fillId="10" borderId="21" xfId="14" applyFont="1" applyFill="1" applyBorder="1" applyAlignment="1">
      <alignment horizontal="center" vertical="center"/>
    </xf>
    <xf numFmtId="41" fontId="36" fillId="10" borderId="21" xfId="17" applyFont="1" applyFill="1" applyBorder="1">
      <alignment vertical="center"/>
    </xf>
    <xf numFmtId="184" fontId="36" fillId="10" borderId="21" xfId="17" applyNumberFormat="1" applyFont="1" applyFill="1" applyBorder="1">
      <alignment vertical="center"/>
    </xf>
    <xf numFmtId="181" fontId="36" fillId="10" borderId="22" xfId="14" applyNumberFormat="1" applyFont="1" applyFill="1" applyBorder="1">
      <alignment vertical="center"/>
    </xf>
    <xf numFmtId="182" fontId="34" fillId="0" borderId="0" xfId="14" applyNumberFormat="1" applyFont="1">
      <alignment vertical="center"/>
    </xf>
    <xf numFmtId="0" fontId="34" fillId="0" borderId="0" xfId="14" applyFont="1" applyAlignment="1">
      <alignment horizontal="center" vertical="center"/>
    </xf>
    <xf numFmtId="183" fontId="34" fillId="0" borderId="0" xfId="14" applyNumberFormat="1" applyFont="1">
      <alignment vertical="center"/>
    </xf>
    <xf numFmtId="182" fontId="40" fillId="0" borderId="0" xfId="14" applyNumberFormat="1" applyFont="1">
      <alignment vertical="center"/>
    </xf>
    <xf numFmtId="181" fontId="34" fillId="0" borderId="0" xfId="14" applyNumberFormat="1" applyFont="1">
      <alignment vertical="center"/>
    </xf>
    <xf numFmtId="0" fontId="29" fillId="0" borderId="0" xfId="18" applyFont="1" applyAlignment="1">
      <alignment horizontal="center" vertical="center"/>
    </xf>
    <xf numFmtId="0" fontId="31" fillId="0" borderId="0" xfId="18" applyFont="1">
      <alignment vertical="center"/>
    </xf>
    <xf numFmtId="0" fontId="32" fillId="0" borderId="0" xfId="18" applyFont="1">
      <alignment vertical="center"/>
    </xf>
    <xf numFmtId="180" fontId="33" fillId="0" borderId="0" xfId="18" applyNumberFormat="1" applyFont="1" applyAlignment="1">
      <alignment horizontal="center" vertical="center"/>
    </xf>
    <xf numFmtId="0" fontId="35" fillId="0" borderId="0" xfId="18" applyFont="1">
      <alignment vertical="center"/>
    </xf>
    <xf numFmtId="0" fontId="35" fillId="0" borderId="0" xfId="18" applyFont="1" applyAlignment="1">
      <alignment horizontal="right" vertical="center"/>
    </xf>
    <xf numFmtId="0" fontId="35" fillId="0" borderId="9" xfId="18" applyFont="1" applyBorder="1">
      <alignment vertical="center"/>
    </xf>
    <xf numFmtId="180" fontId="35" fillId="0" borderId="9" xfId="18" applyNumberFormat="1" applyFont="1" applyBorder="1" applyAlignment="1">
      <alignment horizontal="center" vertical="center"/>
    </xf>
    <xf numFmtId="14" fontId="35" fillId="0" borderId="9" xfId="18" applyNumberFormat="1" applyFont="1" applyBorder="1" applyAlignment="1">
      <alignment horizontal="center" vertical="center"/>
    </xf>
    <xf numFmtId="14" fontId="35" fillId="0" borderId="0" xfId="18" applyNumberFormat="1" applyFont="1" applyAlignment="1">
      <alignment horizontal="right" vertical="center"/>
    </xf>
    <xf numFmtId="0" fontId="36" fillId="10" borderId="10" xfId="18" applyFont="1" applyFill="1" applyBorder="1" applyAlignment="1">
      <alignment horizontal="center" vertical="center" shrinkToFit="1"/>
    </xf>
    <xf numFmtId="0" fontId="36" fillId="10" borderId="23" xfId="18" applyFont="1" applyFill="1" applyBorder="1" applyAlignment="1">
      <alignment horizontal="center" vertical="center" shrinkToFit="1"/>
    </xf>
    <xf numFmtId="0" fontId="36" fillId="10" borderId="13" xfId="18" applyFont="1" applyFill="1" applyBorder="1" applyAlignment="1">
      <alignment horizontal="center" vertical="center" shrinkToFit="1"/>
    </xf>
    <xf numFmtId="181" fontId="36" fillId="10" borderId="13" xfId="18" applyNumberFormat="1" applyFont="1" applyFill="1" applyBorder="1" applyAlignment="1">
      <alignment horizontal="center" vertical="center" shrinkToFit="1"/>
    </xf>
    <xf numFmtId="14" fontId="36" fillId="10" borderId="13" xfId="18" applyNumberFormat="1" applyFont="1" applyFill="1" applyBorder="1" applyAlignment="1">
      <alignment horizontal="center" vertical="center" shrinkToFit="1"/>
    </xf>
    <xf numFmtId="41" fontId="36" fillId="10" borderId="13" xfId="12" applyFont="1" applyFill="1" applyBorder="1" applyAlignment="1">
      <alignment horizontal="center" vertical="center" shrinkToFit="1"/>
    </xf>
    <xf numFmtId="181" fontId="36" fillId="10" borderId="14" xfId="18" applyNumberFormat="1" applyFont="1" applyFill="1" applyBorder="1" applyAlignment="1">
      <alignment horizontal="center" vertical="center" shrinkToFit="1"/>
    </xf>
    <xf numFmtId="0" fontId="39" fillId="0" borderId="24" xfId="18" applyFont="1" applyBorder="1" applyAlignment="1">
      <alignment horizontal="center" vertical="center" shrinkToFit="1"/>
    </xf>
    <xf numFmtId="0" fontId="36" fillId="11" borderId="25" xfId="18" applyFont="1" applyFill="1" applyBorder="1" applyAlignment="1">
      <alignment horizontal="center" vertical="center" shrinkToFit="1"/>
    </xf>
    <xf numFmtId="0" fontId="39" fillId="0" borderId="26" xfId="18" applyFont="1" applyBorder="1" applyAlignment="1">
      <alignment horizontal="center" vertical="center" shrinkToFit="1"/>
    </xf>
    <xf numFmtId="181" fontId="39" fillId="0" borderId="26" xfId="18" applyNumberFormat="1" applyFont="1" applyBorder="1" applyAlignment="1">
      <alignment horizontal="center" vertical="center" shrinkToFit="1"/>
    </xf>
    <xf numFmtId="14" fontId="39" fillId="0" borderId="26" xfId="19" applyNumberFormat="1" applyFont="1" applyBorder="1" applyAlignment="1">
      <alignment horizontal="center" vertical="center" shrinkToFit="1"/>
    </xf>
    <xf numFmtId="41" fontId="39" fillId="0" borderId="17" xfId="12" applyFont="1" applyBorder="1" applyAlignment="1">
      <alignment horizontal="left" vertical="center" shrinkToFit="1"/>
    </xf>
    <xf numFmtId="183" fontId="39" fillId="0" borderId="26" xfId="18" applyNumberFormat="1" applyFont="1" applyBorder="1" applyAlignment="1">
      <alignment horizontal="center" vertical="center" shrinkToFit="1"/>
    </xf>
    <xf numFmtId="41" fontId="39" fillId="0" borderId="26" xfId="12" applyFont="1" applyBorder="1" applyAlignment="1">
      <alignment horizontal="center" vertical="center" shrinkToFit="1"/>
    </xf>
    <xf numFmtId="41" fontId="39" fillId="0" borderId="17" xfId="12" applyFont="1" applyBorder="1" applyAlignment="1">
      <alignment horizontal="center" vertical="center" shrinkToFit="1"/>
    </xf>
    <xf numFmtId="181" fontId="36" fillId="11" borderId="27" xfId="18" applyNumberFormat="1" applyFont="1" applyFill="1" applyBorder="1" applyAlignment="1">
      <alignment horizontal="center" vertical="center" shrinkToFit="1"/>
    </xf>
    <xf numFmtId="0" fontId="36" fillId="10" borderId="19" xfId="18" applyFont="1" applyFill="1" applyBorder="1" applyAlignment="1">
      <alignment horizontal="center" vertical="center" shrinkToFit="1"/>
    </xf>
    <xf numFmtId="0" fontId="36" fillId="10" borderId="20" xfId="18" applyFont="1" applyFill="1" applyBorder="1" applyAlignment="1">
      <alignment horizontal="center" vertical="center" shrinkToFit="1"/>
    </xf>
    <xf numFmtId="0" fontId="36" fillId="10" borderId="21" xfId="18" applyFont="1" applyFill="1" applyBorder="1" applyAlignment="1">
      <alignment horizontal="center" vertical="center" shrinkToFit="1"/>
    </xf>
    <xf numFmtId="41" fontId="36" fillId="10" borderId="21" xfId="12" applyFont="1" applyFill="1" applyBorder="1" applyAlignment="1">
      <alignment vertical="center" shrinkToFit="1"/>
    </xf>
    <xf numFmtId="181" fontId="36" fillId="10" borderId="22" xfId="18" applyNumberFormat="1" applyFont="1" applyFill="1" applyBorder="1" applyAlignment="1">
      <alignment vertical="center" shrinkToFit="1"/>
    </xf>
    <xf numFmtId="0" fontId="34" fillId="0" borderId="0" xfId="18" applyFont="1" applyAlignment="1">
      <alignment horizontal="center" vertical="center"/>
    </xf>
    <xf numFmtId="0" fontId="34" fillId="0" borderId="0" xfId="18" applyFont="1">
      <alignment vertical="center"/>
    </xf>
    <xf numFmtId="181" fontId="40" fillId="0" borderId="0" xfId="18" applyNumberFormat="1" applyFont="1" applyAlignment="1">
      <alignment horizontal="center" vertical="center"/>
    </xf>
    <xf numFmtId="14" fontId="40" fillId="0" borderId="0" xfId="18" applyNumberFormat="1" applyFont="1" applyAlignment="1">
      <alignment horizontal="center" vertical="center"/>
    </xf>
    <xf numFmtId="183" fontId="34" fillId="0" borderId="0" xfId="18" applyNumberFormat="1" applyFont="1">
      <alignment vertical="center"/>
    </xf>
    <xf numFmtId="183" fontId="40" fillId="0" borderId="0" xfId="18" applyNumberFormat="1" applyFont="1">
      <alignment vertical="center"/>
    </xf>
    <xf numFmtId="181" fontId="34" fillId="0" borderId="0" xfId="18" applyNumberFormat="1" applyFont="1">
      <alignment vertical="center"/>
    </xf>
    <xf numFmtId="0" fontId="36" fillId="10" borderId="10" xfId="20" applyFont="1" applyFill="1" applyBorder="1" applyAlignment="1">
      <alignment horizontal="center" vertical="center"/>
    </xf>
    <xf numFmtId="0" fontId="36" fillId="10" borderId="12" xfId="21" applyFont="1" applyFill="1" applyBorder="1" applyAlignment="1">
      <alignment horizontal="center" vertical="center"/>
    </xf>
    <xf numFmtId="0" fontId="36" fillId="10" borderId="13" xfId="20" applyFont="1" applyFill="1" applyBorder="1" applyAlignment="1">
      <alignment horizontal="center" vertical="center"/>
    </xf>
    <xf numFmtId="14" fontId="36" fillId="10" borderId="13" xfId="20" applyNumberFormat="1" applyFont="1" applyFill="1" applyBorder="1" applyAlignment="1">
      <alignment horizontal="center" vertical="center"/>
    </xf>
    <xf numFmtId="182" fontId="36" fillId="10" borderId="13" xfId="20" applyNumberFormat="1" applyFont="1" applyFill="1" applyBorder="1" applyAlignment="1">
      <alignment horizontal="center" vertical="center"/>
    </xf>
    <xf numFmtId="182" fontId="36" fillId="10" borderId="13" xfId="20" applyNumberFormat="1" applyFont="1" applyFill="1" applyBorder="1" applyAlignment="1">
      <alignment horizontal="center" vertical="center"/>
    </xf>
    <xf numFmtId="182" fontId="36" fillId="10" borderId="14" xfId="20" applyNumberFormat="1" applyFont="1" applyFill="1" applyBorder="1" applyAlignment="1">
      <alignment horizontal="center" vertical="center"/>
    </xf>
    <xf numFmtId="0" fontId="34" fillId="0" borderId="0" xfId="20" applyFont="1">
      <alignment vertical="center"/>
    </xf>
    <xf numFmtId="41" fontId="34" fillId="0" borderId="0" xfId="12" applyFont="1" applyFill="1">
      <alignment vertical="center"/>
    </xf>
    <xf numFmtId="0" fontId="41" fillId="0" borderId="28" xfId="20" applyFont="1" applyBorder="1" applyAlignment="1">
      <alignment horizontal="center" vertical="center" wrapText="1"/>
    </xf>
    <xf numFmtId="0" fontId="39" fillId="0" borderId="17" xfId="20" applyFont="1" applyBorder="1" applyAlignment="1">
      <alignment horizontal="center" vertical="center" shrinkToFit="1"/>
    </xf>
    <xf numFmtId="0" fontId="39" fillId="0" borderId="17" xfId="20" applyFont="1" applyBorder="1" applyAlignment="1">
      <alignment vertical="center" shrinkToFit="1"/>
    </xf>
    <xf numFmtId="181" fontId="39" fillId="0" borderId="17" xfId="20" applyNumberFormat="1" applyFont="1" applyBorder="1" applyAlignment="1">
      <alignment horizontal="center" vertical="center" shrinkToFit="1"/>
    </xf>
    <xf numFmtId="14" fontId="39" fillId="0" borderId="17" xfId="20" applyNumberFormat="1" applyFont="1" applyBorder="1" applyAlignment="1">
      <alignment horizontal="center" vertical="center" shrinkToFit="1"/>
    </xf>
    <xf numFmtId="183" fontId="39" fillId="0" borderId="17" xfId="20" applyNumberFormat="1" applyFont="1" applyBorder="1" applyAlignment="1">
      <alignment vertical="center" shrinkToFit="1"/>
    </xf>
    <xf numFmtId="41" fontId="39" fillId="0" borderId="17" xfId="22" applyFont="1" applyFill="1" applyBorder="1" applyAlignment="1">
      <alignment vertical="center" shrinkToFit="1"/>
    </xf>
    <xf numFmtId="185" fontId="39" fillId="0" borderId="17" xfId="22" applyNumberFormat="1" applyFont="1" applyFill="1" applyBorder="1" applyAlignment="1">
      <alignment vertical="center" shrinkToFit="1"/>
    </xf>
    <xf numFmtId="41" fontId="34" fillId="0" borderId="0" xfId="22" applyFont="1" applyFill="1">
      <alignment vertical="center"/>
    </xf>
    <xf numFmtId="14" fontId="39" fillId="0" borderId="18" xfId="20" applyNumberFormat="1" applyFont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3" fillId="12" borderId="29" xfId="0" applyFont="1" applyFill="1" applyBorder="1" applyAlignment="1">
      <alignment horizontal="right" vertical="center"/>
    </xf>
    <xf numFmtId="0" fontId="43" fillId="12" borderId="30" xfId="0" applyFont="1" applyFill="1" applyBorder="1" applyAlignment="1">
      <alignment horizontal="right" vertical="center"/>
    </xf>
    <xf numFmtId="0" fontId="43" fillId="12" borderId="31" xfId="0" applyFont="1" applyFill="1" applyBorder="1" applyAlignment="1">
      <alignment horizontal="right" vertical="center"/>
    </xf>
    <xf numFmtId="0" fontId="43" fillId="12" borderId="32" xfId="0" applyFont="1" applyFill="1" applyBorder="1" applyAlignment="1">
      <alignment horizontal="center" vertical="center"/>
    </xf>
    <xf numFmtId="0" fontId="43" fillId="12" borderId="33" xfId="0" applyFont="1" applyFill="1" applyBorder="1" applyAlignment="1">
      <alignment horizontal="center" vertical="center"/>
    </xf>
    <xf numFmtId="0" fontId="43" fillId="12" borderId="34" xfId="0" applyFont="1" applyFill="1" applyBorder="1" applyAlignment="1">
      <alignment horizontal="center" vertical="center"/>
    </xf>
    <xf numFmtId="0" fontId="44" fillId="0" borderId="32" xfId="0" applyFont="1" applyBorder="1" applyAlignment="1">
      <alignment horizontal="left" vertical="top"/>
    </xf>
    <xf numFmtId="38" fontId="44" fillId="0" borderId="33" xfId="0" applyNumberFormat="1" applyFont="1" applyBorder="1" applyAlignment="1">
      <alignment horizontal="right" vertical="center"/>
    </xf>
    <xf numFmtId="185" fontId="44" fillId="0" borderId="35" xfId="0" applyNumberFormat="1" applyFont="1" applyBorder="1" applyAlignment="1">
      <alignment horizontal="right" vertical="top"/>
    </xf>
    <xf numFmtId="0" fontId="44" fillId="0" borderId="32" xfId="0" applyFont="1" applyBorder="1" applyAlignment="1">
      <alignment horizontal="left" vertical="center"/>
    </xf>
    <xf numFmtId="0" fontId="43" fillId="12" borderId="36" xfId="0" applyFont="1" applyFill="1" applyBorder="1" applyAlignment="1">
      <alignment horizontal="center" vertical="center"/>
    </xf>
    <xf numFmtId="0" fontId="43" fillId="12" borderId="37" xfId="0" applyFont="1" applyFill="1" applyBorder="1" applyAlignment="1">
      <alignment horizontal="center" vertical="center"/>
    </xf>
    <xf numFmtId="0" fontId="43" fillId="12" borderId="38" xfId="0" applyFont="1" applyFill="1" applyBorder="1" applyAlignment="1">
      <alignment horizontal="center" vertical="center"/>
    </xf>
    <xf numFmtId="0" fontId="43" fillId="12" borderId="39" xfId="0" applyFont="1" applyFill="1" applyBorder="1" applyAlignment="1">
      <alignment horizontal="center" vertical="center"/>
    </xf>
    <xf numFmtId="0" fontId="43" fillId="12" borderId="40" xfId="0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38" fontId="44" fillId="0" borderId="34" xfId="0" applyNumberFormat="1" applyFont="1" applyBorder="1" applyAlignment="1">
      <alignment horizontal="right" vertical="center"/>
    </xf>
  </cellXfs>
  <cellStyles count="23">
    <cellStyle name="쉼표 [0] 12 2" xfId="13" xr:uid="{8638453F-2F43-4C89-BE68-62097EC4FD00}"/>
    <cellStyle name="쉼표 [0] 2" xfId="5" xr:uid="{C7B58E65-7FED-43FB-B36E-4387831F1CBB}"/>
    <cellStyle name="쉼표 [0] 2 2" xfId="6" xr:uid="{C7F1C096-6250-4EB7-83D2-51D8D4704D87}"/>
    <cellStyle name="쉼표 [0] 2 2 2" xfId="8" xr:uid="{9123B1C0-BBF3-4413-BF95-7249889CB962}"/>
    <cellStyle name="쉼표 [0] 2 2 3" xfId="4" xr:uid="{0741AEE0-C3B4-448F-96E3-8BD1EFB20A7A}"/>
    <cellStyle name="쉼표 [0] 2 3" xfId="17" xr:uid="{399BBED4-0671-4B92-85B3-315FB5EADF1F}"/>
    <cellStyle name="쉼표 [0] 2 45" xfId="22" xr:uid="{0749A468-49A8-42AD-98AC-DFC977635779}"/>
    <cellStyle name="쉼표 [0] 3 3" xfId="12" xr:uid="{F91C1CD0-9FDC-4CE3-8BC1-EC92639483E4}"/>
    <cellStyle name="표준" xfId="0" builtinId="0"/>
    <cellStyle name="표준 12" xfId="9" xr:uid="{465AC4EC-24A0-4B70-90EC-F9B50EFC4D45}"/>
    <cellStyle name="표준 15 2" xfId="14" xr:uid="{6E309A08-F4D1-4BEF-B327-BF087DCA97A3}"/>
    <cellStyle name="표준 15 2 2 2" xfId="20" xr:uid="{F333A004-5771-432C-94BB-C4BD32B48BD1}"/>
    <cellStyle name="표준 15 2 2 3" xfId="16" xr:uid="{716177B3-14C2-41B3-8E64-D2C89FC4A721}"/>
    <cellStyle name="표준 15 2 3 2" xfId="15" xr:uid="{E4B19E61-118F-458E-87B5-DFCF2EE5F4E7}"/>
    <cellStyle name="표준 15 2 3 2 3" xfId="19" xr:uid="{19824F8F-C32F-4CD6-88F0-29EC9EE692B9}"/>
    <cellStyle name="표준 2" xfId="1" xr:uid="{00000000-0005-0000-0000-000002000000}"/>
    <cellStyle name="표준 2 2" xfId="7" xr:uid="{AB591C46-DCD4-4627-8620-5AF45E0762F8}"/>
    <cellStyle name="표준 2 3" xfId="18" xr:uid="{68C83766-0E95-47C1-AE58-BBB9C623DAF4}"/>
    <cellStyle name="표준 2 43" xfId="21" xr:uid="{F58D45CB-E34A-4194-9CE3-483522BFBA99}"/>
    <cellStyle name="표준 2 45" xfId="11" xr:uid="{18C47D36-0AEB-45B0-BD7D-D874F406E22A}"/>
    <cellStyle name="표준 3" xfId="2" xr:uid="{00000000-0005-0000-0000-000004000000}"/>
    <cellStyle name="표준 4" xfId="10" xr:uid="{AB50E89A-8E0A-4456-9639-316ACF44877D}"/>
    <cellStyle name="표준 4 5" xfId="3" xr:uid="{7200522C-DA69-4976-9ADD-437A09145B5F}"/>
  </cellStyles>
  <dxfs count="6"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externalLink" Target="externalLinks/externalLink84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5.xml"/><Relationship Id="rId95" Type="http://schemas.openxmlformats.org/officeDocument/2006/relationships/externalLink" Target="externalLinks/externalLink90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91" Type="http://schemas.openxmlformats.org/officeDocument/2006/relationships/externalLink" Target="externalLinks/externalLink86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94" Type="http://schemas.openxmlformats.org/officeDocument/2006/relationships/externalLink" Target="externalLinks/externalLink89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44221;&#45224;&#51228;&#50557;/26&#45380;/&#48152;&#44592;/&#54924;&#49324;&#51228;&#49884;_&#48152;&#44592;/&#51116;&#47924;&#51228;&#54364;%20&#48143;%20&#44208;&#49328;&#49436;/4.%202026_06M%20&#51092;&#50529;&#47749;&#49464;&#49436;(&#48512;&#52292;)_v1_123115.xlsx" TargetMode="External"/><Relationship Id="rId2" Type="http://schemas.openxmlformats.org/officeDocument/2006/relationships/externalLinkPath" Target="file:///D:\Users\lbh00\OneDrive\&#47928;&#49436;\&#44048;&#49324;\&#44221;&#45224;&#51228;&#50557;\26&#45380;\&#48152;&#44592;\&#54924;&#49324;&#51228;&#49884;_&#48152;&#44592;\&#51116;&#47924;&#51228;&#54364;%20&#48143;%20&#44208;&#49328;&#49436;\4.%202026_06M%20&#51092;&#50529;&#47749;&#49464;&#49436;(&#48512;&#52292;)_v1_123115.xlsx" TargetMode="External"/><Relationship Id="rId1" Type="http://schemas.openxmlformats.org/officeDocument/2006/relationships/externalLinkPath" Target="/Users/lbh00/OneDrive/&#47928;&#49436;/&#44048;&#49324;/&#44221;&#45224;&#51228;&#50557;/26&#45380;/&#48152;&#44592;/&#54924;&#49324;&#51228;&#49884;_&#48152;&#44592;/&#51116;&#47924;&#51228;&#54364;%20&#48143;%20&#44208;&#49328;&#49436;/4.%202026_06M%20&#51092;&#50529;&#47749;&#49464;&#49436;(&#48512;&#52292;)_v1_1231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672;&#49689;\CLIENT\CLIENTS\Maa98\Maafs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672;&#49689;\CLIENT\CLASS\CLIENTS\Misung97\97audit\Maa97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SOFFICE\HEXCEL\REALMOSH\&#44148;&#44053;&#51452;&#44036;\&#50672;&#4697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Audit\JPM\2002\Year_end\&#48372;&#44256;&#49436;&#44288;&#47144;\&#52572;&#49888;\2002JPMC%20FS(Final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windows\TEMP\chiyoung\Audit%20&amp;%20tax\&#45224;&#50689;&#51204;&#44396;\WF200\TMP\~TMP5043.$$$\&#44228;&#51221;&#44284;&#477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th\&#51076;&#44552;&#51088;&#47308;\&#44592;&#51456;\&#51068;&#44553;\DATA\&#51068;&#44553;&#54637;&#4778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ale%20&amp;%20Incom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m\c\&#44608;&#47928;&#44508;\&#51088;&#44552;20&#44592;&#44208;&#49328;\20&#44592;&#44228;&#51221;&#47749;&#49464;\MSOffice\Excel\&#51060;&#54952;&#49453;\&#47564;&#44592;&#50696;&#44552;\&#47564;&#44592;07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1077;&#51613;&#44048;&#49324;\DTT%20PACK\Substantive%20Analytical%20Procedures%20(Template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Clients%201\&#50976;&#54204;&#49828;\2003\2003&#48152;&#44592;\windows\TEMP\chiyoung\Audit%20&amp;%20tax\&#45224;&#50689;&#51204;&#44396;\WF200\TMP\~TMP5043.$$$\&#44228;&#51221;&#44284;&#4778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0504;&#44148;&#51088;&#47308;&#49892;\&#44048;&#49324;&#48372;&#44256;&#49436;\&#49457;&#52285;&#50557;&#54408;\AHNKWON\REPORT\CROWN-C\CW-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My%20Documents\Non%20audit\&#50696;&#44552;&#48372;&#54744;&#44277;&#49324;\&#51228;&#51068;&#51008;&#54665;FIS\2001&#45380;3&#49324;&#48516;&#44592;\&#51008;&#54665;&#51228;&#49884;\&#44277;&#50976;\My-Sec\1999-12&#50900;\Security9912-&#51092;&#47448;&#4851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ACC/STOCK/MA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51221;&#49440;\&#49888;&#46041;&#51061;\WINDOWS\TEMP\&#48149;&#54872;&#44397;\BWM95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Clients%201\&#45824;&#50896;C&amp;A\2004&#45380;\2004.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ket.com/Documents%20and%20Settings/it/My%20Documents/My%20Folder/My%20Documents/&#49345;&#50500;&#51228;&#50557;/FY2002_YE/F123/KTYDATA/&#49552;&#51061;/97&#45380;&#49888;&#44228;&#54925;/&#50900;&#48324;/0JHKIM/&#54032;&#47588;/96/GC20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&#44048;&#49324;\&#44032;&#50640;&#49436;%20&#47532;\&#46160;&#49328;&#44148;&#49444;\2000\&#44592;&#47568;&#44048;&#49324;\MSOffice\Excel\COST02\&#51088;&#4730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My%20Documents/TIFFCO/SCH01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6&#54840;&#44592;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ACT_MIS/Bonnie/SKLEE/Nov00/Korea30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Excel\LIK\OTH\Inv\00&#48152;&#44592;\&#51116;&#44256;&#51312;&#49324;9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ket.com/APPS/EXCEL/CAAP/ABB1529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443\d\OTHER\96&#48152;&#44592;~1\6M\PUBLIC\FS9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CCOUNT\DEPE\96&#47749;&#4946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1&#45380;&#48152;&#44592;&#44208;&#49328;\WINDOWS\TEMP\&#48149;&#54872;&#44397;\BWM95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&#53945;&#49688;&#52292;&#44428;&#47588;&#44033;\&#51088;&#47928;&#49324;&#51228;&#52636;2\&#50689;&#45224;&#48376;&#48512;(Regular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0948;&#46300;\CLIENT\&#50976;&#54148;&#49828;\2004\2004&#44592;&#47568;\windows\TEMP\chiyoung\Audit%20&amp;%20tax\&#45224;&#50689;&#51204;&#44396;\WF200\TMP\~TMP5043.$$$\&#44228;&#51221;&#44284;&#4778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EXCEL\RegionData\Oct\SW-10&#50900;%20&#44208;&#49328;&#51088;&#4730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1kji\c\My%20Documents\HP\&#44592;&#47568;(01)\My%20Documents\&#46041;&#49457;&#54868;&#54617;\99YE\99A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48176;&#49457;&#44508;\AUDIT\&#48708;&#50656;&#44544;&#47196;&#48268;\&#48708;&#50656;0502(&#44592;&#47568;)-&#52572;&#51333;\My%20WorkPaper\5320%20&#47588;&#52636;&#52292;&#44428;%20Sub-Leadshee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Documents%20and%20Settings\sskim\&#48148;&#53461;%20&#54868;&#47732;\&#49464;&#50500;&#47700;&#53448;%20&#54788;&#44552;&#55120;&#47492;&#54364;\8430%20&#50808;&#54872;&#52264;&#49552;&#51061;%20&#48143;%20&#50808;&#54868;&#54872;&#49328;%20&#44160;&#536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ACT_MIS/Bonnie/SKLEE/Jan01/Korea29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TYDATA\&#49552;&#51061;\97&#45380;&#49888;&#44228;&#54925;\&#50900;&#48324;\0JHKIM\&#54032;&#47588;\96\GC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1kji\c\My%20Documents\HP\&#44592;&#47568;(01)\&#51228;&#47924;&#51116;&#54364;(&#51228;&#51312;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WINDOWS\TEMP\GAMxFiles\wzbpecbhsynmghder4f228vf6m7zyf8rb3kzxnaat9q9v7ypkkmc\2%202%2010\9142f3422dd44e96bc9ac0ff42b12d9c\2008_YE\E000_%20Lead_Account%20Receivable_Cambridge_2008123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0%20&#47588;&#52636;&#52292;&#44428;%20&#51312;&#49436;(0312)(&#52280;&#44256;&#50857;)&#51032;%20&#50892;&#53356;&#49884;&#53944;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5810-1%20&#47924;&#54805;&#51088;&#49328;subleed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1%20&#47588;&#52636;&#52292;&#44428;%20&#51312;&#49436;&#51032;%20&#50892;&#53356;&#49884;&#53944;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811%20&#47924;&#54805;&#51088;&#49328;%20Leadsheet&#51032;%20&#50892;&#53356;&#49884;&#53944;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45824;&#50864;\&#45824;&#50864;&#48516;&#44592;\&#51060;&#48337;&#49849;\5710-1%20&#50976;&#54805;&#51088;&#49328;%20Leadshe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hiyoung\Audit%20&amp;%20tax\&#45224;&#50689;&#51204;&#44396;\WF200\TMP\~TMP5043.$$$\&#44228;&#51221;&#44284;&#4778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1109\c\&#50504;&#48337;&#51068;\&#49464;&#48120;&#45208;\Realm%20O.S.H\97&#50696;&#49328;\97&#50696;\&#47588;&#52636;\&#51312;&#51649;&#48324;\&#47588;&#52636;&#52509;&#442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DOWS\TEMP\MSOFFICE\HEXCEL\REALMOSH\&#44148;&#44053;&#51452;&#44036;\&#50672;&#4697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&#44608;&#48124;&#44216;\&#47476;&#45348;&#49345;&#49828;%20&#48373;\WINDOWS\TEMP\apt%20f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lee\2002\&#54616;&#46020;&#44553;&#44288;&#47144;\&#44264;&#51312;&#44277;&#49324;\&#44036;&#51217;&#48708;(&#46020;&#44257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user/My%20Documents/clinet02/Zeiss02/&#44592;&#47568;&#44048;&#49324;/&#51312;&#49436;/Labo/13%20&#44277;&#51221;&#51473;&#47116;&#5159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CLIENTS\&#47112;&#51060;&#51232;\2002.3&#48516;&#44592;\&#44048;&#49324;&#51312;&#49436;(AFILE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&#48512;&#46041;&#49328;&#44288;&#47532;\&#46041;&#50500;&#49373;&#47749;\&#45796;&#46041;&#49324;&#50725;\&#51068;&#48152;&#54408;&#51032;(&#44396;&#51077;)\2004&#50976;&#54805;&#51088;&#49328;&#47749;&#4946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Documents%20and%20Settings\NetwareID\&#48148;&#53461;%20&#54868;&#47732;\&#51312;&#49436;&#54260;&#45908;\SEI%20Asset\&#54924;&#49324;&#51228;&#49884;\040331%20&#48512;&#49549;&#47749;&#4946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68;&#44592;\&#44277;&#50976;\&#50504;&#48337;&#51068;\&#49464;&#48120;&#45208;\Realm%20O.S.H\97&#50696;&#49328;\97&#50696;\&#47588;&#52636;\&#51312;&#51649;&#48324;\&#47588;&#52636;&#52509;&#44292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0504;&#48337;&#51068;\&#49464;&#48120;&#45208;\Realm%20O.S.H\97&#50696;&#49328;\97&#50696;\&#47588;&#52636;\&#51312;&#51649;&#48324;\&#47588;&#52636;&#52509;&#4429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KHK\&#50696;&#49328;97\97&#49324;&#5062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Documents%20and%20Settings\cdjin\My%20Documents\&#44048;&#49324;\&#52292;&#44428;&#52292;&#47924;&#51312;&#54924;\&#54400;&#47924;&#50896;&#45433;&#51609;\&#52292;&#44428;&#52292;&#47924;&#51312;&#54924;&#49436;&#52509;&#44292;&#54364;(&#54400;&#47924;&#50896;&#45433;&#51609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DOCUME~1/NETWAR~1/LOCALS~1/Temp/NOCR/#115~116_(0410NCR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My%20Documents\&#51088;&#44552;&#50629;&#47924;\&#51068;&#51068;&#51088;&#44552;&#48372;&#44256;\01&#45380;11&#50900;\01&#45380;11&#50900;-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hhh\&#54224;&#44592;&#47932;&#51064;&#44228;&#49436;\2006&#45380;%20&#54224;&#44592;&#47932;%20&#51064;&#44228;&#49436;\2006&#45380;&#54224;&#44592;&#47932;&#51064;&#44228;&#45236;&#50669;&#54788;&#54889;(4&#50900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1060;&#44592;&#54868;\PBM&#51064;&#50896;&#54788;&#54889;\&#51312;&#51649;&#46020;\2000&#45380;%20&#51312;&#51649;&#48320;&#44221;%20&#44288;&#47144;\WINDOWS\TEMP\&#49552;&#51061;\97&#45380;&#49888;&#44228;&#54925;\&#50900;&#48324;\0JHKIM\&#54032;&#47588;\96\GC200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DATA\WINDOWS\TEMP\&#53748;&#51649;&#52628;&#4422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&#53945;&#49688;&#52292;&#44428;&#47588;&#44033;\&#45432;&#53944;&#48513;\Data%20Disk%202\&#53945;&#49688;&#52292;&#4442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54016;&#48324;&#51228;&#52636;&#51088;&#47308;\&#51221;&#47532;&#44552;&#50997;&#44277;&#49324;\&#48512;&#46041;&#49328;\7.&#48372;&#54744;\2006&#45380;%20&#44032;&#51077;&#45236;&#50669;\&#54868;&#51116;&#48372;&#54744;&#44032;&#51077;&#50696;&#51221;(2006.03.15)&#50756;&#4730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KTYDATA\&#49552;&#51061;\97&#45380;&#49888;&#44228;&#54925;\&#50900;&#48324;\0JHKIM\&#54032;&#47588;\96\GC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Documents%20and%20Settings\sskim\&#48148;&#53461;%20&#54868;&#47732;\&#49464;&#50500;&#47700;&#53448;\2001&#45380;%20&#44592;&#47568;&#44048;&#49324;\&#47924;&#47548;&#51228;&#51648;\&#47924;&#47548;-&#52572;&#51333;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microsoft.com/office/2019/04/relationships/externalLinkLongPath" Target="http://210.107.66.51/Documents%20and%20Settings/hyahn/My%20Documents/&#51089;&#50629;file/Corporate%20Finance/Shadow/DITC/DITC_04.10.31/My%20Documents/Audit_working/Audit/DY2003/&#44592;&#47568;/&#54924;&#49324;&#51228;&#49884;&#51088;&#47308;/My%20Documents/&#54924;&#44228;&#44048;&#49324;/&#46041;&#51652;&#51060;&#44277;/&#44592;&#47568;&#44048;&#49324;/&#48372;&#44256;&#49436;/&#50629;&#47924;&#54260;&#45908;/&#44048;&#49324;&#48372;&#44256;&#49436;&#52572;&#51333;/JJang/KET/&#49340;&#54868;95.XLS?90C85E24" TargetMode="External"/><Relationship Id="rId1" Type="http://schemas.openxmlformats.org/officeDocument/2006/relationships/externalLinkPath" Target="file:///\\90C85E24\&#49340;&#54868;9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My%20Documents/Audit_working/Audit/DY2003/&#44592;&#47568;/&#54924;&#49324;&#51228;&#49884;&#51088;&#47308;/kbs/2000&#45380;%20&#51473;&#44036;&#44048;&#49324;/KET/&#49340;&#54868;9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CgkimBox/KCG/XLS/&#44208;&#49328;(1999)/JJang/KETDATA/XLS/&#49340;&#54868;9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68;&#44592;\&#44277;&#50976;\EXCHANGE\WINDOWS\TEMP\MSOFFICE\HEXCEL\REALMOSH\&#44148;&#44053;&#51452;&#44036;\&#50672;&#4697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\C\&#44608;&#54788;&#51456;data\02&#50500;&#54028;&#53944;&#48324;\&#49457;&#49688;&#51109;&#48120;\&#49457;&#49688;&#45812;&#51109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WINDOWS\TEMP\&#49552;&#51061;\97&#45380;&#49888;&#44228;&#54925;\&#50900;&#48324;\0JHKIM\&#54032;&#47588;\96\GC20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5108\ciyoo\WINDOWS\Temporary%20Internet%20Files\0CK94PMB\9901&#51116;&#47924;&#51228;&#5436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64;&#46972;\&#51060;&#49352;&#46972;\&#49352;&#51089;&#50629;\&#47588;&#50900;&#48372;&#44256;\&#51333;&#44552;&#50900;&#48372;\2004.2(&#49888;&#54620;&#51333;&#44552;&#50900;&#48372;)-&#45796;&#49884;&#51089;&#4945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9457;\C\MICROSOFT%20OFFICE\OFFICE\COMMONMO.XLA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&#44277;&#44553;&#49444;&#48708;\&#45824;&#52404;\9703-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9457;\C\MICROSOFT%20OFFICE\OFFICE\CALCMOD.XLA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&#54644;&#50868;&#45824;&#51216;\ADATA\98FILE\3&#50900;\&#44368;&#53685;&#45824;&#52293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naracredit.com/Windows/Temporary%20Internet%20Files/Content.IE5/0FTN2UBD/WINDOWS/TEMP/_hztmp_/Documents%20and%20Settings/Owner/&#48148;&#53461;%20&#54868;&#47732;/&#51089;&#50629;&#51473;&#51064;&#47928;&#49436;/&#47588;&#50900;5&#51068;&#48372;&#44256;/&#50900;&#48372;/&#51116;&#45800;&#54788;&#54889;&#50900;&#48372;0305(&#45824;&#44396;&#48376;&#47532;)&#48372;&#4428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&#54924;&#49324;&#51228;&#52636;&#48516;_NCR/ncr(&#50504;&#51652;&#51228;&#52636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user/My%20Documents/Client03/Twin%20City/DI&amp;S/NOCR/0601/NOCR_analysis(TTSA&#44256;&#50976;&#54633;&#49328;)(0601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11.15.18.105/WINDOWS/TEMP/&#54616;&#45208;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naracredit.com/&#54028;&#49328;&#51116;&#45800;&#51064;&#49688;&#54016;/002.&#51064;&#49688;&#48372;&#44256;(&#51648;&#49324;)/8&#52264;&#51064;&#49688;&#48372;&#44256;/&#45436;&#49328;&#49888;&#54801;/Documents%20and%20Settings/Owner/&#48148;&#53461;%20&#54868;&#47732;/&#51089;&#50629;&#51473;&#51064;&#47928;&#49436;/&#47588;&#50900;5&#51068;&#48372;&#44256;/&#50900;&#48372;/&#51116;&#45800;&#54788;&#54889;&#50900;&#48372;0305(&#45824;&#44396;&#48376;&#47532;)&#48372;&#4428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49552;&#51061;\97&#45380;&#49888;&#44228;&#54925;\&#50900;&#48324;\0JHKIM\&#54032;&#47588;\96\GC200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&#50504;&#48337;&#51068;\&#49464;&#48120;&#45208;\Realm%20O.S.H\97&#50696;&#49328;\97&#50696;\&#47588;&#52636;\&#51312;&#51649;&#48324;\&#47588;&#52636;&#52509;&#44292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0857;&#51452;\98&#50696;&#49328;&#54200;\&#51228;&#51312;&#50896;&#44032;\&#47749;&#44032;\&#44036;&#48512;&#49464;&#48120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skcc.com/EXCEL/&#44048;&#44032;&#49345;&#44033;/&#48376;&#49324;99&#44048;&#44032;&#49345;&#44033;&#45824;&#5110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b302i311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&#44552;&#54840;MDI\99&#51473;&#44036;&#44208;&#49328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0;&#54868;95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naracredit.com/My%20Documents/&#51221;&#50864;&#44552;&#44256;&#51064;&#49688;&#51088;&#47308;/&#51221;&#50864;&#44552;&#44256;&#51064;&#49688;/&#51064;&#49688;&#48372;&#44256;&#49436;/&#51221;&#50864;&#51064;&#49688;&#48372;&#44256;&#49436;(&#52572;&#51333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특관자"/>
      <sheetName val="부채"/>
      <sheetName val="외상매입금 "/>
      <sheetName val="미지급금"/>
      <sheetName val="미지급금(사원)상세"/>
      <sheetName val="예수금"/>
      <sheetName val="선수금-잡이익 상계"/>
      <sheetName val="일반선수금"/>
      <sheetName val="임대보증금 "/>
      <sheetName val="차입금(단기,사채,유동성장기) "/>
      <sheetName val="미지급법인세"/>
      <sheetName val="미지급비용(급여확인 필요)"/>
      <sheetName val="미지급비용(이자)"/>
      <sheetName val="전환사채"/>
      <sheetName val="이연수익"/>
      <sheetName val="파생상품부채"/>
      <sheetName val="기타부채"/>
      <sheetName val="계약부채 "/>
      <sheetName val="확정급여채무"/>
      <sheetName val="장기미지급비용"/>
      <sheetName val="국민연금전환금"/>
      <sheetName val="퇴직연금운용자산"/>
      <sheetName val="수입보증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sheet"/>
      <sheetName val="시산표"/>
      <sheetName val="국문FS "/>
      <sheetName val="국문제조"/>
      <sheetName val="현금흐름"/>
      <sheetName val="영문FS"/>
      <sheetName val="영문제조원가"/>
      <sheetName val="자금SCHEDULE"/>
      <sheetName val="보정사항"/>
      <sheetName val="Index"/>
      <sheetName val="제출용BS(한일+할부)"/>
      <sheetName val="점유면적"/>
      <sheetName val="10월시간수당"/>
      <sheetName val="11월시간수당"/>
      <sheetName val="12월시간수당"/>
      <sheetName val="주민번호"/>
      <sheetName val="12월급여"/>
      <sheetName val="118.세금과공과"/>
      <sheetName val="수선비"/>
      <sheetName val="목록"/>
      <sheetName val="Asset98-CAK"/>
      <sheetName val="Asset9809CAK"/>
      <sheetName val="수정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sheet"/>
      <sheetName val="시산표"/>
      <sheetName val="국문FS "/>
      <sheetName val="현금흐름"/>
      <sheetName val="재무비율"/>
      <sheetName val="국문제조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업무연락"/>
      <sheetName val="표지"/>
      <sheetName val="8월현금흐름표"/>
      <sheetName val="공표손익"/>
      <sheetName val="절대지우지말것"/>
      <sheetName val="유통망계획"/>
      <sheetName val="DS_1999"/>
      <sheetName val="DS_3Q"/>
      <sheetName val="DS_2Q"/>
      <sheetName val="첨부2. HW,SW사용료"/>
      <sheetName val="Sheet2"/>
      <sheetName val="ALL"/>
      <sheetName val="시산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통제용"/>
      <sheetName val="리드"/>
      <sheetName val="수정사항"/>
      <sheetName val="중요성기준"/>
      <sheetName val="대차대조표"/>
      <sheetName val="손익계산서"/>
      <sheetName val="잉여금"/>
      <sheetName val="현금흐름표"/>
      <sheetName val="CF만들기"/>
      <sheetName val="경영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ery"/>
      <sheetName val="Application Appendix"/>
      <sheetName val="Room sales plan"/>
      <sheetName val="Project Income"/>
      <sheetName val="Sales Cost"/>
      <sheetName val="Construction"/>
      <sheetName val="scale &amp; Incom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만기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Sheet1"/>
      <sheetName val="만기 (2)"/>
      <sheetName val="TB"/>
      <sheetName val="00'미수"/>
      <sheetName val="She_x0000__x0000_2"/>
      <sheetName val="꺐윂"/>
      <sheetName val="감가상각"/>
      <sheetName val="XREF"/>
      <sheetName val="제품별원가분석"/>
      <sheetName val="118.세금과공과"/>
      <sheetName val="108.수선비"/>
      <sheetName val="총괄(회사)"/>
      <sheetName val="무형자산"/>
      <sheetName val="전산기기최종"/>
      <sheetName val="집기비품최종"/>
      <sheetName val="1.외주공사"/>
      <sheetName val="2.직영공사"/>
      <sheetName val="부재료입고집계"/>
      <sheetName val="She"/>
      <sheetName val="만기0701"/>
      <sheetName val="99지분법평가ﾐ쟿"/>
      <sheetName val="시산표"/>
      <sheetName val="연결분개(거래.Ʉ_x0000_₎㔀"/>
      <sheetName val=""/>
      <sheetName val="ʉ_x0000_䀀"/>
      <sheetName val="data"/>
      <sheetName val="정기적금"/>
      <sheetName val="Sheet12"/>
      <sheetName val="상품원가피벗"/>
      <sheetName val="She??2"/>
      <sheetName val="연결분개(거래_채권채무)_(2)"/>
      <sheetName val="연결분개(거래_채권채무)"/>
      <sheetName val="만기_(2)"/>
      <sheetName val="재료수율"/>
      <sheetName val="원가분석"/>
      <sheetName val="원재료"/>
      <sheetName val="npv"/>
      <sheetName val="Supplement2"/>
      <sheetName val="①매출"/>
      <sheetName val="연결분개(거래_채권채무)_(2)1"/>
      <sheetName val="연결분개(거래_채권채무)1"/>
      <sheetName val="만기_(2)1"/>
      <sheetName val="연결분개(거래_채권채무)_(2)2"/>
      <sheetName val="연결분개(거래_채권채무)2"/>
      <sheetName val="만기_(2)2"/>
      <sheetName val="매각비용"/>
      <sheetName val="9,10월신제품 (2)"/>
      <sheetName val="She_x005f_x0000__x005f_x0000_2"/>
      <sheetName val="9,10월신제품_(2)"/>
      <sheetName val="She_x005f_x005f_x005f_x0000__x005f_x005f_x005f_x0000_2"/>
      <sheetName val="연결분개(거래_채권채무)_(2)3"/>
      <sheetName val="인건비예산(정규직)"/>
      <sheetName val="인건비예산(용역)"/>
      <sheetName val="지분법적용투자주식"/>
      <sheetName val="0814_5만이하"/>
      <sheetName val="실사"/>
      <sheetName val="xxxxxx"/>
      <sheetName val="#REF"/>
      <sheetName val="COMBINED"/>
      <sheetName val="VALSTAT"/>
      <sheetName val="Margins"/>
      <sheetName val="7 _2_"/>
      <sheetName val="7 (2)"/>
      <sheetName val="기본"/>
      <sheetName val="(참고)개인별 임금인상안"/>
      <sheetName val="(참고)DC형 선택자 퇴직금 추계"/>
      <sheetName val="손익합산"/>
      <sheetName val="P50.subsequent"/>
      <sheetName val="탄산"/>
      <sheetName val="2000 EXTERNAL"/>
      <sheetName val="BS"/>
      <sheetName val="평가표(당월)"/>
      <sheetName val="입주현황"/>
      <sheetName val="부문99-2"/>
      <sheetName val="연결분개(거래.Ʉ?₎㔀"/>
      <sheetName val="ʉ?䀀"/>
      <sheetName val="연습장소"/>
      <sheetName val="연결분개(거래.Ʉ"/>
      <sheetName val="ʉ"/>
      <sheetName val="완성차 미수금"/>
      <sheetName val="연결분개(거래_채권채무)3"/>
      <sheetName val="만기_(2)3"/>
      <sheetName val="9,10월신제품_(2)1"/>
      <sheetName val="1_외주공사"/>
      <sheetName val="2_직영공사"/>
      <sheetName val="2000_EXTERNAL"/>
      <sheetName val="연결분개(거래_Ʉ₎㔀"/>
      <sheetName val="연결분개(거래_Ʉ?₎㔀"/>
      <sheetName val="연결분개(거래_Ʉ"/>
      <sheetName val="영화별rawdata"/>
      <sheetName val="생산량"/>
      <sheetName val="WELDING"/>
      <sheetName val="A-100전제"/>
      <sheetName val="목표세부명세"/>
      <sheetName val="原价计算表"/>
      <sheetName val="Significant Processes"/>
      <sheetName val="세계수요종합OK"/>
      <sheetName val="2.2"/>
      <sheetName val="2.2 Yrly Comparison"/>
      <sheetName val="5. BSC Developmt"/>
      <sheetName val="A"/>
      <sheetName val="TaxCalc"/>
      <sheetName val="특정현금과예금"/>
      <sheetName val="현금과예금"/>
      <sheetName val="미수"/>
      <sheetName val="24.보증금(전신전화가입권)"/>
      <sheetName val="은행"/>
      <sheetName val="외화"/>
      <sheetName val="자금동향"/>
      <sheetName val="할증 "/>
      <sheetName val="참고"/>
      <sheetName val="pg15"/>
      <sheetName val="3. BSC NC ratio"/>
      <sheetName val="1.변경범위"/>
      <sheetName val="TCA"/>
      <sheetName val="2"/>
      <sheetName val="She__2"/>
      <sheetName val="CPK"/>
      <sheetName val="손익계ʰ_x0000_"/>
      <sheetName val="매출TOT"/>
      <sheetName val="INDEX"/>
      <sheetName val="03"/>
      <sheetName val="안산기계장치"/>
      <sheetName val="주행"/>
      <sheetName val="매출분석"/>
      <sheetName val="2.생산성-2"/>
      <sheetName val="지급보증금74"/>
      <sheetName val="기초자료"/>
      <sheetName val="st"/>
      <sheetName val="3.판관비명세서"/>
      <sheetName val="Fix Asset(sch_3)"/>
      <sheetName val="당초"/>
      <sheetName val="공사현황표"/>
      <sheetName val="1차 매출원가"/>
      <sheetName val="실행계획"/>
      <sheetName val="고정1"/>
      <sheetName val="연금개시전"/>
      <sheetName val="Configuration"/>
      <sheetName val="시산표 (2)"/>
      <sheetName val="W-현원가"/>
      <sheetName val="세부"/>
      <sheetName val="제조1과일일경영"/>
      <sheetName val="1부생산계획"/>
      <sheetName val="제조7과일일경영"/>
      <sheetName val="Links"/>
      <sheetName val="Lead"/>
      <sheetName val="기성내역"/>
      <sheetName val="연결분개(거래.Ʉ_x0000__x0000_₎㔀"/>
      <sheetName val="종합_SP"/>
      <sheetName val="종합_MP"/>
      <sheetName val="무림SP_상세"/>
      <sheetName val="무림페이퍼_상세"/>
      <sheetName val="종합"/>
      <sheetName val="Start"/>
      <sheetName val="2001급여"/>
      <sheetName val="Parm"/>
      <sheetName val="DE"/>
      <sheetName val="K?fe"/>
      <sheetName val="경비"/>
      <sheetName val="노무비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정의"/>
      <sheetName val="갑지"/>
      <sheetName val="연결분개(거래.Ʉ_x005f_x0000_₎㔀"/>
      <sheetName val="ʉ_x005f_x0000_䀀"/>
      <sheetName val="계획"/>
      <sheetName val="PB제품 거래선별 실적"/>
      <sheetName val="1.2제품별발생실적"/>
      <sheetName val="cover"/>
      <sheetName val="생산계획"/>
      <sheetName val="123"/>
      <sheetName val="급여조정"/>
      <sheetName val="연결분개(거래.Ʉ_x005f_x005f_x005f_x0000_₎㔀"/>
      <sheetName val="ʉ_x005f_x005f_x005f_x0000_䀀"/>
      <sheetName val="major"/>
      <sheetName val="incoming stock"/>
      <sheetName val="Stock take (재고조사)"/>
      <sheetName val="손익계ʰ?"/>
      <sheetName val="회사정보"/>
      <sheetName val="P50_subsequent"/>
      <sheetName val="Significant_Processes"/>
      <sheetName val="7__2_"/>
      <sheetName val="7_(2)"/>
      <sheetName val="118_세금과공과"/>
      <sheetName val="108_수선비"/>
      <sheetName val="2_2"/>
      <sheetName val="2_2_Yrly_Comparison"/>
      <sheetName val="5__BSC_Developmt"/>
      <sheetName val="(참고)개인별_임금인상안"/>
      <sheetName val="(참고)DC형_선택자_퇴직금_추계"/>
      <sheetName val="할증_"/>
      <sheetName val="완성차_미수금"/>
      <sheetName val="임율"/>
      <sheetName val="손익계ʰ_x005f_x0000_"/>
      <sheetName val="K_fe"/>
      <sheetName val="월별자료"/>
      <sheetName val="3월"/>
      <sheetName val="감가상각재계산"/>
      <sheetName val="파일의이용"/>
      <sheetName val="1_외주공사1"/>
      <sheetName val="2_직영공사1"/>
      <sheetName val="24_보증금(전신전화가입권)"/>
      <sheetName val="Echangerates"/>
      <sheetName val="compare2"/>
      <sheetName val="Assumptions"/>
      <sheetName val="T320_FY10(EY)"/>
      <sheetName val="FY10 GL Summary"/>
      <sheetName val="T320_FY09(EY)"/>
      <sheetName val="T300_FY10"/>
      <sheetName val="T310_FX rate"/>
      <sheetName val="SUMMARY"/>
      <sheetName val="11급여대장"/>
      <sheetName val="월별수입"/>
      <sheetName val="신전산소항목시산표(5월)"/>
      <sheetName val="고정자산-회사제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(1)경영실적분석"/>
      <sheetName val="삼호중공업"/>
      <sheetName val="결과조달"/>
      <sheetName val="Budget"/>
      <sheetName val="3__BSC_NC_ratio"/>
      <sheetName val="1_변경범위"/>
      <sheetName val="2_생산성-2"/>
      <sheetName val="Fix_Asset(sch_3)"/>
      <sheetName val="1차_매출원가"/>
      <sheetName val="시산표_(2)"/>
      <sheetName val="She_x005f_x005f_x005f_x005f_x005f_x005f_x005f_x0000__x0"/>
      <sheetName val="연결분개(거래.Ʉ_x005f_x005f_x005f_x005f_x005f_x005f_x00"/>
      <sheetName val="ʉ_x005f_x005f_x005f_x005f_x005f_x005f_x005f_x0000_䀀"/>
      <sheetName val="연결분개(거래.Ʉ_₎㔀"/>
      <sheetName val="ʉ_䀀"/>
      <sheetName val="손익계ʰ_"/>
      <sheetName val="요약"/>
      <sheetName val="인원현황"/>
      <sheetName val="She_x005f_x005f_x005f_x0000__x0"/>
      <sheetName val="연결분개(거래.Ʉ_x005f_x005f_x00"/>
      <sheetName val="손익계ʰ_x005f_x005f_x005f_x0000_"/>
      <sheetName val="She_x005f_x005f_x005f_x005f_x005f_x005f_x005f_x005f_x00"/>
      <sheetName val="ʉ_x005f_x005f_x005f_x005f_x005f_x005f_x005f_x005f_x005f"/>
      <sheetName val="손익계ʰ_x005f_x005f_x005f_x005f_x005f_x005f_x005f_x0000_"/>
      <sheetName val="손익계ʰ_x005f_x005f_x005f_x005f_x005f_x005f_x005f_x005f_x0"/>
      <sheetName val="VXXXXX"/>
      <sheetName val="CLM-MP"/>
      <sheetName val="연결분개(거래.Ʉ_x005f_x005f_x005f_x005f_x00"/>
      <sheetName val="XGPROD"/>
      <sheetName val="2003손익"/>
      <sheetName val="She_x005f_x005f_x005f_x005f_x00"/>
      <sheetName val="ʉ_x005f_x005f_x005f_x005f_x005f"/>
      <sheetName val="She_x005f_x0000__x0"/>
      <sheetName val="손익계ʰ_x005f_x005f_x005f_x005f_x0"/>
      <sheetName val="연결분개(거래.Ʉ_x00"/>
      <sheetName val="96T"/>
      <sheetName val="관계제품매출"/>
      <sheetName val="내역서"/>
      <sheetName val="Cash Flows"/>
      <sheetName val="Inventory and Purchases"/>
      <sheetName val="Assumptions and Dashboard"/>
      <sheetName val="Headcount Overview"/>
      <sheetName val="원본"/>
      <sheetName val="의왕"/>
      <sheetName val="명단"/>
      <sheetName val="당좌예금"/>
      <sheetName val="공용정보"/>
      <sheetName val="거래선"/>
      <sheetName val="FAB별"/>
      <sheetName val="LOCAL"/>
      <sheetName val="지역개발"/>
      <sheetName val="성화"/>
      <sheetName val="총괄"/>
      <sheetName val="#1 Basic"/>
      <sheetName val="토지"/>
      <sheetName val="임대주택"/>
      <sheetName val="Inv "/>
      <sheetName val="산정표"/>
      <sheetName val="집계표"/>
      <sheetName val="코드정보"/>
      <sheetName val="1_외주공사2"/>
      <sheetName val="2_직영공사2"/>
      <sheetName val="7__2_1"/>
      <sheetName val="7_(2)1"/>
      <sheetName val="P50_subsequent1"/>
      <sheetName val="할증_1"/>
      <sheetName val="118_세금과공과1"/>
      <sheetName val="108_수선비1"/>
      <sheetName val="(참고)개인별_임금인상안1"/>
      <sheetName val="(참고)DC형_선택자_퇴직금_추계1"/>
      <sheetName val="Significant_Processes1"/>
      <sheetName val="2_21"/>
      <sheetName val="2_2_Yrly_Comparison1"/>
      <sheetName val="5__BSC_Developmt1"/>
      <sheetName val="완성차_미수금1"/>
      <sheetName val="연결분개(거래_Ʉ₎㔀"/>
      <sheetName val="24_보증금(전신전화가입권)1"/>
      <sheetName val="3_판관비명세서"/>
      <sheetName val="연결분개(거래_Ʉ_x005f_x0000_₎㔀"/>
      <sheetName val="PB제품_거래선별_실적"/>
      <sheetName val="1_2제품별발생실적"/>
      <sheetName val="연결분개(거래_Ʉ_x005f_x005f_x005f_x0000_₎㔀"/>
      <sheetName val="incoming_stock"/>
      <sheetName val="Stock_take_(재고조사)"/>
      <sheetName val="FY10_GL_Summary"/>
      <sheetName val="T310_FX_rat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#1_Basic"/>
      <sheetName val="Inv_"/>
      <sheetName val="연결분개(거래.Ʉ_x005f_x0000__x0000_₎㔀"/>
      <sheetName val="연결분개(거래.Ʉ_x005f_x005f_x005f_x0000__x0000_₎㔀"/>
      <sheetName val="연결분개(거래.Ʉ?_x0000_₎㔀"/>
      <sheetName val="대차대조표기초"/>
      <sheetName val="손익계산서기초"/>
      <sheetName val="월중손익기초"/>
      <sheetName val="월중평잔기초"/>
      <sheetName val="누계평잔기초"/>
      <sheetName val="급여조견표"/>
      <sheetName val="민감도"/>
      <sheetName val="계정분류"/>
      <sheetName val="수입2"/>
      <sheetName val="수입"/>
      <sheetName val="2담당0113"/>
      <sheetName val="1담당0113"/>
      <sheetName val="בית השקעות"/>
      <sheetName val="8100"/>
      <sheetName val="概算報告書"/>
      <sheetName val="CAMRA Rollforward YEN Detail"/>
      <sheetName val="Assump"/>
      <sheetName val="FF20"/>
      <sheetName val="DD30"/>
      <sheetName val="연결분개(거래_채권채무)_(2)4"/>
      <sheetName val="연결분개(거래_채권채무)4"/>
      <sheetName val="만기_(2)4"/>
      <sheetName val="1_외주공사3"/>
      <sheetName val="2_직영공사3"/>
      <sheetName val="7__2_2"/>
      <sheetName val="7_(2)2"/>
      <sheetName val="P50_subsequent2"/>
      <sheetName val="할증_2"/>
      <sheetName val="118_세금과공과2"/>
      <sheetName val="108_수선비2"/>
      <sheetName val="(참고)개인별_임금인상안2"/>
      <sheetName val="(참고)DC형_선택자_퇴직금_추계2"/>
      <sheetName val="Significant_Processes2"/>
      <sheetName val="2_22"/>
      <sheetName val="2_2_Yrly_Comparison2"/>
      <sheetName val="5__BSC_Developmt2"/>
      <sheetName val="3__BSC_NC_ratio1"/>
      <sheetName val="1_변경범위1"/>
      <sheetName val="2_생산성-21"/>
      <sheetName val="24_보증금(전신전화가입권)2"/>
      <sheetName val="완성차_미수금2"/>
      <sheetName val="시산표_(2)1"/>
      <sheetName val="9,10월신제품_(2)2"/>
      <sheetName val="Fix_Asset(sch_3)1"/>
      <sheetName val="3_판관비명세서1"/>
      <sheetName val="연결분개(거래_Ʉ1"/>
      <sheetName val="2000_EXTERNAL1"/>
      <sheetName val="1차_매출원가1"/>
      <sheetName val="연결분개(거래_Ʉ_x005f_x0000_₎㔀1"/>
      <sheetName val="PB제품_거래선별_실적1"/>
      <sheetName val="1_2제품별발생실적1"/>
      <sheetName val="연결분개(거래_Ʉ_x005f_x005f_x005f_x0000_₎㔀1"/>
      <sheetName val="incoming_stock1"/>
      <sheetName val="Stock_take_(재고조사)1"/>
      <sheetName val="연결분개(거래_Ʉ?₎㔀1"/>
      <sheetName val="FY10_GL_Summary1"/>
      <sheetName val="T310_FX_rate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#1_Basic1"/>
      <sheetName val="Inv_1"/>
      <sheetName val="Cash_Flows"/>
      <sheetName val="Inventory_and_Purchases"/>
      <sheetName val="Assumptions_and_Dashboard"/>
      <sheetName val="Headcount_Overview"/>
      <sheetName val="연결분개(거래_Ʉ_x005f_x005f_x005f_x005f_x005f_x005f_x00"/>
      <sheetName val="연결분개(거래_Ʉ_₎㔀"/>
      <sheetName val="연결분개(거래_Ʉ_x005f_x005f_x00"/>
      <sheetName val="연결분개(거래_Ʉ_x005f_x005f_x005f_x005f_x00"/>
      <sheetName val="연결분개(거래_Ʉ_x005f_x0000_₎㔀"/>
      <sheetName val="연결분개(거래_Ʉ_x005f_x005f_x005f_x0000_₎㔀"/>
      <sheetName val="연결분개(거래_Ʉ?₎㔀"/>
      <sheetName val="연결분개(거래_Ʉ_x00"/>
      <sheetName val="공무"/>
      <sheetName val="전기"/>
      <sheetName val="6월 내수"/>
      <sheetName val="6월 내수_편집"/>
      <sheetName val="5"/>
      <sheetName val="계정과목 그룹명"/>
      <sheetName val="03반기손익"/>
      <sheetName val="Input File"/>
      <sheetName val="조선소시수"/>
      <sheetName val="요인별시수추이"/>
      <sheetName val="I"/>
      <sheetName val="00생산실적"/>
      <sheetName val="Input_File"/>
      <sheetName val="제조원가명세서(11년02분기)"/>
      <sheetName val="상세구분내역"/>
      <sheetName val="power"/>
      <sheetName val="기안"/>
      <sheetName val="원본 (2)"/>
      <sheetName val="적용환율"/>
      <sheetName val="출금실적"/>
      <sheetName val="9월"/>
      <sheetName val="She_x005f_x005f_x00"/>
      <sheetName val="ʉ_x005f_x005f_x005f"/>
      <sheetName val="She_x0000__x0"/>
      <sheetName val="손익계ʰ_x005f_x005f_x0"/>
      <sheetName val="연결분개(거래.Ʉ_x005f_x0000_"/>
      <sheetName val="연결분개(거래.Ʉ_"/>
      <sheetName val="연결분개(거래.Ʉ_x005f_x005f_x005f_x0000_"/>
      <sheetName val="INDIA-ML"/>
      <sheetName val="선수금(29)"/>
      <sheetName val="고정자산원본"/>
      <sheetName val="T6-6(2)"/>
      <sheetName val="지점장"/>
      <sheetName val="외화9901"/>
      <sheetName val="수불부"/>
      <sheetName val="계정code"/>
      <sheetName val="KMMC"/>
      <sheetName val="월간"/>
      <sheetName val="INSTRUCTIONS"/>
      <sheetName val="연결분개(거래.Ʉ_x005f_x0000__x005f_x0000_₎㔀"/>
      <sheetName val="연봉제451"/>
      <sheetName val="점유면적"/>
      <sheetName val="자료"/>
      <sheetName val="수선비"/>
      <sheetName val="98"/>
      <sheetName val="장기차입금"/>
      <sheetName val="누TB"/>
      <sheetName val="정산"/>
      <sheetName val="3본사"/>
      <sheetName val="채권한전"/>
      <sheetName val="CAMRA_Rollforward_YEN_Detail"/>
      <sheetName val="בית_השקעות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요율"/>
      <sheetName val="소방"/>
      <sheetName val="p2-1"/>
      <sheetName val="SYS검토(1A1)"/>
      <sheetName val="Rearing"/>
      <sheetName val="Laying"/>
      <sheetName val="7.31 (2)"/>
      <sheetName val="BS(2018.12)"/>
      <sheetName val="정산표(공시용)"/>
      <sheetName val="업무연락"/>
      <sheetName val="연결분개(거래.Ʉ?"/>
      <sheetName val="유림골조"/>
      <sheetName val="SOURCE"/>
      <sheetName val="관계회사"/>
      <sheetName val="TITLE"/>
      <sheetName val="(평균)"/>
      <sheetName val="DIAMOND"/>
      <sheetName val="종합표"/>
      <sheetName val="MCT6"/>
      <sheetName val="원본 (4)"/>
      <sheetName val="공통비(전체)"/>
      <sheetName val="내역표지"/>
      <sheetName val="99입장목표"/>
      <sheetName val="공구기구"/>
      <sheetName val="费用明细"/>
      <sheetName val="MALCON"/>
      <sheetName val="KBICL Budget 2004"/>
      <sheetName val="콤보"/>
      <sheetName val="연결분개(거래.Ʉ__x0000_₎㔀"/>
      <sheetName val="1ST"/>
      <sheetName val="19제품데이터"/>
      <sheetName val="19원자재매입 합(BOM참고용)"/>
      <sheetName val="10월_vs_12월_채권잔액"/>
      <sheetName val="총괄표"/>
      <sheetName val="97년추정손익계산서"/>
      <sheetName val="Pricing"/>
      <sheetName val="Debt Service Schedule"/>
      <sheetName val="20년 동일기간 소테마"/>
      <sheetName val="投资回报（基本情景）"/>
      <sheetName val="hmsim"/>
      <sheetName val="단가"/>
      <sheetName val="graph"/>
      <sheetName val="연결분개(거래_채권채무)_(2)5"/>
      <sheetName val="연결분개(거래_채권채무)5"/>
      <sheetName val="만기_(2)5"/>
      <sheetName val="1_외주공사4"/>
      <sheetName val="2_직영공사4"/>
      <sheetName val="7__2_3"/>
      <sheetName val="7_(2)3"/>
      <sheetName val="P50_subsequent3"/>
      <sheetName val="2_23"/>
      <sheetName val="2_2_Yrly_Comparison3"/>
      <sheetName val="5__BSC_Developmt3"/>
      <sheetName val="Significant_Processes3"/>
      <sheetName val="118_세금과공과3"/>
      <sheetName val="108_수선비3"/>
      <sheetName val="(참고)개인별_임금인상안3"/>
      <sheetName val="(참고)DC형_선택자_퇴직금_추계3"/>
      <sheetName val="할증_3"/>
      <sheetName val="3__BSC_NC_ratio2"/>
      <sheetName val="1_변경범위2"/>
      <sheetName val="2_생산성-22"/>
      <sheetName val="24_보증금(전신전화가입권)3"/>
      <sheetName val="완성차_미수금3"/>
      <sheetName val="시산표_(2)2"/>
      <sheetName val="9,10월신제품_(2)3"/>
      <sheetName val="Fix_Asset(sch_3)2"/>
      <sheetName val="3_판관비명세서2"/>
      <sheetName val="연결분개(거래_Ʉ2"/>
      <sheetName val="2000_EXTERNAL2"/>
      <sheetName val="1차_매출원가2"/>
      <sheetName val="연결분개(거래_Ʉ_x005f_x0000_₎㔀2"/>
      <sheetName val="PB제품_거래선별_실적2"/>
      <sheetName val="1_2제품별발생실적2"/>
      <sheetName val="연결분개(거래_Ʉ_x005f_x005f_x005f_x0000_₎㔀2"/>
      <sheetName val="incoming_stock2"/>
      <sheetName val="Stock_take_(재고조사)2"/>
      <sheetName val="연결분개(거래_Ʉ?₎㔀2"/>
      <sheetName val="FY10_GL_Summary2"/>
      <sheetName val="T310_FX_rate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#1_Basic2"/>
      <sheetName val="Inv_2"/>
      <sheetName val="Cash_Flows1"/>
      <sheetName val="Inventory_and_Purchases1"/>
      <sheetName val="Assumptions_and_Dashboard1"/>
      <sheetName val="Headcount_Overview1"/>
      <sheetName val="연결분개(거래_Ʉ_x005f_x005f_x005f_x005f_x005f_x005f_x01"/>
      <sheetName val="연결분개(거래_Ʉ_₎㔀1"/>
      <sheetName val="연결분개(거래_Ʉ_x005f_x005f_x001"/>
      <sheetName val="연결분개(거래_Ʉ_x005f_x005f_x005f_x005f_x001"/>
      <sheetName val="연결분개(거래_Ʉ_x001"/>
      <sheetName val="Input_File1"/>
      <sheetName val="6월_내수"/>
      <sheetName val="6월_내수_편집"/>
      <sheetName val="계정과목_그룹명"/>
      <sheetName val="연결분개(거래_Ʉ_x005f_x0000__x005f_x0000_₎㔀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Excess Calc"/>
      <sheetName val="Tickmarks"/>
      <sheetName val="Threshold Calc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현금흐름"/>
      <sheetName val="결손금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ction 대상 유가증권 명세 보고서"/>
      <sheetName val="BLOOMBERG"/>
      <sheetName val="DW SEC"/>
      <sheetName val="LG SEC"/>
      <sheetName val="Rate"/>
      <sheetName val="감손환입"/>
      <sheetName val="매매"/>
      <sheetName val="bs확인(외화)"/>
      <sheetName val="bs확인(원화)"/>
      <sheetName val="Sheet2"/>
      <sheetName val="12월 평가"/>
      <sheetName val="잔류유가증권명세"/>
      <sheetName val="감손환입분 장부가조정"/>
      <sheetName val="잔류유가증권명세 (1차수정)"/>
      <sheetName val="12월 평가 (2)"/>
      <sheetName val="covered sec"/>
      <sheetName val="잔류유가증권명세 (2차수정)"/>
      <sheetName val="2차 이관 명세"/>
      <sheetName val="잔류유가증권명세 (지점수관분) "/>
      <sheetName val="Assets"/>
      <sheetName val="Liabilities"/>
      <sheetName val="General Data"/>
      <sheetName val="1. P-L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"/>
      <sheetName val="FSS TB summary Report"/>
      <sheetName val="Borrower"/>
      <sheetName val="adj"/>
      <sheetName val="comparables"/>
      <sheetName val="Deduction"/>
      <sheetName val="other"/>
      <sheetName val="conclusion"/>
      <sheetName val="결정단가"/>
      <sheetName val="dec"/>
      <sheetName val="local description"/>
      <sheetName val="Depreciation"/>
      <sheetName val="scenarios"/>
      <sheetName val="DCF"/>
      <sheetName val="Scenario Analysis"/>
      <sheetName val="data"/>
      <sheetName val="incom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완성차 미수금"/>
      <sheetName val="Basic_Information"/>
      <sheetName val="PV"/>
      <sheetName val="Cash Flow"/>
      <sheetName val="Supporting Tool"/>
      <sheetName val="Sheet2"/>
      <sheetName val="1_當期시산표"/>
      <sheetName val="96수표어음"/>
      <sheetName val="All"/>
      <sheetName val="1998 P &amp; L"/>
      <sheetName val="CODE"/>
      <sheetName val="MEM수율입고"/>
      <sheetName val="cost centre"/>
      <sheetName val="ProdLev"/>
      <sheetName val="Stat"/>
      <sheetName val="Instr."/>
      <sheetName val="COMPS"/>
      <sheetName val="WBS"/>
      <sheetName val="Rec_old_PL"/>
    </sheetNames>
    <definedNames>
      <definedName name="cd_print"/>
      <definedName name="input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갑)"/>
      <sheetName val="(을)"/>
      <sheetName val="(병)"/>
      <sheetName val="(정)"/>
      <sheetName val="inform"/>
      <sheetName val="BS"/>
      <sheetName val="PL"/>
      <sheetName val="요약원가"/>
      <sheetName val="RE"/>
      <sheetName val="TB"/>
      <sheetName val="T1"/>
      <sheetName val="T1-2"/>
      <sheetName val="T2"/>
      <sheetName val="T2부표"/>
      <sheetName val="T5"/>
      <sheetName val="T6"/>
      <sheetName val="T6A"/>
      <sheetName val="T6B"/>
      <sheetName val="T6-1"/>
      <sheetName val="T6-3(2)"/>
      <sheetName val="T6-3(3)"/>
      <sheetName val="T6-3(4)"/>
      <sheetName val="T6-4A"/>
      <sheetName val="T6-4B"/>
      <sheetName val="T6-6(2)"/>
      <sheetName val="Pricing"/>
      <sheetName val="Debt Service Schedule"/>
      <sheetName val="시산표"/>
      <sheetName val="BWM95M"/>
      <sheetName val="FSS TB summary Report"/>
      <sheetName val="사파리_연결"/>
      <sheetName val="stdd costBPCS"/>
      <sheetName val="dso-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-1"/>
      <sheetName val="은행조회서"/>
      <sheetName val="D"/>
      <sheetName val="D-1"/>
      <sheetName val="control sheet"/>
      <sheetName val="연령분석2003"/>
      <sheetName val="연령분석2004.6"/>
      <sheetName val="대손분석"/>
      <sheetName val="M"/>
      <sheetName val="U"/>
      <sheetName val="U-1"/>
      <sheetName val="영업외"/>
      <sheetName val="매출계약서"/>
      <sheetName val="제품매출"/>
      <sheetName val="상품매출"/>
      <sheetName val="제품매출(2003)"/>
      <sheetName val="상품매출2(200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년 섹터별 매출"/>
      <sheetName val="10대maker영업실적(91-94)"/>
      <sheetName val="95년도 신제품"/>
      <sheetName val="1996-2000년 판매계획"/>
      <sheetName val="1996-2000년 영업본부 계획"/>
      <sheetName val="1996-2000년 영업계획 + 70억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OST97.02"/>
      <sheetName val="GIBO97.02"/>
      <sheetName val="BCOST97.02"/>
      <sheetName val="금리추97.02"/>
      <sheetName val="차입추97.02"/>
      <sheetName val="월금리97.02"/>
      <sheetName val="당잔97.02"/>
      <sheetName val="BACKDA97.02"/>
      <sheetName val="건공97.02"/>
      <sheetName val="경수97.02"/>
      <sheetName val="백암비스타내역"/>
      <sheetName val="YOUNGBI"/>
      <sheetName val="YOUNG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SM"/>
      <sheetName val="Analytical(대차)"/>
      <sheetName val="Analytical(손익)"/>
      <sheetName val="주요계정(대차)"/>
      <sheetName val="주요계정(손익)"/>
      <sheetName val="Sheet1"/>
      <sheetName val="잉여금, 현금흐름"/>
      <sheetName val="IS정산표"/>
      <sheetName val="대차대조표 (2)"/>
      <sheetName val="손익계산서 (2)"/>
      <sheetName val="주요대차"/>
      <sheetName val="주요손익"/>
      <sheetName val="제표최종"/>
      <sheetName val="주요경영지표계산 (2)"/>
      <sheetName val="손익계산서 (3)"/>
      <sheetName val="BS"/>
      <sheetName val="PL"/>
      <sheetName val="대차분석"/>
      <sheetName val="손익분석"/>
      <sheetName val="폐토수익화 "/>
      <sheetName val="#REF"/>
      <sheetName val="Data"/>
      <sheetName val="경수97.02"/>
      <sheetName val="Links"/>
      <sheetName val="Lead"/>
      <sheetName val="보고"/>
      <sheetName val="BA"/>
      <sheetName val="수처리사업"/>
      <sheetName val="Update"/>
      <sheetName val="P&amp;L"/>
      <sheetName val="2311 재무제표검토 Worksheet의 워크시트"/>
      <sheetName val="WACC"/>
      <sheetName val="만기"/>
      <sheetName val="8220"/>
      <sheetName val="XREF"/>
      <sheetName val="월미수수익집계표"/>
      <sheetName val="백암비스타내역"/>
      <sheetName val="Sheet3"/>
      <sheetName val="Sheet1 (3)"/>
      <sheetName val="1995년 섹터별 매출"/>
      <sheetName val="대출금"/>
      <sheetName val="단기차입금"/>
      <sheetName val="97년추정손익계산서"/>
      <sheetName val="Assumption"/>
      <sheetName val="A"/>
      <sheetName val="Balance Sheet"/>
      <sheetName val="Income Statement"/>
      <sheetName val="확인서"/>
      <sheetName val="건물"/>
      <sheetName val="SALE&amp;COST"/>
      <sheetName val="수정시산표"/>
      <sheetName val="Inputs"/>
      <sheetName val="StandAlne"/>
      <sheetName val="Cust"/>
      <sheetName val="Excess Calc"/>
      <sheetName val="적용환율"/>
      <sheetName val="0-Basics"/>
      <sheetName val="COMPS"/>
      <sheetName val="분석mast"/>
      <sheetName val="C-Lead"/>
      <sheetName val="원자재수불(최종)"/>
      <sheetName val="C100 LEAD"/>
      <sheetName val="수익증권명세서(매도가능)"/>
      <sheetName val="전신전화가입권"/>
      <sheetName val="Assumptions"/>
      <sheetName val="손익1월"/>
      <sheetName val="월 Capa"/>
      <sheetName val="1.외주공사"/>
      <sheetName val="2.직영공사"/>
      <sheetName val="대차대조표-공시형"/>
      <sheetName val="F12"/>
      <sheetName val="F3"/>
      <sheetName val="Sheet2"/>
      <sheetName val="Borrower"/>
      <sheetName val="감가상각비"/>
      <sheetName val="FS"/>
      <sheetName val="PPC기"/>
      <sheetName val="소기"/>
      <sheetName val="대기"/>
      <sheetName val="합기"/>
      <sheetName val="메뉴얼1(기본정보)"/>
      <sheetName val="FTE"/>
      <sheetName val="공통비"/>
      <sheetName val="Asset9809CAK"/>
      <sheetName val="39기"/>
      <sheetName val="Variables"/>
      <sheetName val="00.08계정"/>
      <sheetName val="Customer"/>
      <sheetName val="forecasted_BS"/>
      <sheetName val="forecasted_IS"/>
      <sheetName val="108.수선비"/>
      <sheetName val="pre-anal손익계산서"/>
      <sheetName val="pre-anal대차대조표"/>
      <sheetName val="Cover"/>
      <sheetName val="시산표"/>
      <sheetName val="krsec08"/>
      <sheetName val="10월 급여"/>
      <sheetName val="소매_신용"/>
      <sheetName val="특정상품(비소매)"/>
      <sheetName val="비소매신용"/>
      <sheetName val="직공비"/>
      <sheetName val="Lists"/>
      <sheetName val="Payout-HurdleNotReached"/>
      <sheetName val="Incentive_Paid_Out"/>
      <sheetName val="Pay Out Tables"/>
      <sheetName val="Sales_Rep_Details"/>
      <sheetName val="Actual_Sales_Results"/>
      <sheetName val="신전산소항목시산표(5월)"/>
      <sheetName val="관세구분시트"/>
      <sheetName val="Code"/>
      <sheetName val="대환취급"/>
      <sheetName val="종합일지"/>
      <sheetName val="Condition"/>
      <sheetName val="노무비"/>
      <sheetName val="General Assumptions"/>
      <sheetName val="Reference2"/>
      <sheetName val="KeyMultInputs"/>
      <sheetName val="Vega"/>
      <sheetName val="Heading"/>
      <sheetName val="sap`04.7.14"/>
      <sheetName val="AKL"/>
      <sheetName val="Sales"/>
      <sheetName val="System"/>
      <sheetName val="Tables"/>
      <sheetName val="July."/>
      <sheetName val="Sheet1 (2)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index"/>
      <sheetName val="VB_100-Lead"/>
      <sheetName val="Start"/>
      <sheetName val="YTD"/>
      <sheetName val="Bu03"/>
      <sheetName val="보험금"/>
      <sheetName val="미수금 (O)"/>
      <sheetName val="내역서"/>
      <sheetName val="PACKING"/>
      <sheetName val="Dept"/>
      <sheetName val="SCA"/>
      <sheetName val="기본 상수"/>
      <sheetName val="수입2"/>
      <sheetName val="A1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f_BS"/>
      <sheetName val="f_IS"/>
      <sheetName val="Com-Button"/>
      <sheetName val="부서자료"/>
      <sheetName val="CW1 Provision"/>
      <sheetName val="조정15 FVH152"/>
      <sheetName val="양식"/>
      <sheetName val="K-Lead"/>
      <sheetName val="Ratios"/>
      <sheetName val="Sheet5"/>
      <sheetName val="Sheet6 (3)"/>
      <sheetName val="3. BSC NC ratio"/>
      <sheetName val="무형"/>
      <sheetName val="Accts"/>
      <sheetName val="Menu data"/>
      <sheetName val="FY0201"/>
      <sheetName val="국외감가상각내역0103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종목코드"/>
      <sheetName val="내역"/>
      <sheetName val="부외부채"/>
      <sheetName val="1-1"/>
      <sheetName val="손익합산"/>
      <sheetName val="제품마스타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1. PS_bond"/>
      <sheetName val="PO4 - Staff Exp"/>
      <sheetName val="3110-2"/>
      <sheetName val="Controls"/>
      <sheetName val="NO.2-1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ss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급여지급"/>
      <sheetName val="SALTAB97"/>
      <sheetName val="Chart"/>
      <sheetName val="채권조회서 Roll-forward test"/>
      <sheetName val="기타현황"/>
      <sheetName val="source"/>
      <sheetName val="유화"/>
      <sheetName val="합병분개 Adj"/>
      <sheetName val="0.1 KEY ASSUMPTIONS"/>
      <sheetName val="0.2 SCENARIO"/>
      <sheetName val="0. CONTROL"/>
      <sheetName val="고정자산원본"/>
      <sheetName val="반기_유가증권"/>
      <sheetName val="Sheet01S"/>
      <sheetName val="GM&amp;NA"/>
      <sheetName val="General Memo"/>
      <sheetName val="Sensitivity"/>
      <sheetName val="서식시트"/>
      <sheetName val="96실용"/>
      <sheetName val="입찰"/>
      <sheetName val="총상담"/>
      <sheetName val="현경"/>
      <sheetName val="TEMP1"/>
      <sheetName val="TEMP2"/>
      <sheetName val=""/>
      <sheetName val="영업CF적용방안선택"/>
      <sheetName val="감가상각"/>
      <sheetName val="수입"/>
      <sheetName val="가공비명세"/>
      <sheetName val="자재비명세"/>
      <sheetName val="제품입출고"/>
      <sheetName val="재공품재고"/>
      <sheetName val="콤보박스와 리스트박스의 연결"/>
      <sheetName val="InformationPartag?"/>
      <sheetName val="Stock d'id?s"/>
      <sheetName val="Donn?s Flux"/>
      <sheetName val="조직도_99"/>
      <sheetName val="UNIT"/>
      <sheetName val="Supply DB"/>
      <sheetName val="Demand DB"/>
      <sheetName val="도금1 (2)"/>
      <sheetName val="F라인"/>
      <sheetName val="Cover Page"/>
      <sheetName val="1.PJT등록의뢰"/>
      <sheetName val="JAN94RIG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control sheet"/>
      <sheetName val="당기TB"/>
      <sheetName val="J00"/>
      <sheetName val="p-memo"/>
      <sheetName val="Hypotheses"/>
    </sheetNames>
    <sheetDataSet>
      <sheetData sheetId="0">
        <row r="2">
          <cell r="E2">
            <v>0.2</v>
          </cell>
        </row>
      </sheetData>
      <sheetData sheetId="1">
        <row r="2">
          <cell r="E2">
            <v>0.2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E2">
            <v>0.2</v>
          </cell>
        </row>
      </sheetData>
      <sheetData sheetId="20" refreshError="1"/>
      <sheetData sheetId="21">
        <row r="2">
          <cell r="E2">
            <v>0.2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>
        <row r="2">
          <cell r="E2">
            <v>0.2</v>
          </cell>
        </row>
      </sheetData>
      <sheetData sheetId="27">
        <row r="2">
          <cell r="E2">
            <v>0.2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 refreshError="1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"/>
      <sheetName val="F"/>
      <sheetName val="attach"/>
      <sheetName val="act bud"/>
      <sheetName val="variation"/>
      <sheetName val="carcon"/>
      <sheetName val="10312001"/>
      <sheetName val="INSURANCE"/>
      <sheetName val="merchan"/>
      <sheetName val="listA"/>
      <sheetName val="list B"/>
      <sheetName val="misc"/>
      <sheetName val="List-4"/>
      <sheetName val="List-1"/>
      <sheetName val="List-3"/>
      <sheetName val="quarterly"/>
      <sheetName val="EXEC"/>
      <sheetName val="tax1"/>
      <sheetName val="tax2"/>
      <sheetName val="tax3"/>
      <sheetName val="손익계산서"/>
      <sheetName val="대차대조표"/>
      <sheetName val="Data"/>
      <sheetName val="현금및현금등가물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호기"/>
      <sheetName val="집행"/>
      <sheetName val="월별산출-직원"/>
      <sheetName val="laroux"/>
      <sheetName val="급여산정"/>
      <sheetName val="총괄표"/>
      <sheetName val="VXXXXX"/>
      <sheetName val="VXXXX"/>
      <sheetName val="@요약표"/>
      <sheetName val="@견적조건"/>
      <sheetName val="新주택문화관수준"/>
      <sheetName val="@최종(상승포함)"/>
      <sheetName val="리모델링"/>
      <sheetName val="금액확인"/>
      <sheetName val="@갑지&amp;DATA"/>
      <sheetName val="공유보정"/>
      <sheetName val="층,세대,연면적보정"/>
      <sheetName val="@토공-흙막이"/>
      <sheetName val="집계표"/>
      <sheetName val="내역서"/>
      <sheetName val="회의록"/>
      <sheetName val="[6호기ࡴ집행"/>
      <sheetName val="집행품의"/>
      <sheetName val="집행품의 (2)"/>
      <sheetName val="안전난간"/>
      <sheetName val="안전표어공모"/>
      <sheetName val="준설"/>
      <sheetName val="바리케이트"/>
      <sheetName val="시공팀업무분장"/>
      <sheetName val="레미탈"/>
      <sheetName val="안,환,업무분장"/>
      <sheetName val="배수판"/>
      <sheetName val="목차"/>
      <sheetName val="50m도로변가설휀스"/>
      <sheetName val="가설출입문 (2)"/>
      <sheetName val="Sheet1 (2)"/>
      <sheetName val="휀스민원"/>
      <sheetName val="쓰레기민원"/>
      <sheetName val="진동및소음"/>
      <sheetName val="사진대지"/>
      <sheetName val="Sheet1"/>
      <sheetName val="Sheet2"/>
      <sheetName val="Sheet3"/>
      <sheetName val="대전(세창동)"/>
      <sheetName val="한강운반비"/>
      <sheetName val="물가시세"/>
      <sheetName val="96노임기준"/>
      <sheetName val="입찰안"/>
      <sheetName val="식재"/>
      <sheetName val="시설물"/>
      <sheetName val="식재출력용"/>
      <sheetName val="유지관리"/>
      <sheetName val="단가"/>
      <sheetName val="실행(1)"/>
      <sheetName val="기본단가"/>
      <sheetName val="인건비단가"/>
      <sheetName val="데이타"/>
      <sheetName val="식재인부"/>
      <sheetName val="일지-H"/>
      <sheetName val="Total"/>
      <sheetName val="설계예시"/>
      <sheetName val="견적율"/>
      <sheetName val="공사설명서"/>
      <sheetName val="갑지"/>
      <sheetName val="unit 4"/>
      <sheetName val="정부노임단가"/>
      <sheetName val="GAEYO"/>
      <sheetName val="SAM"/>
      <sheetName val="일위대가목차"/>
      <sheetName val="일위대가표"/>
      <sheetName val="#REF"/>
      <sheetName val="Y-WORK"/>
      <sheetName val="기별"/>
      <sheetName val="백암비스타내역"/>
      <sheetName val="내역"/>
      <sheetName val="Sheet4"/>
      <sheetName val="소비자가"/>
      <sheetName val="일위대가"/>
      <sheetName val="BID"/>
      <sheetName val="소요자재"/>
      <sheetName val="노무산출서"/>
      <sheetName val="CTEMCOST"/>
      <sheetName val="전기일위대가"/>
      <sheetName val="기계공사"/>
      <sheetName val="단위단가"/>
      <sheetName val="비교표"/>
      <sheetName val="교각계산"/>
      <sheetName val="개산공사비"/>
      <sheetName val="수지표"/>
      <sheetName val="셀명"/>
      <sheetName val="수량산출서"/>
      <sheetName val="내역(설비)"/>
      <sheetName val="대비표"/>
      <sheetName val="JUCKEYK"/>
      <sheetName val="간접"/>
      <sheetName val="설계내역서"/>
      <sheetName val="공구원가계산"/>
      <sheetName val="부속동"/>
      <sheetName val="산출내역서집계표"/>
      <sheetName val="마감사양"/>
      <sheetName val="D"/>
      <sheetName val="원형1호맨홀토공수량"/>
      <sheetName val="우석문틀"/>
      <sheetName val="노임"/>
      <sheetName val="대림경상68억"/>
      <sheetName val="견적"/>
      <sheetName val="노무단가"/>
      <sheetName val="표지"/>
      <sheetName val="유림골조"/>
      <sheetName val="AS포장복구 "/>
      <sheetName val="경산"/>
      <sheetName val="UR2-Calculation"/>
      <sheetName val="수량산출"/>
      <sheetName val="단가조사서"/>
      <sheetName val="부대내역"/>
      <sheetName val="구의33고"/>
      <sheetName val="노임단가"/>
      <sheetName val="수목단가"/>
      <sheetName val="시설수량표"/>
      <sheetName val="식재수량표"/>
      <sheetName val="자재단가"/>
      <sheetName val="대비"/>
      <sheetName val="총원가계산서(요율)"/>
      <sheetName val="기본일위"/>
      <sheetName val="집계"/>
      <sheetName val="직노"/>
      <sheetName val="I一般比"/>
      <sheetName val="내역서2안"/>
      <sheetName val="설직재-1"/>
      <sheetName val="철거 물량 산출서"/>
      <sheetName val="실행내역"/>
      <sheetName val="건축집계"/>
      <sheetName val="결재갑지"/>
      <sheetName val="통신집계표1"/>
      <sheetName val="기본데이타입력"/>
      <sheetName val="3.경비"/>
      <sheetName val="1.급료"/>
      <sheetName val="외주"/>
      <sheetName val="공문"/>
      <sheetName val="공사비산출내역"/>
      <sheetName val="공통가설"/>
      <sheetName val="전기공사"/>
      <sheetName val="실행"/>
      <sheetName val="단가 (2)"/>
      <sheetName val="사업수지분석"/>
      <sheetName val="죽전"/>
      <sheetName val="화정"/>
      <sheetName val="해운대"/>
      <sheetName val="프린트용"/>
      <sheetName val="0.준공시예정원가갑지"/>
      <sheetName val="1.하도급 계약현황 "/>
      <sheetName val="1-1.하도정산계획"/>
      <sheetName val="2.자재구매계약현황"/>
      <sheetName val="3.직영공사(예상투자)"/>
      <sheetName val="4.지급자재"/>
      <sheetName val="5.업그레이드등"/>
      <sheetName val="6.VE계획"/>
      <sheetName val="7.임차장비현황"/>
      <sheetName val="8.간접비집계(직영)"/>
      <sheetName val="8-1.간접비집계 (직영+하도)"/>
      <sheetName val="9.실행예산서"/>
      <sheetName val="9-1.직영상세조회"/>
      <sheetName val="9-2.하도상세조회"/>
      <sheetName val="도급"/>
      <sheetName val="동해title"/>
      <sheetName val="4.공사별"/>
      <sheetName val="설비"/>
      <sheetName val="기계내역"/>
      <sheetName val="별표(59~89)"/>
      <sheetName val="투찰(하수)"/>
      <sheetName val="127동 History"/>
      <sheetName val="사급자재"/>
      <sheetName val="일위단위"/>
      <sheetName val="밸브설치"/>
      <sheetName val="도급내역"/>
      <sheetName val="정보"/>
      <sheetName val="Macro1"/>
      <sheetName val="금액집계"/>
      <sheetName val="을"/>
      <sheetName val="골조시행"/>
      <sheetName val="수입"/>
      <sheetName val="관접합및부설"/>
      <sheetName val="공조기휀"/>
      <sheetName val="을지"/>
      <sheetName val="건축공사실행"/>
      <sheetName val="교대(A1)"/>
      <sheetName val="잡비"/>
      <sheetName val="APT"/>
      <sheetName val="합의경상"/>
      <sheetName val="증감대비"/>
      <sheetName val="SCHEDULE"/>
      <sheetName val="전계가"/>
      <sheetName val="공사개요"/>
      <sheetName val="여과지동"/>
      <sheetName val="기초자료"/>
      <sheetName val="연동내역"/>
      <sheetName val="FOB발"/>
      <sheetName val="노원열병합  건축공사기성내역서"/>
      <sheetName val="내역서(총)"/>
      <sheetName val="원가계산서"/>
      <sheetName val="EACT10"/>
      <sheetName val="패널"/>
      <sheetName val="ELECTRIC"/>
      <sheetName val="2000.11월설계내역"/>
      <sheetName val="예가표"/>
      <sheetName val="단위수량"/>
      <sheetName val="가시설수량"/>
      <sheetName val="전선관"/>
      <sheetName val="Front"/>
      <sheetName val="wall"/>
      <sheetName val="잉여처분"/>
      <sheetName val="일반부표"/>
      <sheetName val="건축원가계산서"/>
      <sheetName val="내부마감"/>
      <sheetName val="기안"/>
      <sheetName val="교대(A1-A2)"/>
      <sheetName val="일반공사"/>
      <sheetName val="전기혼잡제경비(45)"/>
      <sheetName val="문학간접"/>
      <sheetName val="준검 내역서"/>
      <sheetName val="INPUT"/>
      <sheetName val="전기"/>
      <sheetName val="변수데이타"/>
      <sheetName val="세금자료"/>
      <sheetName val="차액보증"/>
      <sheetName val="소업1교"/>
      <sheetName val="명단"/>
      <sheetName val="신우"/>
      <sheetName val="직공비"/>
      <sheetName val="단가조사"/>
      <sheetName val="코드"/>
      <sheetName val="보할최종(준공)only"/>
      <sheetName val="기자재비"/>
      <sheetName val="DB"/>
      <sheetName val="총괄내역서"/>
      <sheetName val="중동상가"/>
      <sheetName val="일위목차"/>
      <sheetName val="Baby일위대가"/>
      <sheetName val="단가표"/>
      <sheetName val="간접비"/>
      <sheetName val="내역5"/>
      <sheetName val="총괄"/>
      <sheetName val="토목"/>
      <sheetName val="수목데이타"/>
      <sheetName val="건축개요"/>
      <sheetName val="실행철강하도"/>
      <sheetName val="개요"/>
      <sheetName val="교통대책내역"/>
      <sheetName val="중기일위대가"/>
      <sheetName val="안정검토(온1)"/>
      <sheetName val="전체분내역서"/>
      <sheetName val="노임단가 (2)"/>
      <sheetName val="원가계산하도"/>
      <sheetName val="청천내"/>
      <sheetName val="1단계"/>
      <sheetName val="인제내역"/>
      <sheetName val="현장별계약현황('98.10.31)"/>
      <sheetName val="기본사항"/>
      <sheetName val="방배동내역(리라)"/>
      <sheetName val="부대공사총괄"/>
      <sheetName val="현장경비"/>
      <sheetName val="건축공사집계표"/>
      <sheetName val="T13(P68~72,78)"/>
      <sheetName val="TYPE-A"/>
      <sheetName val="plan&amp;section of foundation"/>
      <sheetName val="working load at the btm ft."/>
      <sheetName val="stability check"/>
      <sheetName val="design criteria"/>
      <sheetName val="design load"/>
      <sheetName val="TB-내역서"/>
      <sheetName val="Sheet5"/>
      <sheetName val="노무비"/>
      <sheetName val="Requirement(Work Crew)"/>
      <sheetName val="지급자재"/>
      <sheetName val="DATA"/>
      <sheetName val="설계명세서"/>
      <sheetName val="총물량"/>
      <sheetName val="기성고려"/>
      <sheetName val="갑지_추정_"/>
      <sheetName val="코드표"/>
      <sheetName val="남양시작동자105노65기1.3화1.2"/>
      <sheetName val="PIPE"/>
      <sheetName val="FLANGE"/>
      <sheetName val="VALVE"/>
      <sheetName val="카렌스센터계량기설치공사"/>
      <sheetName val=" 견적서"/>
      <sheetName val="담당자"/>
      <sheetName val="C급보 "/>
      <sheetName val="매각(6)"/>
      <sheetName val="FB25JN"/>
      <sheetName val="세부내역"/>
      <sheetName val="건축원가"/>
      <sheetName val="도기류"/>
      <sheetName val="내역1"/>
      <sheetName val="건축-물가변동"/>
      <sheetName val="기계설비"/>
      <sheetName val="Macro3"/>
      <sheetName val="단면"/>
      <sheetName val="단가(반정3교-원주)"/>
      <sheetName val="COVER-P"/>
      <sheetName val="착공계(전체)"/>
      <sheetName val="현장관리비 산출내역"/>
      <sheetName val="16-1"/>
      <sheetName val="MOTOR"/>
      <sheetName val="정공공사"/>
      <sheetName val="자재비"/>
      <sheetName val="기성2"/>
      <sheetName val="매원개착터널총괄"/>
      <sheetName val="손익차9월2"/>
      <sheetName val="2공구산출내역"/>
      <sheetName val="내역(을)"/>
      <sheetName val="화재 탐지 설비"/>
      <sheetName val="터파기및재료"/>
      <sheetName val="빌딩 안내"/>
      <sheetName val="조견표"/>
      <sheetName val="준공조서"/>
      <sheetName val="공사준공계"/>
      <sheetName val="준공검사보고서"/>
      <sheetName val="노임이"/>
      <sheetName val="잡비계산"/>
      <sheetName val="에너지동"/>
      <sheetName val="XZLC2"/>
      <sheetName val="현장관리비 "/>
      <sheetName val="대가목록"/>
      <sheetName val="자탐"/>
      <sheetName val="공사내역"/>
      <sheetName val="모래기초"/>
      <sheetName val="사기도장"/>
      <sheetName val="TIE-IN"/>
      <sheetName val="부대공Ⅱ"/>
      <sheetName val="평가데이터"/>
      <sheetName val="Customer Databas"/>
      <sheetName val="효성CB 1P기초"/>
      <sheetName val="실행(ALT1)"/>
      <sheetName val="P.M 별"/>
      <sheetName val="설계명세서(장비)"/>
      <sheetName val="RFP002"/>
      <sheetName val="원가data"/>
      <sheetName val="원가서"/>
      <sheetName val="SUMMARY"/>
      <sheetName val="PAINT"/>
      <sheetName val="예총"/>
      <sheetName val="예산내역"/>
      <sheetName val="총괄수지표"/>
      <sheetName val="J01"/>
      <sheetName val="B1F"/>
      <sheetName val="H-PILE수량집계"/>
      <sheetName val="구간별현황"/>
      <sheetName val="3.골재원검토의견서 갑지"/>
      <sheetName val="시설물일위"/>
      <sheetName val="가설공사"/>
      <sheetName val="내역아"/>
      <sheetName val="울타리"/>
      <sheetName val="토목주소"/>
      <sheetName val="프랜트면허"/>
      <sheetName val="단가 및 재료비"/>
      <sheetName val="중기사용료산출근거"/>
      <sheetName val="5.전사투자계획종함안"/>
      <sheetName val="상반기손익차2총괄"/>
      <sheetName val="환율표"/>
      <sheetName val="ETC"/>
      <sheetName val="기초분물량표"/>
      <sheetName val="단위세대물량"/>
      <sheetName val="연령현황"/>
      <sheetName val="환산"/>
      <sheetName val="인건비"/>
      <sheetName val="2.대외공문"/>
      <sheetName val="단가조사표"/>
      <sheetName val="기본DATA"/>
      <sheetName val="추가공사"/>
      <sheetName val="1~9 하중계산"/>
      <sheetName val="전차선로 물량표"/>
      <sheetName val="자재"/>
      <sheetName val="공통(20-91)"/>
      <sheetName val="위치조서"/>
      <sheetName val="일위대가(계측기설치)"/>
      <sheetName val="가격조사서"/>
      <sheetName val="소방"/>
      <sheetName val="신표지1"/>
      <sheetName val="입력"/>
      <sheetName val="말고개터널조명전압강하"/>
      <sheetName val="조직"/>
      <sheetName val="BREAKDOWN"/>
      <sheetName val="TEST1"/>
      <sheetName val="기계경비(시간당)"/>
      <sheetName val="램머"/>
      <sheetName val="바.한일양산"/>
      <sheetName val="Dinh nghia"/>
      <sheetName val="DEF"/>
      <sheetName val="물량표S"/>
      <sheetName val="피벗테이블데이터분석"/>
      <sheetName val="평균높이산출근거"/>
      <sheetName val="횡배수관위치조서"/>
      <sheetName val="ABUT수량-A1"/>
      <sheetName val="01"/>
      <sheetName val=" 냉각수펌프"/>
      <sheetName val="AHU집계"/>
      <sheetName val="제잡비"/>
      <sheetName val="도배공사언고"/>
      <sheetName val="직재"/>
      <sheetName val="재집"/>
      <sheetName val="EKOG10건축"/>
      <sheetName val="DATE"/>
      <sheetName val="99노임기준"/>
      <sheetName val="단가대비표"/>
      <sheetName val="날개벽수량표"/>
      <sheetName val="견적서"/>
      <sheetName val="총괄갑 "/>
      <sheetName val="설계내역"/>
      <sheetName val="D&amp;P특기사항"/>
      <sheetName val="Sheet6"/>
      <sheetName val="내역서 제출"/>
      <sheetName val="집계장(대목_실행)"/>
      <sheetName val="견"/>
      <sheetName val="SAMPLE"/>
      <sheetName val="데리네이타현황"/>
      <sheetName val="장비종합부표"/>
      <sheetName val="집계표_식재"/>
      <sheetName val="부표"/>
      <sheetName val="내역표지"/>
      <sheetName val="전선 및 전선관"/>
      <sheetName val="1.우편집중내역서"/>
      <sheetName val="자재집계"/>
      <sheetName val="Macro(MCC)"/>
      <sheetName val="EQT-ESTN"/>
      <sheetName val="실행내역서 "/>
      <sheetName val="1-1"/>
      <sheetName val="조건"/>
      <sheetName val="금액"/>
      <sheetName val="원가계산"/>
      <sheetName val="Y_WORK"/>
      <sheetName val="단가산출"/>
      <sheetName val="일위목록"/>
      <sheetName val="천안IP공장자100노100물량110할증"/>
      <sheetName val="70%"/>
      <sheetName val="danga"/>
      <sheetName val="ilch"/>
      <sheetName val="양수장(기계)"/>
      <sheetName val="배관"/>
      <sheetName val="Tender Summary"/>
      <sheetName val="예산내역서(총괄)"/>
      <sheetName val="예산내역서"/>
      <sheetName val="공제대산출"/>
      <sheetName val="운반공사,공구손료"/>
      <sheetName val="자판실행"/>
      <sheetName val="내부부하"/>
      <sheetName val="도급FORM"/>
      <sheetName val="설계조건"/>
      <sheetName val="집수정"/>
      <sheetName val="중기사용료"/>
      <sheetName val="단가일람"/>
      <sheetName val="조경일람"/>
      <sheetName val="금융"/>
      <sheetName val="날개벽"/>
      <sheetName val="저"/>
      <sheetName val="별표"/>
      <sheetName val="자재조사표"/>
      <sheetName val="RE9604"/>
      <sheetName val="본사공가현황"/>
      <sheetName val="1층"/>
      <sheetName val="청주-교대(A1)"/>
      <sheetName val="3련 BOX"/>
      <sheetName val="(갑지)"/>
      <sheetName val="9GNG운반"/>
      <sheetName val="20관리비율"/>
      <sheetName val="S0"/>
      <sheetName val="견적대비표"/>
      <sheetName val="물량표"/>
      <sheetName val="설계"/>
      <sheetName val="노임,재료비"/>
      <sheetName val="결재판(삭제하지말아주세요)"/>
      <sheetName val="기초일위"/>
      <sheetName val="시설일위"/>
      <sheetName val="조명일위"/>
      <sheetName val="type-F"/>
      <sheetName val="건축공사 분괴표원본데이터(공통+건축)"/>
      <sheetName val="9.설치품셈"/>
      <sheetName val="품셈총괄"/>
      <sheetName val="기본DATA Sheet"/>
      <sheetName val="수량총괄"/>
      <sheetName val="견적990322"/>
      <sheetName val="200"/>
      <sheetName val="품셈"/>
      <sheetName val="3.공통공사대비"/>
      <sheetName val="45,46"/>
      <sheetName val="일위대가(출입)"/>
      <sheetName val="빙장비사양"/>
      <sheetName val="장비사양"/>
      <sheetName val="상행-교대(A1-A2)"/>
      <sheetName val="변경집계표"/>
      <sheetName val="hvac(제어동)"/>
      <sheetName val="원가계산서(남측)"/>
      <sheetName val="연면적대비(12-7)"/>
      <sheetName val="충주"/>
      <sheetName val="수목데이타 "/>
      <sheetName val="건축내역서"/>
      <sheetName val="설비내역서"/>
      <sheetName val="전기내역서"/>
      <sheetName val="9."/>
      <sheetName val="계수시트"/>
      <sheetName val="각종양식"/>
      <sheetName val="3-구교-오리지날"/>
      <sheetName val="9-1차이내역"/>
      <sheetName val="단가기준"/>
      <sheetName val="자동제어"/>
      <sheetName val="가로등내역서"/>
      <sheetName val="목록"/>
      <sheetName val="시중노임단가"/>
      <sheetName val="기성내역서"/>
      <sheetName val="매립"/>
      <sheetName val="우수"/>
      <sheetName val="7월11일"/>
      <sheetName val="SULKEA"/>
      <sheetName val="갑지(추정)"/>
      <sheetName val="토사(PE)"/>
      <sheetName val="월별수입"/>
      <sheetName val="비용"/>
      <sheetName val="포장공"/>
      <sheetName val="배수공"/>
      <sheetName val="토공"/>
      <sheetName val="집수정(600-700)"/>
      <sheetName val="건축"/>
      <sheetName val="AP1"/>
      <sheetName val="연돌일위집계"/>
      <sheetName val="부표총괄"/>
      <sheetName val="Salary(해외)"/>
      <sheetName val="Regenerator  Concrete Structure"/>
      <sheetName val="5. 현장관리비(new) "/>
      <sheetName val="현황CODE"/>
      <sheetName val="손익현황"/>
      <sheetName val="조경내역"/>
      <sheetName val="1차변경내역"/>
      <sheetName val="갑지1"/>
      <sheetName val="행거,슈,볼트,펌프,잡재"/>
      <sheetName val="정화조동내역"/>
      <sheetName val="단"/>
      <sheetName val="BSD (2)"/>
      <sheetName val="직영(비교견적서)"/>
      <sheetName val="_6호기ࡴ집행"/>
      <sheetName val="A공구"/>
      <sheetName val="남양내역"/>
      <sheetName val="약품공급2"/>
      <sheetName val="1.취수장"/>
      <sheetName val="일위대가 "/>
      <sheetName val="경율산정.XLS"/>
      <sheetName val="강교(Sub)"/>
      <sheetName val="일반토공견적"/>
      <sheetName val="건축(충일분)"/>
      <sheetName val="일위대가목록"/>
      <sheetName val="요율"/>
      <sheetName val="10월 중구다동"/>
      <sheetName val="단위가격"/>
      <sheetName val="약품설비"/>
      <sheetName val="수배전반"/>
      <sheetName val="제안서입력"/>
      <sheetName val="품셈TABLE"/>
      <sheetName val="쌍송교"/>
      <sheetName val="c_balju"/>
      <sheetName val="마산월령동골조물량변경"/>
      <sheetName val="내역서1"/>
      <sheetName val="tax1"/>
      <sheetName val="손익계산서"/>
      <sheetName val="대차대조표"/>
      <sheetName val="장비집계"/>
    </sheetNames>
    <sheetDataSet>
      <sheetData sheetId="0" refreshError="1">
        <row r="1">
          <cell r="A1" t="str">
            <v xml:space="preserve">    대구내당아파트 현장직원 급여산정 기준표</v>
          </cell>
        </row>
      </sheetData>
      <sheetData sheetId="1"/>
      <sheetData sheetId="2">
        <row r="1">
          <cell r="A1" t="str">
            <v xml:space="preserve">    대구내당아파트 현장직원 급여산정 기준표</v>
          </cell>
        </row>
      </sheetData>
      <sheetData sheetId="3" refreshError="1"/>
      <sheetData sheetId="4">
        <row r="1">
          <cell r="A1" t="str">
            <v xml:space="preserve">    대구내당아파트 현장직원 급여산정 기준표</v>
          </cell>
        </row>
      </sheetData>
      <sheetData sheetId="5"/>
      <sheetData sheetId="6"/>
      <sheetData sheetId="7"/>
      <sheetData sheetId="8"/>
      <sheetData sheetId="9">
        <row r="1">
          <cell r="A1" t="str">
            <v>분류번호</v>
          </cell>
        </row>
      </sheetData>
      <sheetData sheetId="10">
        <row r="1">
          <cell r="A1" t="str">
            <v xml:space="preserve">    대구내당아파트 현장직원 급여산정 기준표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분류번호</v>
          </cell>
        </row>
      </sheetData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rea Sign-Internal"/>
      <sheetName val="Adjustments"/>
      <sheetName val="warrants"/>
      <sheetName val="Stock Div Accural"/>
      <sheetName val="adjustment"/>
      <sheetName val="FX"/>
      <sheetName val="HR Final"/>
      <sheetName val="HR"/>
      <sheetName val="RAT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조사1"/>
      <sheetName val="재고조사자"/>
      <sheetName val="타처보관"/>
      <sheetName val="하기휴가변경"/>
      <sheetName val="Sheet1"/>
      <sheetName val="T_No"/>
      <sheetName val="RPMF"/>
      <sheetName val="FGMD"/>
      <sheetName val="FGMD (2)"/>
      <sheetName val="FGMD (3)"/>
      <sheetName val="INFG1198"/>
      <sheetName val="INFG1198 (2)"/>
      <sheetName val="INMD1198"/>
      <sheetName val="INMD1198 (2)"/>
      <sheetName val="key"/>
      <sheetName val="RMPM"/>
      <sheetName val="RMPM (2)"/>
      <sheetName val="RMPM (3)"/>
      <sheetName val="RMPM (4)"/>
      <sheetName val="INRM1198"/>
      <sheetName val="INRM1198 (2)"/>
      <sheetName val="INPM1198"/>
      <sheetName val="INPM1198 (2)"/>
      <sheetName val="Sheet3 (2)"/>
      <sheetName val="Sheet2"/>
      <sheetName val="Sheet3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E8" t="str">
            <v>{calc}</v>
          </cell>
        </row>
        <row r="53">
          <cell r="B53">
            <v>101260</v>
          </cell>
          <cell r="C53" t="str">
            <v>Mokdong Gold A 4.5kg</v>
          </cell>
          <cell r="D53">
            <v>4.5</v>
          </cell>
          <cell r="E53">
            <v>1</v>
          </cell>
          <cell r="F53">
            <v>6090.1512618052329</v>
          </cell>
          <cell r="G53">
            <v>6508.6062858027562</v>
          </cell>
          <cell r="H53">
            <v>4853</v>
          </cell>
          <cell r="I53">
            <v>0</v>
          </cell>
          <cell r="J53">
            <v>797</v>
          </cell>
          <cell r="K53">
            <v>0</v>
          </cell>
          <cell r="L53">
            <v>170</v>
          </cell>
          <cell r="M53">
            <v>0</v>
          </cell>
          <cell r="N53">
            <v>289</v>
          </cell>
          <cell r="O53">
            <v>0</v>
          </cell>
          <cell r="P53">
            <v>350</v>
          </cell>
          <cell r="Q53">
            <v>0</v>
          </cell>
          <cell r="R53">
            <v>6459</v>
          </cell>
          <cell r="S53">
            <v>0</v>
          </cell>
          <cell r="T53">
            <v>0</v>
          </cell>
          <cell r="U53">
            <v>0</v>
          </cell>
          <cell r="V53">
            <v>6459</v>
          </cell>
          <cell r="W53">
            <v>0</v>
          </cell>
          <cell r="X53">
            <v>39336287</v>
          </cell>
          <cell r="Y53">
            <v>42039088</v>
          </cell>
          <cell r="Z53">
            <v>5326</v>
          </cell>
          <cell r="AB53">
            <v>797</v>
          </cell>
          <cell r="AC53">
            <v>183</v>
          </cell>
          <cell r="AD53">
            <v>289</v>
          </cell>
          <cell r="AE53">
            <v>350</v>
          </cell>
          <cell r="AF53">
            <v>6945</v>
          </cell>
          <cell r="AG53">
            <v>6945</v>
          </cell>
          <cell r="AI53">
            <v>473</v>
          </cell>
          <cell r="AJ53">
            <v>2880642</v>
          </cell>
          <cell r="AK53">
            <v>3078571</v>
          </cell>
          <cell r="AL53">
            <v>0</v>
          </cell>
          <cell r="AM53">
            <v>0</v>
          </cell>
          <cell r="AN53">
            <v>0</v>
          </cell>
          <cell r="AO53">
            <v>13</v>
          </cell>
          <cell r="AP53">
            <v>79172</v>
          </cell>
          <cell r="AQ53">
            <v>84612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486</v>
          </cell>
          <cell r="AY53">
            <v>2959814</v>
          </cell>
          <cell r="AZ53">
            <v>3163183</v>
          </cell>
        </row>
        <row r="54">
          <cell r="B54">
            <v>101261</v>
          </cell>
          <cell r="C54" t="str">
            <v>Mokdong Gold B 4.5kg</v>
          </cell>
          <cell r="D54">
            <v>4.5</v>
          </cell>
          <cell r="E54">
            <v>1</v>
          </cell>
          <cell r="F54">
            <v>5777.2307692307695</v>
          </cell>
          <cell r="G54">
            <v>6289.6153846153848</v>
          </cell>
          <cell r="H54">
            <v>0</v>
          </cell>
          <cell r="I54">
            <v>0</v>
          </cell>
          <cell r="L54">
            <v>13</v>
          </cell>
          <cell r="M54">
            <v>0</v>
          </cell>
          <cell r="R54">
            <v>13</v>
          </cell>
          <cell r="S54">
            <v>0</v>
          </cell>
          <cell r="T54">
            <v>0</v>
          </cell>
          <cell r="U54">
            <v>0</v>
          </cell>
          <cell r="V54">
            <v>13</v>
          </cell>
          <cell r="W54">
            <v>0</v>
          </cell>
          <cell r="X54">
            <v>75104</v>
          </cell>
          <cell r="Y54">
            <v>81765</v>
          </cell>
          <cell r="AF54">
            <v>0</v>
          </cell>
          <cell r="AG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-13</v>
          </cell>
          <cell r="AP54">
            <v>-75103</v>
          </cell>
          <cell r="AQ54">
            <v>-81764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-13</v>
          </cell>
          <cell r="AY54">
            <v>-75103</v>
          </cell>
          <cell r="AZ54">
            <v>-81764</v>
          </cell>
        </row>
        <row r="55">
          <cell r="B55">
            <v>101262</v>
          </cell>
          <cell r="C55" t="str">
            <v>Mokdong Gold C 4.5kg</v>
          </cell>
          <cell r="D55">
            <v>4.5</v>
          </cell>
          <cell r="E55">
            <v>1</v>
          </cell>
          <cell r="F55">
            <v>0</v>
          </cell>
          <cell r="G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AF55">
            <v>0</v>
          </cell>
          <cell r="AG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</row>
        <row r="56">
          <cell r="B56">
            <v>101263</v>
          </cell>
          <cell r="C56" t="str">
            <v>Mokdong Gold D 4.5kg</v>
          </cell>
          <cell r="D56">
            <v>4.5</v>
          </cell>
          <cell r="E56">
            <v>1</v>
          </cell>
          <cell r="F56">
            <v>0</v>
          </cell>
          <cell r="G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AF56">
            <v>0</v>
          </cell>
          <cell r="AG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</row>
        <row r="57">
          <cell r="B57">
            <v>101300</v>
          </cell>
          <cell r="C57" t="str">
            <v>Isabel A 9kg</v>
          </cell>
          <cell r="D57">
            <v>0.9</v>
          </cell>
          <cell r="E57">
            <v>10</v>
          </cell>
          <cell r="F57">
            <v>11305.316022099447</v>
          </cell>
          <cell r="G57">
            <v>12115.552486187846</v>
          </cell>
          <cell r="H57">
            <v>1810</v>
          </cell>
          <cell r="I57">
            <v>0</v>
          </cell>
          <cell r="R57">
            <v>1810</v>
          </cell>
          <cell r="S57">
            <v>0</v>
          </cell>
          <cell r="T57">
            <v>0</v>
          </cell>
          <cell r="U57">
            <v>0</v>
          </cell>
          <cell r="V57">
            <v>1810</v>
          </cell>
          <cell r="W57">
            <v>0</v>
          </cell>
          <cell r="X57">
            <v>20462622</v>
          </cell>
          <cell r="Y57">
            <v>21929150</v>
          </cell>
          <cell r="Z57">
            <v>2248</v>
          </cell>
          <cell r="AF57">
            <v>2248</v>
          </cell>
          <cell r="AG57">
            <v>2248</v>
          </cell>
          <cell r="AI57">
            <v>438</v>
          </cell>
          <cell r="AJ57">
            <v>4951728</v>
          </cell>
          <cell r="AK57">
            <v>5306612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438</v>
          </cell>
          <cell r="AY57">
            <v>4951728</v>
          </cell>
          <cell r="AZ57">
            <v>5306612</v>
          </cell>
        </row>
        <row r="58">
          <cell r="B58">
            <v>101301</v>
          </cell>
          <cell r="C58" t="str">
            <v>Isabel B 9kg</v>
          </cell>
          <cell r="D58">
            <v>0.9</v>
          </cell>
          <cell r="E58">
            <v>10</v>
          </cell>
          <cell r="F58">
            <v>11441.081272084806</v>
          </cell>
          <cell r="G58">
            <v>12345.113074204946</v>
          </cell>
          <cell r="H58">
            <v>434</v>
          </cell>
          <cell r="I58">
            <v>0</v>
          </cell>
          <cell r="J58">
            <v>54</v>
          </cell>
          <cell r="N58">
            <v>47</v>
          </cell>
          <cell r="O58">
            <v>0</v>
          </cell>
          <cell r="P58">
            <v>31</v>
          </cell>
          <cell r="Q58">
            <v>0</v>
          </cell>
          <cell r="R58">
            <v>566</v>
          </cell>
          <cell r="S58">
            <v>0</v>
          </cell>
          <cell r="T58">
            <v>0</v>
          </cell>
          <cell r="U58">
            <v>0</v>
          </cell>
          <cell r="V58">
            <v>566</v>
          </cell>
          <cell r="W58">
            <v>0</v>
          </cell>
          <cell r="X58">
            <v>6475652</v>
          </cell>
          <cell r="Y58">
            <v>6987334</v>
          </cell>
          <cell r="AB58">
            <v>54</v>
          </cell>
          <cell r="AD58">
            <v>47</v>
          </cell>
          <cell r="AE58">
            <v>31</v>
          </cell>
          <cell r="AF58">
            <v>132</v>
          </cell>
          <cell r="AG58">
            <v>132</v>
          </cell>
          <cell r="AI58">
            <v>-434</v>
          </cell>
          <cell r="AJ58">
            <v>-4965428</v>
          </cell>
          <cell r="AK58">
            <v>-5357778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-434</v>
          </cell>
          <cell r="AY58">
            <v>-4965428</v>
          </cell>
          <cell r="AZ58">
            <v>-5357778</v>
          </cell>
        </row>
        <row r="59">
          <cell r="B59">
            <v>101302</v>
          </cell>
          <cell r="C59" t="str">
            <v>Isabel C 9kg</v>
          </cell>
          <cell r="D59">
            <v>0.9</v>
          </cell>
          <cell r="E59">
            <v>10</v>
          </cell>
          <cell r="F59">
            <v>11018.5</v>
          </cell>
          <cell r="G59">
            <v>11756.75</v>
          </cell>
          <cell r="H59">
            <v>4</v>
          </cell>
          <cell r="I59">
            <v>0</v>
          </cell>
          <cell r="R59">
            <v>4</v>
          </cell>
          <cell r="S59">
            <v>0</v>
          </cell>
          <cell r="T59">
            <v>0</v>
          </cell>
          <cell r="U59">
            <v>0</v>
          </cell>
          <cell r="V59">
            <v>4</v>
          </cell>
          <cell r="W59">
            <v>0</v>
          </cell>
          <cell r="X59">
            <v>44074</v>
          </cell>
          <cell r="Y59">
            <v>47027</v>
          </cell>
          <cell r="AF59">
            <v>0</v>
          </cell>
          <cell r="AG59">
            <v>0</v>
          </cell>
          <cell r="AI59">
            <v>-4</v>
          </cell>
          <cell r="AJ59">
            <v>-44073</v>
          </cell>
          <cell r="AK59">
            <v>-47026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-4</v>
          </cell>
          <cell r="AY59">
            <v>-44073</v>
          </cell>
          <cell r="AZ59">
            <v>-47026</v>
          </cell>
        </row>
        <row r="60">
          <cell r="B60">
            <v>101303</v>
          </cell>
          <cell r="C60" t="str">
            <v>Isabel D 9kg</v>
          </cell>
          <cell r="D60">
            <v>0.9</v>
          </cell>
          <cell r="E60">
            <v>10</v>
          </cell>
          <cell r="F60">
            <v>0</v>
          </cell>
          <cell r="G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AF60">
            <v>0</v>
          </cell>
          <cell r="AG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1">
          <cell r="B61">
            <v>101310</v>
          </cell>
          <cell r="C61" t="str">
            <v>Isabel A 10kg</v>
          </cell>
          <cell r="D61">
            <v>1</v>
          </cell>
          <cell r="E61">
            <v>10</v>
          </cell>
          <cell r="F61">
            <v>12227.607786589762</v>
          </cell>
          <cell r="G61">
            <v>13125.134823359769</v>
          </cell>
          <cell r="H61">
            <v>1387</v>
          </cell>
          <cell r="I61">
            <v>0</v>
          </cell>
          <cell r="R61">
            <v>1387</v>
          </cell>
          <cell r="S61">
            <v>0</v>
          </cell>
          <cell r="T61">
            <v>0</v>
          </cell>
          <cell r="U61">
            <v>0</v>
          </cell>
          <cell r="V61">
            <v>1387</v>
          </cell>
          <cell r="W61">
            <v>0</v>
          </cell>
          <cell r="X61">
            <v>16959692</v>
          </cell>
          <cell r="Y61">
            <v>18204562</v>
          </cell>
          <cell r="Z61">
            <v>1432</v>
          </cell>
          <cell r="AC61">
            <v>61</v>
          </cell>
          <cell r="AF61">
            <v>1493</v>
          </cell>
          <cell r="AG61">
            <v>1493</v>
          </cell>
          <cell r="AI61">
            <v>45</v>
          </cell>
          <cell r="AJ61">
            <v>550242</v>
          </cell>
          <cell r="AK61">
            <v>590631</v>
          </cell>
          <cell r="AL61">
            <v>0</v>
          </cell>
          <cell r="AM61">
            <v>0</v>
          </cell>
          <cell r="AN61">
            <v>0</v>
          </cell>
          <cell r="AO61">
            <v>61</v>
          </cell>
          <cell r="AP61">
            <v>745884</v>
          </cell>
          <cell r="AQ61">
            <v>800633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106</v>
          </cell>
          <cell r="AY61">
            <v>1296126</v>
          </cell>
          <cell r="AZ61">
            <v>1391264</v>
          </cell>
        </row>
        <row r="62">
          <cell r="B62">
            <v>101311</v>
          </cell>
          <cell r="C62" t="str">
            <v>Isabel B 10kg</v>
          </cell>
          <cell r="D62">
            <v>1</v>
          </cell>
          <cell r="E62">
            <v>10</v>
          </cell>
          <cell r="F62">
            <v>12474.013157894737</v>
          </cell>
          <cell r="G62">
            <v>13428.719298245614</v>
          </cell>
          <cell r="H62">
            <v>45</v>
          </cell>
          <cell r="I62">
            <v>0</v>
          </cell>
          <cell r="J62">
            <v>78</v>
          </cell>
          <cell r="K62">
            <v>0</v>
          </cell>
          <cell r="L62">
            <v>61</v>
          </cell>
          <cell r="M62">
            <v>6</v>
          </cell>
          <cell r="N62">
            <v>43</v>
          </cell>
          <cell r="O62">
            <v>5</v>
          </cell>
          <cell r="R62">
            <v>228</v>
          </cell>
          <cell r="S62">
            <v>1</v>
          </cell>
          <cell r="T62">
            <v>0</v>
          </cell>
          <cell r="U62">
            <v>0</v>
          </cell>
          <cell r="V62">
            <v>228</v>
          </cell>
          <cell r="W62">
            <v>1</v>
          </cell>
          <cell r="X62">
            <v>2844075</v>
          </cell>
          <cell r="Y62">
            <v>3061748</v>
          </cell>
          <cell r="AB62">
            <v>78</v>
          </cell>
          <cell r="AD62">
            <v>43</v>
          </cell>
          <cell r="AF62">
            <v>121</v>
          </cell>
          <cell r="AG62">
            <v>121</v>
          </cell>
          <cell r="AI62">
            <v>-45</v>
          </cell>
          <cell r="AJ62">
            <v>-561330</v>
          </cell>
          <cell r="AK62">
            <v>-604291</v>
          </cell>
          <cell r="AL62">
            <v>0</v>
          </cell>
          <cell r="AM62">
            <v>0</v>
          </cell>
          <cell r="AN62">
            <v>0</v>
          </cell>
          <cell r="AO62">
            <v>-61</v>
          </cell>
          <cell r="AP62">
            <v>-760914</v>
          </cell>
          <cell r="AQ62">
            <v>-819151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-106</v>
          </cell>
          <cell r="AY62">
            <v>-1322244</v>
          </cell>
          <cell r="AZ62">
            <v>-1423442</v>
          </cell>
        </row>
        <row r="63">
          <cell r="B63">
            <v>101312</v>
          </cell>
          <cell r="C63" t="str">
            <v>Isabel C 10kg</v>
          </cell>
          <cell r="D63">
            <v>1</v>
          </cell>
          <cell r="E63">
            <v>10</v>
          </cell>
          <cell r="F63">
            <v>0</v>
          </cell>
          <cell r="G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AF63">
            <v>0</v>
          </cell>
          <cell r="AG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</row>
        <row r="64">
          <cell r="B64">
            <v>101313</v>
          </cell>
          <cell r="C64" t="str">
            <v>Isabel D 10kg</v>
          </cell>
          <cell r="D64">
            <v>1</v>
          </cell>
          <cell r="E64">
            <v>10</v>
          </cell>
          <cell r="F64">
            <v>0</v>
          </cell>
          <cell r="G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AF64">
            <v>0</v>
          </cell>
          <cell r="AG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5">
          <cell r="B65">
            <v>101320</v>
          </cell>
          <cell r="C65" t="str">
            <v>Isabel A 4.5kg</v>
          </cell>
          <cell r="D65">
            <v>4.5</v>
          </cell>
          <cell r="E65">
            <v>1</v>
          </cell>
          <cell r="F65">
            <v>4995</v>
          </cell>
          <cell r="G65">
            <v>5454</v>
          </cell>
          <cell r="L65">
            <v>2</v>
          </cell>
          <cell r="M65">
            <v>0</v>
          </cell>
          <cell r="N65">
            <v>0</v>
          </cell>
          <cell r="O65">
            <v>0</v>
          </cell>
          <cell r="R65">
            <v>2</v>
          </cell>
          <cell r="S65">
            <v>0</v>
          </cell>
          <cell r="T65">
            <v>0</v>
          </cell>
          <cell r="U65">
            <v>0</v>
          </cell>
          <cell r="V65">
            <v>2</v>
          </cell>
          <cell r="W65">
            <v>0</v>
          </cell>
          <cell r="X65">
            <v>9990</v>
          </cell>
          <cell r="Y65">
            <v>10908</v>
          </cell>
          <cell r="AC65">
            <v>2</v>
          </cell>
          <cell r="AF65">
            <v>2</v>
          </cell>
          <cell r="AG65">
            <v>2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6">
          <cell r="B66">
            <v>101322</v>
          </cell>
          <cell r="C66" t="str">
            <v>Isabel C 4.5kg</v>
          </cell>
          <cell r="D66">
            <v>4.5</v>
          </cell>
          <cell r="E66">
            <v>1</v>
          </cell>
          <cell r="F66">
            <v>0</v>
          </cell>
          <cell r="G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AF66">
            <v>0</v>
          </cell>
          <cell r="AG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</row>
        <row r="67">
          <cell r="B67">
            <v>101323</v>
          </cell>
          <cell r="C67" t="str">
            <v>Isabel D 4.5kg</v>
          </cell>
          <cell r="D67">
            <v>4.5</v>
          </cell>
          <cell r="E67">
            <v>1</v>
          </cell>
          <cell r="F67">
            <v>0</v>
          </cell>
          <cell r="G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AF67">
            <v>0</v>
          </cell>
          <cell r="AG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8">
          <cell r="B68">
            <v>101504</v>
          </cell>
          <cell r="C68" t="str">
            <v>Export S) 100 10P</v>
          </cell>
          <cell r="D68">
            <v>4.5</v>
          </cell>
          <cell r="E68">
            <v>1</v>
          </cell>
          <cell r="F68">
            <v>0</v>
          </cell>
          <cell r="G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AF68">
            <v>0</v>
          </cell>
          <cell r="AG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9">
          <cell r="B69">
            <v>101505</v>
          </cell>
          <cell r="C69" t="str">
            <v>Pri Mix 20kg</v>
          </cell>
          <cell r="D69">
            <v>20</v>
          </cell>
          <cell r="E69">
            <v>1</v>
          </cell>
          <cell r="F69">
            <v>21282.444444444445</v>
          </cell>
          <cell r="G69">
            <v>23431.388888888891</v>
          </cell>
          <cell r="H69">
            <v>18</v>
          </cell>
          <cell r="I69">
            <v>0</v>
          </cell>
          <cell r="R69">
            <v>18</v>
          </cell>
          <cell r="S69">
            <v>0</v>
          </cell>
          <cell r="T69">
            <v>0</v>
          </cell>
          <cell r="U69">
            <v>0</v>
          </cell>
          <cell r="V69">
            <v>18</v>
          </cell>
          <cell r="W69">
            <v>0</v>
          </cell>
          <cell r="X69">
            <v>383084</v>
          </cell>
          <cell r="Y69">
            <v>421765</v>
          </cell>
          <cell r="Z69">
            <v>18</v>
          </cell>
          <cell r="AF69">
            <v>18</v>
          </cell>
          <cell r="AG69">
            <v>18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</row>
        <row r="70">
          <cell r="B70">
            <v>101521</v>
          </cell>
          <cell r="C70" t="str">
            <v>Scholar 4.5kg</v>
          </cell>
          <cell r="D70">
            <v>4.5</v>
          </cell>
          <cell r="E70">
            <v>1</v>
          </cell>
          <cell r="F70">
            <v>5081</v>
          </cell>
          <cell r="G70">
            <v>5588</v>
          </cell>
          <cell r="L70">
            <v>1</v>
          </cell>
          <cell r="M70">
            <v>0</v>
          </cell>
          <cell r="P70">
            <v>0</v>
          </cell>
          <cell r="Q70">
            <v>0</v>
          </cell>
          <cell r="R70">
            <v>1</v>
          </cell>
          <cell r="S70">
            <v>0</v>
          </cell>
          <cell r="T70">
            <v>0</v>
          </cell>
          <cell r="U70">
            <v>0</v>
          </cell>
          <cell r="V70">
            <v>1</v>
          </cell>
          <cell r="W70">
            <v>0</v>
          </cell>
          <cell r="X70">
            <v>5081</v>
          </cell>
          <cell r="Y70">
            <v>5588</v>
          </cell>
          <cell r="AC70">
            <v>1</v>
          </cell>
          <cell r="AF70">
            <v>1</v>
          </cell>
          <cell r="AG70">
            <v>1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1">
          <cell r="B71">
            <v>101523</v>
          </cell>
          <cell r="C71" t="str">
            <v>Scholar-P 4.5kg</v>
          </cell>
          <cell r="D71">
            <v>4.5</v>
          </cell>
          <cell r="E71">
            <v>1</v>
          </cell>
          <cell r="F71">
            <v>0</v>
          </cell>
          <cell r="G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AF71">
            <v>0</v>
          </cell>
          <cell r="AG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2">
          <cell r="B72">
            <v>101545</v>
          </cell>
          <cell r="C72" t="str">
            <v>Hi Pastry 500g</v>
          </cell>
          <cell r="D72">
            <v>0.5</v>
          </cell>
          <cell r="E72">
            <v>20</v>
          </cell>
          <cell r="F72">
            <v>12645.554545454546</v>
          </cell>
          <cell r="G72">
            <v>13616.854545454546</v>
          </cell>
          <cell r="H72">
            <v>220</v>
          </cell>
          <cell r="I72">
            <v>0</v>
          </cell>
          <cell r="R72">
            <v>220</v>
          </cell>
          <cell r="S72">
            <v>0</v>
          </cell>
          <cell r="T72">
            <v>0</v>
          </cell>
          <cell r="U72">
            <v>0</v>
          </cell>
          <cell r="V72">
            <v>220</v>
          </cell>
          <cell r="W72">
            <v>0</v>
          </cell>
          <cell r="X72">
            <v>2782022</v>
          </cell>
          <cell r="Y72">
            <v>2995708</v>
          </cell>
          <cell r="Z72">
            <v>220</v>
          </cell>
          <cell r="AF72">
            <v>220</v>
          </cell>
          <cell r="AG72">
            <v>220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3">
          <cell r="B73">
            <v>101546</v>
          </cell>
          <cell r="C73" t="str">
            <v>Jenny 4.5kg</v>
          </cell>
          <cell r="D73">
            <v>4.5</v>
          </cell>
          <cell r="E73">
            <v>1</v>
          </cell>
          <cell r="F73">
            <v>4748.3538191395965</v>
          </cell>
          <cell r="G73">
            <v>5201.6663740122913</v>
          </cell>
          <cell r="H73">
            <v>979</v>
          </cell>
          <cell r="I73">
            <v>0</v>
          </cell>
          <cell r="L73">
            <v>90</v>
          </cell>
          <cell r="M73">
            <v>0</v>
          </cell>
          <cell r="N73">
            <v>70</v>
          </cell>
          <cell r="O73">
            <v>0</v>
          </cell>
          <cell r="R73">
            <v>1139</v>
          </cell>
          <cell r="S73">
            <v>0</v>
          </cell>
          <cell r="T73">
            <v>0</v>
          </cell>
          <cell r="U73">
            <v>0</v>
          </cell>
          <cell r="V73">
            <v>1139</v>
          </cell>
          <cell r="W73">
            <v>0</v>
          </cell>
          <cell r="X73">
            <v>5408375</v>
          </cell>
          <cell r="Y73">
            <v>5924698</v>
          </cell>
          <cell r="Z73">
            <v>979</v>
          </cell>
          <cell r="AC73">
            <v>90</v>
          </cell>
          <cell r="AD73">
            <v>70</v>
          </cell>
          <cell r="AF73">
            <v>1139</v>
          </cell>
          <cell r="AG73">
            <v>1139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4">
          <cell r="B74">
            <v>101547</v>
          </cell>
          <cell r="C74" t="str">
            <v>Choco Cream 10kg</v>
          </cell>
          <cell r="D74">
            <v>10</v>
          </cell>
          <cell r="E74">
            <v>1</v>
          </cell>
          <cell r="F74">
            <v>0</v>
          </cell>
          <cell r="G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AF74">
            <v>0</v>
          </cell>
          <cell r="AG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5">
          <cell r="B75">
            <v>101550</v>
          </cell>
          <cell r="C75" t="str">
            <v>Chongok 4.5kg (Bakery)</v>
          </cell>
          <cell r="D75">
            <v>4.5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1</v>
          </cell>
          <cell r="Y75">
            <v>2</v>
          </cell>
          <cell r="AF75">
            <v>0</v>
          </cell>
          <cell r="AG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</row>
        <row r="76">
          <cell r="B76">
            <v>101551</v>
          </cell>
          <cell r="C76" t="str">
            <v>Double Soft 4.5kg</v>
          </cell>
          <cell r="D76">
            <v>4.5</v>
          </cell>
          <cell r="E76">
            <v>1</v>
          </cell>
          <cell r="F76">
            <v>6422.3187732342003</v>
          </cell>
          <cell r="G76">
            <v>6882.9228624535317</v>
          </cell>
          <cell r="H76">
            <v>987</v>
          </cell>
          <cell r="I76">
            <v>0</v>
          </cell>
          <cell r="N76">
            <v>89</v>
          </cell>
          <cell r="O76">
            <v>0</v>
          </cell>
          <cell r="R76">
            <v>1076</v>
          </cell>
          <cell r="S76">
            <v>0</v>
          </cell>
          <cell r="T76">
            <v>0</v>
          </cell>
          <cell r="U76">
            <v>0</v>
          </cell>
          <cell r="V76">
            <v>1076</v>
          </cell>
          <cell r="W76">
            <v>0</v>
          </cell>
          <cell r="X76">
            <v>6910415</v>
          </cell>
          <cell r="Y76">
            <v>7406025</v>
          </cell>
          <cell r="Z76">
            <v>987</v>
          </cell>
          <cell r="AD76">
            <v>89</v>
          </cell>
          <cell r="AF76">
            <v>1076</v>
          </cell>
          <cell r="AG76">
            <v>1076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7">
          <cell r="B77">
            <v>101558</v>
          </cell>
          <cell r="C77" t="str">
            <v>Mokdong Gold 10P (EWha)</v>
          </cell>
          <cell r="D77">
            <v>4.5</v>
          </cell>
          <cell r="E77">
            <v>1</v>
          </cell>
          <cell r="F77">
            <v>0</v>
          </cell>
          <cell r="G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AF77">
            <v>0</v>
          </cell>
          <cell r="AG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</row>
        <row r="78">
          <cell r="B78">
            <v>101559</v>
          </cell>
          <cell r="C78" t="str">
            <v>Hi Soft 3kg</v>
          </cell>
          <cell r="D78">
            <v>3</v>
          </cell>
          <cell r="E78">
            <v>4</v>
          </cell>
          <cell r="F78">
            <v>0</v>
          </cell>
          <cell r="G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AF78">
            <v>0</v>
          </cell>
          <cell r="AG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9">
          <cell r="B79">
            <v>101563</v>
          </cell>
          <cell r="C79" t="str">
            <v>French 1.5kg</v>
          </cell>
          <cell r="D79">
            <v>1.5</v>
          </cell>
          <cell r="E79">
            <v>10</v>
          </cell>
          <cell r="F79">
            <v>0</v>
          </cell>
          <cell r="G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AF79">
            <v>0</v>
          </cell>
          <cell r="AG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80">
          <cell r="B80">
            <v>101564</v>
          </cell>
          <cell r="C80" t="str">
            <v>H) 27kg</v>
          </cell>
          <cell r="D80">
            <v>27</v>
          </cell>
          <cell r="E80">
            <v>1</v>
          </cell>
          <cell r="F80">
            <v>26847.469648562299</v>
          </cell>
          <cell r="G80">
            <v>29509.479233226837</v>
          </cell>
          <cell r="H80">
            <v>462</v>
          </cell>
          <cell r="I80">
            <v>0</v>
          </cell>
          <cell r="J80">
            <v>164</v>
          </cell>
          <cell r="K80">
            <v>0</v>
          </cell>
          <cell r="R80">
            <v>626</v>
          </cell>
          <cell r="S80">
            <v>0</v>
          </cell>
          <cell r="T80">
            <v>0</v>
          </cell>
          <cell r="U80">
            <v>0</v>
          </cell>
          <cell r="V80">
            <v>626</v>
          </cell>
          <cell r="W80">
            <v>0</v>
          </cell>
          <cell r="X80">
            <v>16806516</v>
          </cell>
          <cell r="Y80">
            <v>18472934</v>
          </cell>
          <cell r="Z80">
            <v>462</v>
          </cell>
          <cell r="AB80">
            <v>164</v>
          </cell>
          <cell r="AF80">
            <v>626</v>
          </cell>
          <cell r="AG80">
            <v>626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1">
          <cell r="B81">
            <v>101566</v>
          </cell>
          <cell r="C81" t="str">
            <v>Green 4.5kg</v>
          </cell>
          <cell r="D81">
            <v>4.5</v>
          </cell>
          <cell r="E81">
            <v>1</v>
          </cell>
          <cell r="F81">
            <v>6438.7992202729047</v>
          </cell>
          <cell r="G81">
            <v>6938.0448343079925</v>
          </cell>
          <cell r="H81">
            <v>513</v>
          </cell>
          <cell r="I81">
            <v>0</v>
          </cell>
          <cell r="R81">
            <v>513</v>
          </cell>
          <cell r="S81">
            <v>0</v>
          </cell>
          <cell r="T81">
            <v>0</v>
          </cell>
          <cell r="U81">
            <v>0</v>
          </cell>
          <cell r="V81">
            <v>513</v>
          </cell>
          <cell r="W81">
            <v>0</v>
          </cell>
          <cell r="X81">
            <v>3303104</v>
          </cell>
          <cell r="Y81">
            <v>3559217</v>
          </cell>
          <cell r="Z81">
            <v>513</v>
          </cell>
          <cell r="AF81">
            <v>513</v>
          </cell>
          <cell r="AG81">
            <v>513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2">
          <cell r="B82">
            <v>101567</v>
          </cell>
          <cell r="C82" t="str">
            <v>Creamia 4.5kg</v>
          </cell>
          <cell r="D82">
            <v>4.5</v>
          </cell>
          <cell r="E82">
            <v>1</v>
          </cell>
          <cell r="F82">
            <v>4729.605170902717</v>
          </cell>
          <cell r="G82">
            <v>5148.3400525854513</v>
          </cell>
          <cell r="H82">
            <v>1613</v>
          </cell>
          <cell r="I82">
            <v>0</v>
          </cell>
          <cell r="J82">
            <v>320</v>
          </cell>
          <cell r="K82">
            <v>0</v>
          </cell>
          <cell r="L82">
            <v>71</v>
          </cell>
          <cell r="M82">
            <v>0</v>
          </cell>
          <cell r="N82">
            <v>264</v>
          </cell>
          <cell r="O82">
            <v>0</v>
          </cell>
          <cell r="P82">
            <v>14</v>
          </cell>
          <cell r="Q82">
            <v>0</v>
          </cell>
          <cell r="R82">
            <v>2282</v>
          </cell>
          <cell r="S82">
            <v>0</v>
          </cell>
          <cell r="T82">
            <v>0</v>
          </cell>
          <cell r="U82">
            <v>0</v>
          </cell>
          <cell r="V82">
            <v>2282</v>
          </cell>
          <cell r="W82">
            <v>0</v>
          </cell>
          <cell r="X82">
            <v>10792959</v>
          </cell>
          <cell r="Y82">
            <v>11748512</v>
          </cell>
          <cell r="Z82">
            <v>1613</v>
          </cell>
          <cell r="AB82">
            <v>320</v>
          </cell>
          <cell r="AC82">
            <v>71</v>
          </cell>
          <cell r="AD82">
            <v>264</v>
          </cell>
          <cell r="AE82">
            <v>14</v>
          </cell>
          <cell r="AF82">
            <v>2282</v>
          </cell>
          <cell r="AG82">
            <v>2282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B83">
            <v>101568</v>
          </cell>
          <cell r="C83" t="str">
            <v>Diana 4.5kg</v>
          </cell>
          <cell r="D83">
            <v>4.5</v>
          </cell>
          <cell r="E83">
            <v>1</v>
          </cell>
          <cell r="F83">
            <v>7607.9753554502367</v>
          </cell>
          <cell r="G83">
            <v>8051.5055292259085</v>
          </cell>
          <cell r="H83">
            <v>2696</v>
          </cell>
          <cell r="I83">
            <v>0</v>
          </cell>
          <cell r="J83">
            <v>128</v>
          </cell>
          <cell r="K83">
            <v>0</v>
          </cell>
          <cell r="L83">
            <v>338</v>
          </cell>
          <cell r="M83">
            <v>0</v>
          </cell>
          <cell r="N83">
            <v>3</v>
          </cell>
          <cell r="O83">
            <v>0</v>
          </cell>
          <cell r="R83">
            <v>3165</v>
          </cell>
          <cell r="S83">
            <v>0</v>
          </cell>
          <cell r="T83">
            <v>0</v>
          </cell>
          <cell r="U83">
            <v>0</v>
          </cell>
          <cell r="V83">
            <v>3165</v>
          </cell>
          <cell r="W83">
            <v>0</v>
          </cell>
          <cell r="X83">
            <v>24079242</v>
          </cell>
          <cell r="Y83">
            <v>25483015</v>
          </cell>
          <cell r="Z83">
            <v>2696</v>
          </cell>
          <cell r="AB83">
            <v>128</v>
          </cell>
          <cell r="AC83">
            <v>338</v>
          </cell>
          <cell r="AD83">
            <v>3</v>
          </cell>
          <cell r="AF83">
            <v>3165</v>
          </cell>
          <cell r="AG83">
            <v>3165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B84">
            <v>101571</v>
          </cell>
          <cell r="C84" t="str">
            <v>Diana 1000 4.5kg</v>
          </cell>
          <cell r="D84">
            <v>4.5</v>
          </cell>
          <cell r="E84">
            <v>1</v>
          </cell>
          <cell r="F84">
            <v>0</v>
          </cell>
          <cell r="G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AF84">
            <v>0</v>
          </cell>
          <cell r="AG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5">
          <cell r="B85">
            <v>101575</v>
          </cell>
          <cell r="C85" t="str">
            <v>Ferment 4.5kg</v>
          </cell>
          <cell r="D85">
            <v>4.5</v>
          </cell>
          <cell r="E85">
            <v>1</v>
          </cell>
          <cell r="F85">
            <v>0</v>
          </cell>
          <cell r="G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AF85">
            <v>0</v>
          </cell>
          <cell r="AG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B86">
            <v>101576</v>
          </cell>
          <cell r="C86" t="str">
            <v>Diana 2000 4.5kg</v>
          </cell>
          <cell r="D86">
            <v>4.5</v>
          </cell>
          <cell r="E86">
            <v>1</v>
          </cell>
          <cell r="F86">
            <v>0</v>
          </cell>
          <cell r="G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AF86">
            <v>0</v>
          </cell>
          <cell r="AG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7">
          <cell r="B87">
            <v>101577</v>
          </cell>
          <cell r="C87" t="str">
            <v>Marina 4.5kg</v>
          </cell>
          <cell r="D87">
            <v>4.5</v>
          </cell>
          <cell r="E87">
            <v>1</v>
          </cell>
          <cell r="F87">
            <v>7077.0539163090125</v>
          </cell>
          <cell r="G87">
            <v>7569.3243025751071</v>
          </cell>
          <cell r="H87">
            <v>2978</v>
          </cell>
          <cell r="I87">
            <v>0</v>
          </cell>
          <cell r="J87">
            <v>367</v>
          </cell>
          <cell r="K87">
            <v>0</v>
          </cell>
          <cell r="L87">
            <v>196</v>
          </cell>
          <cell r="M87">
            <v>0</v>
          </cell>
          <cell r="N87">
            <v>151</v>
          </cell>
          <cell r="O87">
            <v>0</v>
          </cell>
          <cell r="P87">
            <v>36</v>
          </cell>
          <cell r="Q87">
            <v>0</v>
          </cell>
          <cell r="R87">
            <v>3728</v>
          </cell>
          <cell r="S87">
            <v>0</v>
          </cell>
          <cell r="T87">
            <v>0</v>
          </cell>
          <cell r="U87">
            <v>0</v>
          </cell>
          <cell r="V87">
            <v>3728</v>
          </cell>
          <cell r="W87">
            <v>0</v>
          </cell>
          <cell r="X87">
            <v>26383257</v>
          </cell>
          <cell r="Y87">
            <v>28218441</v>
          </cell>
          <cell r="Z87">
            <v>2978</v>
          </cell>
          <cell r="AB87">
            <v>367</v>
          </cell>
          <cell r="AC87">
            <v>196</v>
          </cell>
          <cell r="AD87">
            <v>151</v>
          </cell>
          <cell r="AE87">
            <v>36</v>
          </cell>
          <cell r="AF87">
            <v>3728</v>
          </cell>
          <cell r="AG87">
            <v>3728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8">
          <cell r="B88">
            <v>101578</v>
          </cell>
          <cell r="C88" t="str">
            <v>Marina 100 4.5kg</v>
          </cell>
          <cell r="D88">
            <v>4.5</v>
          </cell>
          <cell r="E88">
            <v>1</v>
          </cell>
          <cell r="F88">
            <v>0</v>
          </cell>
          <cell r="G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AF88">
            <v>0</v>
          </cell>
          <cell r="AG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9">
          <cell r="B89">
            <v>101579</v>
          </cell>
          <cell r="C89" t="str">
            <v>Creamia 100 10kg</v>
          </cell>
          <cell r="D89">
            <v>10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</v>
          </cell>
          <cell r="Y89">
            <v>2</v>
          </cell>
          <cell r="AF89">
            <v>0</v>
          </cell>
          <cell r="AG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90">
          <cell r="B90">
            <v>101591</v>
          </cell>
          <cell r="C90" t="str">
            <v>Libero 10.56kg</v>
          </cell>
          <cell r="D90">
            <v>10.56</v>
          </cell>
          <cell r="E90">
            <v>1</v>
          </cell>
          <cell r="F90">
            <v>0</v>
          </cell>
          <cell r="G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AF90">
            <v>0</v>
          </cell>
          <cell r="AG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1">
          <cell r="B91">
            <v>101602</v>
          </cell>
          <cell r="C91" t="str">
            <v>H) 10kg</v>
          </cell>
          <cell r="D91">
            <v>10</v>
          </cell>
          <cell r="E91">
            <v>1</v>
          </cell>
          <cell r="F91">
            <v>10011.37765205092</v>
          </cell>
          <cell r="G91">
            <v>10949.84441301273</v>
          </cell>
          <cell r="H91">
            <v>707</v>
          </cell>
          <cell r="I91">
            <v>0</v>
          </cell>
          <cell r="R91">
            <v>707</v>
          </cell>
          <cell r="S91">
            <v>0</v>
          </cell>
          <cell r="T91">
            <v>0</v>
          </cell>
          <cell r="U91">
            <v>0</v>
          </cell>
          <cell r="V91">
            <v>707</v>
          </cell>
          <cell r="W91">
            <v>0</v>
          </cell>
          <cell r="X91">
            <v>7078044</v>
          </cell>
          <cell r="Y91">
            <v>7741540</v>
          </cell>
          <cell r="Z91">
            <v>707</v>
          </cell>
          <cell r="AF91">
            <v>707</v>
          </cell>
          <cell r="AG91">
            <v>707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B92">
            <v>101603</v>
          </cell>
          <cell r="C92" t="str">
            <v>Elise 9kg</v>
          </cell>
          <cell r="D92">
            <v>9</v>
          </cell>
          <cell r="E92">
            <v>1</v>
          </cell>
          <cell r="F92">
            <v>9804.4131054131049</v>
          </cell>
          <cell r="G92">
            <v>10891.390313390313</v>
          </cell>
          <cell r="H92">
            <v>295</v>
          </cell>
          <cell r="I92">
            <v>0</v>
          </cell>
          <cell r="L92">
            <v>56</v>
          </cell>
          <cell r="M92">
            <v>0</v>
          </cell>
          <cell r="R92">
            <v>351</v>
          </cell>
          <cell r="S92">
            <v>0</v>
          </cell>
          <cell r="T92">
            <v>0</v>
          </cell>
          <cell r="U92">
            <v>0</v>
          </cell>
          <cell r="V92">
            <v>351</v>
          </cell>
          <cell r="W92">
            <v>0</v>
          </cell>
          <cell r="X92">
            <v>3441349</v>
          </cell>
          <cell r="Y92">
            <v>3822878</v>
          </cell>
          <cell r="Z92">
            <v>295</v>
          </cell>
          <cell r="AC92">
            <v>56</v>
          </cell>
          <cell r="AF92">
            <v>351</v>
          </cell>
          <cell r="AG92">
            <v>351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B93">
            <v>101604</v>
          </cell>
          <cell r="C93" t="str">
            <v>S) 100 9kg (Family)</v>
          </cell>
          <cell r="D93">
            <v>9</v>
          </cell>
          <cell r="E93">
            <v>1</v>
          </cell>
          <cell r="F93">
            <v>0</v>
          </cell>
          <cell r="G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AF93">
            <v>0</v>
          </cell>
          <cell r="AG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4">
          <cell r="B94">
            <v>101605</v>
          </cell>
          <cell r="C94" t="str">
            <v>Royal 100 1.25kg</v>
          </cell>
          <cell r="D94">
            <v>1.25</v>
          </cell>
          <cell r="E94">
            <v>8</v>
          </cell>
          <cell r="F94">
            <v>11433.575068870523</v>
          </cell>
          <cell r="G94">
            <v>12440.217630853995</v>
          </cell>
          <cell r="H94">
            <v>1452</v>
          </cell>
          <cell r="I94">
            <v>0</v>
          </cell>
          <cell r="R94">
            <v>1452</v>
          </cell>
          <cell r="S94">
            <v>0</v>
          </cell>
          <cell r="T94">
            <v>0</v>
          </cell>
          <cell r="U94">
            <v>0</v>
          </cell>
          <cell r="V94">
            <v>1452</v>
          </cell>
          <cell r="W94">
            <v>0</v>
          </cell>
          <cell r="X94">
            <v>16601551</v>
          </cell>
          <cell r="Y94">
            <v>18063196</v>
          </cell>
          <cell r="Z94">
            <v>1452</v>
          </cell>
          <cell r="AF94">
            <v>1452</v>
          </cell>
          <cell r="AG94">
            <v>1452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B95">
            <v>101606</v>
          </cell>
          <cell r="C95" t="str">
            <v>Crown 1000 4.5kg</v>
          </cell>
          <cell r="D95">
            <v>4.5</v>
          </cell>
          <cell r="E95">
            <v>1</v>
          </cell>
          <cell r="F95">
            <v>6242.0465949820791</v>
          </cell>
          <cell r="G95">
            <v>6721.0188172043008</v>
          </cell>
          <cell r="H95">
            <v>1116</v>
          </cell>
          <cell r="I95">
            <v>0</v>
          </cell>
          <cell r="R95">
            <v>1116</v>
          </cell>
          <cell r="S95">
            <v>0</v>
          </cell>
          <cell r="T95">
            <v>0</v>
          </cell>
          <cell r="U95">
            <v>0</v>
          </cell>
          <cell r="V95">
            <v>1116</v>
          </cell>
          <cell r="W95">
            <v>0</v>
          </cell>
          <cell r="X95">
            <v>6966124</v>
          </cell>
          <cell r="Y95">
            <v>7500657</v>
          </cell>
          <cell r="Z95">
            <v>1116</v>
          </cell>
          <cell r="AF95">
            <v>1116</v>
          </cell>
          <cell r="AG95">
            <v>1116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B96">
            <v>101607</v>
          </cell>
          <cell r="C96" t="str">
            <v>Coffee Cream 10kg</v>
          </cell>
          <cell r="D96">
            <v>10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1</v>
          </cell>
          <cell r="Y96">
            <v>2</v>
          </cell>
          <cell r="AF96">
            <v>0</v>
          </cell>
          <cell r="AG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7">
          <cell r="B97">
            <v>101608</v>
          </cell>
          <cell r="C97" t="str">
            <v>MDB 1.5kg</v>
          </cell>
          <cell r="D97">
            <v>1.5</v>
          </cell>
          <cell r="E97">
            <v>8</v>
          </cell>
          <cell r="F97">
            <v>17423.871657754011</v>
          </cell>
          <cell r="G97">
            <v>18616.074866310162</v>
          </cell>
          <cell r="H97">
            <v>187</v>
          </cell>
          <cell r="I97">
            <v>0</v>
          </cell>
          <cell r="R97">
            <v>187</v>
          </cell>
          <cell r="S97">
            <v>0</v>
          </cell>
          <cell r="T97">
            <v>0</v>
          </cell>
          <cell r="U97">
            <v>0</v>
          </cell>
          <cell r="V97">
            <v>187</v>
          </cell>
          <cell r="W97">
            <v>0</v>
          </cell>
          <cell r="X97">
            <v>3258264</v>
          </cell>
          <cell r="Y97">
            <v>3481206</v>
          </cell>
          <cell r="Z97">
            <v>187</v>
          </cell>
          <cell r="AF97">
            <v>187</v>
          </cell>
          <cell r="AG97">
            <v>187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8">
          <cell r="B98">
            <v>101610</v>
          </cell>
          <cell r="C98" t="str">
            <v>Snow Soft 4.5kg</v>
          </cell>
          <cell r="D98">
            <v>4.5</v>
          </cell>
          <cell r="E98">
            <v>1</v>
          </cell>
          <cell r="F98">
            <v>5392.4415259537209</v>
          </cell>
          <cell r="G98">
            <v>5803.7804878048782</v>
          </cell>
          <cell r="H98">
            <v>1385</v>
          </cell>
          <cell r="I98">
            <v>0</v>
          </cell>
          <cell r="L98">
            <v>115</v>
          </cell>
          <cell r="M98">
            <v>0</v>
          </cell>
          <cell r="N98">
            <v>97</v>
          </cell>
          <cell r="O98">
            <v>0</v>
          </cell>
          <cell r="P98">
            <v>2</v>
          </cell>
          <cell r="Q98">
            <v>0</v>
          </cell>
          <cell r="R98">
            <v>1599</v>
          </cell>
          <cell r="S98">
            <v>0</v>
          </cell>
          <cell r="T98">
            <v>0</v>
          </cell>
          <cell r="U98">
            <v>0</v>
          </cell>
          <cell r="V98">
            <v>1599</v>
          </cell>
          <cell r="W98">
            <v>0</v>
          </cell>
          <cell r="X98">
            <v>8622514</v>
          </cell>
          <cell r="Y98">
            <v>9280245</v>
          </cell>
          <cell r="Z98">
            <v>1385</v>
          </cell>
          <cell r="AC98">
            <v>115</v>
          </cell>
          <cell r="AD98">
            <v>97</v>
          </cell>
          <cell r="AE98">
            <v>2</v>
          </cell>
          <cell r="AF98">
            <v>1599</v>
          </cell>
          <cell r="AG98">
            <v>1599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9">
          <cell r="B99">
            <v>101611</v>
          </cell>
          <cell r="C99" t="str">
            <v>Alps-S 20kg</v>
          </cell>
          <cell r="D99">
            <v>20</v>
          </cell>
          <cell r="E99">
            <v>1</v>
          </cell>
          <cell r="F99">
            <v>19697.580851063831</v>
          </cell>
          <cell r="G99">
            <v>21818.219148936168</v>
          </cell>
          <cell r="H99">
            <v>840</v>
          </cell>
          <cell r="I99">
            <v>0</v>
          </cell>
          <cell r="L99">
            <v>100</v>
          </cell>
          <cell r="M99">
            <v>0</v>
          </cell>
          <cell r="R99">
            <v>940</v>
          </cell>
          <cell r="S99">
            <v>0</v>
          </cell>
          <cell r="T99">
            <v>0</v>
          </cell>
          <cell r="U99">
            <v>0</v>
          </cell>
          <cell r="V99">
            <v>940</v>
          </cell>
          <cell r="W99">
            <v>0</v>
          </cell>
          <cell r="X99">
            <v>18515726</v>
          </cell>
          <cell r="Y99">
            <v>20509126</v>
          </cell>
          <cell r="Z99">
            <v>840</v>
          </cell>
          <cell r="AC99">
            <v>100</v>
          </cell>
          <cell r="AF99">
            <v>940</v>
          </cell>
          <cell r="AG99">
            <v>940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100">
          <cell r="B100">
            <v>101612</v>
          </cell>
          <cell r="C100" t="str">
            <v>Shanon 9kg</v>
          </cell>
          <cell r="D100">
            <v>9</v>
          </cell>
          <cell r="E100">
            <v>1</v>
          </cell>
          <cell r="F100">
            <v>9283.8200408997964</v>
          </cell>
          <cell r="G100">
            <v>10133.19427402863</v>
          </cell>
          <cell r="H100">
            <v>489</v>
          </cell>
          <cell r="I100">
            <v>0</v>
          </cell>
          <cell r="R100">
            <v>489</v>
          </cell>
          <cell r="S100">
            <v>0</v>
          </cell>
          <cell r="T100">
            <v>0</v>
          </cell>
          <cell r="U100">
            <v>0</v>
          </cell>
          <cell r="V100">
            <v>489</v>
          </cell>
          <cell r="W100">
            <v>0</v>
          </cell>
          <cell r="X100">
            <v>4539788</v>
          </cell>
          <cell r="Y100">
            <v>4955132</v>
          </cell>
          <cell r="Z100">
            <v>489</v>
          </cell>
          <cell r="AF100">
            <v>489</v>
          </cell>
          <cell r="AG100">
            <v>489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1">
          <cell r="B101">
            <v>101613</v>
          </cell>
          <cell r="C101" t="str">
            <v>Mokdong Gold 100 4.5kg</v>
          </cell>
          <cell r="D101">
            <v>4.5</v>
          </cell>
          <cell r="E101">
            <v>1</v>
          </cell>
          <cell r="F101">
            <v>6192.9131587153106</v>
          </cell>
          <cell r="G101">
            <v>6658.064390396009</v>
          </cell>
          <cell r="H101">
            <v>6064</v>
          </cell>
          <cell r="I101">
            <v>0</v>
          </cell>
          <cell r="J101">
            <v>300</v>
          </cell>
          <cell r="K101">
            <v>0</v>
          </cell>
          <cell r="L101">
            <v>50</v>
          </cell>
          <cell r="M101">
            <v>0</v>
          </cell>
          <cell r="R101">
            <v>6414</v>
          </cell>
          <cell r="S101">
            <v>0</v>
          </cell>
          <cell r="T101">
            <v>0</v>
          </cell>
          <cell r="U101">
            <v>0</v>
          </cell>
          <cell r="V101">
            <v>6414</v>
          </cell>
          <cell r="W101">
            <v>0</v>
          </cell>
          <cell r="X101">
            <v>39721345</v>
          </cell>
          <cell r="Y101">
            <v>42704825</v>
          </cell>
          <cell r="Z101">
            <v>6064</v>
          </cell>
          <cell r="AB101">
            <v>300</v>
          </cell>
          <cell r="AC101">
            <v>50</v>
          </cell>
          <cell r="AF101">
            <v>6414</v>
          </cell>
          <cell r="AG101">
            <v>6414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2">
          <cell r="B102">
            <v>101614</v>
          </cell>
          <cell r="C102" t="str">
            <v>Alps-S 3.3kg</v>
          </cell>
          <cell r="D102">
            <v>3.3</v>
          </cell>
          <cell r="E102">
            <v>1</v>
          </cell>
          <cell r="F102">
            <v>3429.9840109639104</v>
          </cell>
          <cell r="G102">
            <v>3753.9419826404751</v>
          </cell>
          <cell r="H102">
            <v>1939</v>
          </cell>
          <cell r="I102">
            <v>0</v>
          </cell>
          <cell r="L102">
            <v>250</v>
          </cell>
          <cell r="M102">
            <v>0</v>
          </cell>
          <cell r="R102">
            <v>2189</v>
          </cell>
          <cell r="S102">
            <v>0</v>
          </cell>
          <cell r="T102">
            <v>0</v>
          </cell>
          <cell r="U102">
            <v>0</v>
          </cell>
          <cell r="V102">
            <v>2189</v>
          </cell>
          <cell r="W102">
            <v>0</v>
          </cell>
          <cell r="X102">
            <v>7508235</v>
          </cell>
          <cell r="Y102">
            <v>8217379</v>
          </cell>
          <cell r="Z102">
            <v>1939</v>
          </cell>
          <cell r="AC102">
            <v>350</v>
          </cell>
          <cell r="AF102">
            <v>2289</v>
          </cell>
          <cell r="AG102">
            <v>2289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100</v>
          </cell>
          <cell r="AP102">
            <v>342998</v>
          </cell>
          <cell r="AQ102">
            <v>375394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100</v>
          </cell>
          <cell r="AY102">
            <v>342998</v>
          </cell>
          <cell r="AZ102">
            <v>375394</v>
          </cell>
        </row>
        <row r="103">
          <cell r="B103">
            <v>101615</v>
          </cell>
          <cell r="C103" t="str">
            <v>Alps-S 4.6kg</v>
          </cell>
          <cell r="D103">
            <v>4.5999999999999996</v>
          </cell>
          <cell r="E103">
            <v>1</v>
          </cell>
          <cell r="F103">
            <v>4688.666666666667</v>
          </cell>
          <cell r="G103">
            <v>5125.6279069767443</v>
          </cell>
          <cell r="H103">
            <v>1209</v>
          </cell>
          <cell r="I103">
            <v>0</v>
          </cell>
          <cell r="L103">
            <v>210</v>
          </cell>
          <cell r="M103">
            <v>0</v>
          </cell>
          <cell r="R103">
            <v>1419</v>
          </cell>
          <cell r="S103">
            <v>0</v>
          </cell>
          <cell r="T103">
            <v>0</v>
          </cell>
          <cell r="U103">
            <v>0</v>
          </cell>
          <cell r="V103">
            <v>1419</v>
          </cell>
          <cell r="W103">
            <v>0</v>
          </cell>
          <cell r="X103">
            <v>6653218</v>
          </cell>
          <cell r="Y103">
            <v>7273266</v>
          </cell>
          <cell r="Z103">
            <v>1209</v>
          </cell>
          <cell r="AC103">
            <v>260</v>
          </cell>
          <cell r="AF103">
            <v>1469</v>
          </cell>
          <cell r="AG103">
            <v>1469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50</v>
          </cell>
          <cell r="AP103">
            <v>234433</v>
          </cell>
          <cell r="AQ103">
            <v>256281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50</v>
          </cell>
          <cell r="AY103">
            <v>234433</v>
          </cell>
          <cell r="AZ103">
            <v>256281</v>
          </cell>
        </row>
        <row r="104">
          <cell r="B104">
            <v>101616</v>
          </cell>
          <cell r="C104" t="str">
            <v>S) 100 20kg</v>
          </cell>
          <cell r="D104">
            <v>20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1</v>
          </cell>
          <cell r="Y104">
            <v>2</v>
          </cell>
          <cell r="AF104">
            <v>0</v>
          </cell>
          <cell r="AG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</row>
        <row r="105">
          <cell r="B105">
            <v>101617</v>
          </cell>
          <cell r="C105" t="str">
            <v>New World 20kg</v>
          </cell>
          <cell r="D105">
            <v>20</v>
          </cell>
          <cell r="E105">
            <v>1</v>
          </cell>
          <cell r="F105">
            <v>20093.869897959183</v>
          </cell>
          <cell r="G105">
            <v>21925.295918367348</v>
          </cell>
          <cell r="H105">
            <v>392</v>
          </cell>
          <cell r="I105">
            <v>0</v>
          </cell>
          <cell r="R105">
            <v>392</v>
          </cell>
          <cell r="S105">
            <v>0</v>
          </cell>
          <cell r="T105">
            <v>0</v>
          </cell>
          <cell r="U105">
            <v>0</v>
          </cell>
          <cell r="V105">
            <v>392</v>
          </cell>
          <cell r="W105">
            <v>0</v>
          </cell>
          <cell r="X105">
            <v>7876797</v>
          </cell>
          <cell r="Y105">
            <v>8594716</v>
          </cell>
          <cell r="Z105">
            <v>392</v>
          </cell>
          <cell r="AF105">
            <v>392</v>
          </cell>
          <cell r="AG105">
            <v>392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</row>
        <row r="106">
          <cell r="B106">
            <v>101618</v>
          </cell>
          <cell r="C106" t="str">
            <v>Alps-S 7.7kg</v>
          </cell>
          <cell r="D106">
            <v>7.7</v>
          </cell>
          <cell r="E106">
            <v>1</v>
          </cell>
          <cell r="F106">
            <v>7724.0873671782765</v>
          </cell>
          <cell r="G106">
            <v>8544.7626918536007</v>
          </cell>
          <cell r="H106">
            <v>657</v>
          </cell>
          <cell r="I106">
            <v>0</v>
          </cell>
          <cell r="L106">
            <v>190</v>
          </cell>
          <cell r="M106">
            <v>0</v>
          </cell>
          <cell r="R106">
            <v>847</v>
          </cell>
          <cell r="S106">
            <v>0</v>
          </cell>
          <cell r="T106">
            <v>0</v>
          </cell>
          <cell r="U106">
            <v>0</v>
          </cell>
          <cell r="V106">
            <v>847</v>
          </cell>
          <cell r="W106">
            <v>0</v>
          </cell>
          <cell r="X106">
            <v>6542302</v>
          </cell>
          <cell r="Y106">
            <v>7237414</v>
          </cell>
          <cell r="Z106">
            <v>657</v>
          </cell>
          <cell r="AC106">
            <v>240</v>
          </cell>
          <cell r="AF106">
            <v>897</v>
          </cell>
          <cell r="AG106">
            <v>897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50</v>
          </cell>
          <cell r="AP106">
            <v>386204</v>
          </cell>
          <cell r="AQ106">
            <v>427238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50</v>
          </cell>
          <cell r="AY106">
            <v>386204</v>
          </cell>
          <cell r="AZ106">
            <v>427238</v>
          </cell>
        </row>
        <row r="107">
          <cell r="B107">
            <v>101620</v>
          </cell>
          <cell r="C107" t="str">
            <v>Fro Pie 2.5kg</v>
          </cell>
          <cell r="D107">
            <v>2.5</v>
          </cell>
          <cell r="E107">
            <v>6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20</v>
          </cell>
          <cell r="Y107">
            <v>21</v>
          </cell>
          <cell r="AF107">
            <v>0</v>
          </cell>
          <cell r="AG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</row>
        <row r="108">
          <cell r="B108">
            <v>101623</v>
          </cell>
          <cell r="C108" t="str">
            <v>IMF 4.5kg</v>
          </cell>
          <cell r="D108">
            <v>4.5</v>
          </cell>
          <cell r="E108">
            <v>1</v>
          </cell>
          <cell r="F108">
            <v>5948.7198399085191</v>
          </cell>
          <cell r="G108">
            <v>6418.9251000571758</v>
          </cell>
          <cell r="H108">
            <v>1039</v>
          </cell>
          <cell r="I108">
            <v>0</v>
          </cell>
          <cell r="J108">
            <v>423</v>
          </cell>
          <cell r="K108">
            <v>0</v>
          </cell>
          <cell r="L108">
            <v>187</v>
          </cell>
          <cell r="M108">
            <v>0</v>
          </cell>
          <cell r="P108">
            <v>100</v>
          </cell>
          <cell r="Q108">
            <v>0</v>
          </cell>
          <cell r="R108">
            <v>1749</v>
          </cell>
          <cell r="S108">
            <v>0</v>
          </cell>
          <cell r="T108">
            <v>0</v>
          </cell>
          <cell r="U108">
            <v>0</v>
          </cell>
          <cell r="V108">
            <v>1749</v>
          </cell>
          <cell r="W108">
            <v>0</v>
          </cell>
          <cell r="X108">
            <v>10404311</v>
          </cell>
          <cell r="Y108">
            <v>11226700</v>
          </cell>
          <cell r="Z108">
            <v>1039</v>
          </cell>
          <cell r="AB108">
            <v>423</v>
          </cell>
          <cell r="AC108">
            <v>187</v>
          </cell>
          <cell r="AE108">
            <v>100</v>
          </cell>
          <cell r="AF108">
            <v>1749</v>
          </cell>
          <cell r="AG108">
            <v>1749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9">
          <cell r="B109">
            <v>101625</v>
          </cell>
          <cell r="C109" t="str">
            <v>Mokdong-K 4.5kg</v>
          </cell>
          <cell r="D109">
            <v>4.5</v>
          </cell>
          <cell r="E109">
            <v>1</v>
          </cell>
          <cell r="F109">
            <v>5809.1405672009869</v>
          </cell>
          <cell r="G109">
            <v>6258.3292231812575</v>
          </cell>
          <cell r="H109">
            <v>1622</v>
          </cell>
          <cell r="I109">
            <v>0</v>
          </cell>
          <cell r="R109">
            <v>1622</v>
          </cell>
          <cell r="S109">
            <v>0</v>
          </cell>
          <cell r="T109">
            <v>0</v>
          </cell>
          <cell r="U109">
            <v>0</v>
          </cell>
          <cell r="V109">
            <v>1622</v>
          </cell>
          <cell r="W109">
            <v>0</v>
          </cell>
          <cell r="X109">
            <v>9422426</v>
          </cell>
          <cell r="Y109">
            <v>10151010</v>
          </cell>
          <cell r="Z109">
            <v>1622</v>
          </cell>
          <cell r="AF109">
            <v>1622</v>
          </cell>
          <cell r="AG109">
            <v>1622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10">
          <cell r="B110">
            <v>101627</v>
          </cell>
          <cell r="C110" t="str">
            <v>Big Deal 4.5kg</v>
          </cell>
          <cell r="D110">
            <v>4.5</v>
          </cell>
          <cell r="E110">
            <v>1</v>
          </cell>
          <cell r="F110">
            <v>6306.0306851618325</v>
          </cell>
          <cell r="G110">
            <v>6769.6569987389657</v>
          </cell>
          <cell r="H110">
            <v>1929</v>
          </cell>
          <cell r="I110">
            <v>0</v>
          </cell>
          <cell r="J110">
            <v>249</v>
          </cell>
          <cell r="K110">
            <v>0</v>
          </cell>
          <cell r="L110">
            <v>10</v>
          </cell>
          <cell r="M110">
            <v>0</v>
          </cell>
          <cell r="N110">
            <v>29</v>
          </cell>
          <cell r="O110">
            <v>0</v>
          </cell>
          <cell r="P110">
            <v>162</v>
          </cell>
          <cell r="Q110">
            <v>0</v>
          </cell>
          <cell r="R110">
            <v>2379</v>
          </cell>
          <cell r="S110">
            <v>0</v>
          </cell>
          <cell r="T110">
            <v>0</v>
          </cell>
          <cell r="U110">
            <v>0</v>
          </cell>
          <cell r="V110">
            <v>2379</v>
          </cell>
          <cell r="W110">
            <v>0</v>
          </cell>
          <cell r="X110">
            <v>15002047</v>
          </cell>
          <cell r="Y110">
            <v>16105014</v>
          </cell>
          <cell r="Z110">
            <v>1929</v>
          </cell>
          <cell r="AB110">
            <v>249</v>
          </cell>
          <cell r="AC110">
            <v>10</v>
          </cell>
          <cell r="AD110">
            <v>29</v>
          </cell>
          <cell r="AE110">
            <v>162</v>
          </cell>
          <cell r="AF110">
            <v>2379</v>
          </cell>
          <cell r="AG110">
            <v>2379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1">
          <cell r="B111">
            <v>101628</v>
          </cell>
          <cell r="C111" t="str">
            <v>Asians 2.5kg</v>
          </cell>
          <cell r="D111">
            <v>2.5</v>
          </cell>
          <cell r="E111">
            <v>6</v>
          </cell>
          <cell r="F111">
            <v>19687.703862660943</v>
          </cell>
          <cell r="G111">
            <v>21197.141630901289</v>
          </cell>
          <cell r="H111">
            <v>228</v>
          </cell>
          <cell r="I111">
            <v>0</v>
          </cell>
          <cell r="L111">
            <v>5</v>
          </cell>
          <cell r="M111">
            <v>0</v>
          </cell>
          <cell r="R111">
            <v>233</v>
          </cell>
          <cell r="S111">
            <v>0</v>
          </cell>
          <cell r="T111">
            <v>0</v>
          </cell>
          <cell r="U111">
            <v>0</v>
          </cell>
          <cell r="V111">
            <v>233</v>
          </cell>
          <cell r="W111">
            <v>0</v>
          </cell>
          <cell r="X111">
            <v>4587235</v>
          </cell>
          <cell r="Y111">
            <v>4938934</v>
          </cell>
          <cell r="Z111">
            <v>228</v>
          </cell>
          <cell r="AC111">
            <v>5</v>
          </cell>
          <cell r="AF111">
            <v>233</v>
          </cell>
          <cell r="AG111">
            <v>233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</row>
        <row r="112">
          <cell r="B112">
            <v>101631</v>
          </cell>
          <cell r="C112" t="str">
            <v>New Elise 6.75kg</v>
          </cell>
          <cell r="D112">
            <v>6.75</v>
          </cell>
          <cell r="E112">
            <v>1</v>
          </cell>
          <cell r="F112">
            <v>0</v>
          </cell>
          <cell r="G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AF112">
            <v>0</v>
          </cell>
          <cell r="AG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3">
          <cell r="B113">
            <v>101634</v>
          </cell>
          <cell r="C113" t="str">
            <v>Amma-Somssy 450g</v>
          </cell>
          <cell r="D113">
            <v>0.45</v>
          </cell>
          <cell r="E113">
            <v>6</v>
          </cell>
          <cell r="F113">
            <v>5853.3171070931849</v>
          </cell>
          <cell r="G113">
            <v>6092.4200278164117</v>
          </cell>
          <cell r="H113">
            <v>577</v>
          </cell>
          <cell r="I113">
            <v>0</v>
          </cell>
          <cell r="J113">
            <v>5</v>
          </cell>
          <cell r="K113">
            <v>0</v>
          </cell>
          <cell r="L113">
            <v>19</v>
          </cell>
          <cell r="M113">
            <v>0</v>
          </cell>
          <cell r="N113">
            <v>50</v>
          </cell>
          <cell r="O113">
            <v>0</v>
          </cell>
          <cell r="P113">
            <v>68</v>
          </cell>
          <cell r="Q113">
            <v>0</v>
          </cell>
          <cell r="R113">
            <v>719</v>
          </cell>
          <cell r="S113">
            <v>0</v>
          </cell>
          <cell r="T113">
            <v>0</v>
          </cell>
          <cell r="U113">
            <v>0</v>
          </cell>
          <cell r="V113">
            <v>719</v>
          </cell>
          <cell r="W113">
            <v>0</v>
          </cell>
          <cell r="X113">
            <v>4208535</v>
          </cell>
          <cell r="Y113">
            <v>4380450</v>
          </cell>
          <cell r="Z113">
            <v>577</v>
          </cell>
          <cell r="AB113">
            <v>5</v>
          </cell>
          <cell r="AC113">
            <v>19</v>
          </cell>
          <cell r="AD113">
            <v>50</v>
          </cell>
          <cell r="AE113">
            <v>68</v>
          </cell>
          <cell r="AF113">
            <v>719</v>
          </cell>
          <cell r="AG113">
            <v>719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4">
          <cell r="B114">
            <v>101637</v>
          </cell>
          <cell r="C114" t="str">
            <v>Mokdong Gold 100 20kg</v>
          </cell>
          <cell r="D114">
            <v>20</v>
          </cell>
          <cell r="E114">
            <v>1</v>
          </cell>
          <cell r="F114">
            <v>27058.472527472528</v>
          </cell>
          <cell r="G114">
            <v>29241.186813186814</v>
          </cell>
          <cell r="H114">
            <v>243</v>
          </cell>
          <cell r="I114">
            <v>0</v>
          </cell>
          <cell r="L114">
            <v>30</v>
          </cell>
          <cell r="M114">
            <v>0</v>
          </cell>
          <cell r="R114">
            <v>273</v>
          </cell>
          <cell r="S114">
            <v>0</v>
          </cell>
          <cell r="T114">
            <v>0</v>
          </cell>
          <cell r="U114">
            <v>0</v>
          </cell>
          <cell r="V114">
            <v>273</v>
          </cell>
          <cell r="W114">
            <v>0</v>
          </cell>
          <cell r="X114">
            <v>7386963</v>
          </cell>
          <cell r="Y114">
            <v>7982844</v>
          </cell>
          <cell r="Z114">
            <v>243</v>
          </cell>
          <cell r="AC114">
            <v>60</v>
          </cell>
          <cell r="AF114">
            <v>303</v>
          </cell>
          <cell r="AG114">
            <v>303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30</v>
          </cell>
          <cell r="AP114">
            <v>811754</v>
          </cell>
          <cell r="AQ114">
            <v>877236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30</v>
          </cell>
          <cell r="AY114">
            <v>811754</v>
          </cell>
          <cell r="AZ114">
            <v>877236</v>
          </cell>
        </row>
        <row r="115">
          <cell r="B115">
            <v>101640</v>
          </cell>
          <cell r="C115" t="str">
            <v>Magellan 4.5kg</v>
          </cell>
          <cell r="D115">
            <v>4.5</v>
          </cell>
          <cell r="E115">
            <v>1</v>
          </cell>
          <cell r="F115">
            <v>4111.4430808294537</v>
          </cell>
          <cell r="G115">
            <v>4520.0126957257726</v>
          </cell>
          <cell r="H115">
            <v>1895</v>
          </cell>
          <cell r="I115">
            <v>0</v>
          </cell>
          <cell r="N115">
            <v>468</v>
          </cell>
          <cell r="O115">
            <v>0</v>
          </cell>
          <cell r="R115">
            <v>2363</v>
          </cell>
          <cell r="S115">
            <v>0</v>
          </cell>
          <cell r="T115">
            <v>0</v>
          </cell>
          <cell r="U115">
            <v>0</v>
          </cell>
          <cell r="V115">
            <v>2363</v>
          </cell>
          <cell r="W115">
            <v>0</v>
          </cell>
          <cell r="X115">
            <v>9715340</v>
          </cell>
          <cell r="Y115">
            <v>10680790</v>
          </cell>
          <cell r="Z115">
            <v>1895</v>
          </cell>
          <cell r="AD115">
            <v>468</v>
          </cell>
          <cell r="AF115">
            <v>2363</v>
          </cell>
          <cell r="AG115">
            <v>2363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6">
          <cell r="B116">
            <v>101651</v>
          </cell>
          <cell r="C116" t="str">
            <v>Marina-C 4.5kg</v>
          </cell>
          <cell r="D116">
            <v>4.5</v>
          </cell>
          <cell r="E116">
            <v>1</v>
          </cell>
          <cell r="F116">
            <v>7145.5320456540821</v>
          </cell>
          <cell r="G116">
            <v>7635.70412642669</v>
          </cell>
          <cell r="H116">
            <v>1139</v>
          </cell>
          <cell r="I116">
            <v>0</v>
          </cell>
          <cell r="R116">
            <v>1139</v>
          </cell>
          <cell r="S116">
            <v>0</v>
          </cell>
          <cell r="T116">
            <v>0</v>
          </cell>
          <cell r="U116">
            <v>0</v>
          </cell>
          <cell r="V116">
            <v>1139</v>
          </cell>
          <cell r="W116">
            <v>0</v>
          </cell>
          <cell r="X116">
            <v>8138761</v>
          </cell>
          <cell r="Y116">
            <v>8697067</v>
          </cell>
          <cell r="Z116">
            <v>1139</v>
          </cell>
          <cell r="AF116">
            <v>1139</v>
          </cell>
          <cell r="AG116">
            <v>1139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7">
          <cell r="B117">
            <v>101681</v>
          </cell>
          <cell r="C117" t="str">
            <v>Korombo 1.5kg</v>
          </cell>
          <cell r="D117">
            <v>1.5</v>
          </cell>
          <cell r="E117">
            <v>10</v>
          </cell>
          <cell r="F117">
            <v>17020.225806451614</v>
          </cell>
          <cell r="G117">
            <v>18534.017137096773</v>
          </cell>
          <cell r="H117">
            <v>992</v>
          </cell>
          <cell r="I117">
            <v>0</v>
          </cell>
          <cell r="R117">
            <v>992</v>
          </cell>
          <cell r="S117">
            <v>0</v>
          </cell>
          <cell r="T117">
            <v>0</v>
          </cell>
          <cell r="U117">
            <v>0</v>
          </cell>
          <cell r="V117">
            <v>992</v>
          </cell>
          <cell r="W117">
            <v>0</v>
          </cell>
          <cell r="X117">
            <v>16884064</v>
          </cell>
          <cell r="Y117">
            <v>18385745</v>
          </cell>
          <cell r="Z117">
            <v>992</v>
          </cell>
          <cell r="AF117">
            <v>992</v>
          </cell>
          <cell r="AG117">
            <v>992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8">
          <cell r="B118">
            <v>101701</v>
          </cell>
          <cell r="C118" t="str">
            <v>Export S) 450g</v>
          </cell>
          <cell r="D118">
            <v>0.45</v>
          </cell>
          <cell r="E118">
            <v>20</v>
          </cell>
          <cell r="F118">
            <v>0</v>
          </cell>
          <cell r="G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AF118">
            <v>0</v>
          </cell>
          <cell r="AG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9">
          <cell r="B119">
            <v>103002</v>
          </cell>
          <cell r="C119" t="str">
            <v>800 20kg</v>
          </cell>
          <cell r="D119">
            <v>20</v>
          </cell>
          <cell r="E119">
            <v>1</v>
          </cell>
          <cell r="F119">
            <v>0</v>
          </cell>
          <cell r="G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AF119">
            <v>0</v>
          </cell>
          <cell r="AG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</row>
        <row r="120">
          <cell r="B120">
            <v>103003</v>
          </cell>
          <cell r="C120" t="str">
            <v>Pri Mix 20kg</v>
          </cell>
          <cell r="D120">
            <v>20</v>
          </cell>
          <cell r="E120">
            <v>1</v>
          </cell>
          <cell r="F120">
            <v>0</v>
          </cell>
          <cell r="G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AF120">
            <v>0</v>
          </cell>
          <cell r="AG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1">
          <cell r="B121">
            <v>103005</v>
          </cell>
          <cell r="C121" t="str">
            <v>New Star 13kg</v>
          </cell>
          <cell r="D121">
            <v>13</v>
          </cell>
          <cell r="E121">
            <v>1</v>
          </cell>
          <cell r="F121">
            <v>0</v>
          </cell>
          <cell r="G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AF121">
            <v>0</v>
          </cell>
          <cell r="AG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2">
          <cell r="B122">
            <v>103007</v>
          </cell>
          <cell r="C122" t="str">
            <v>Cream 12.5kg</v>
          </cell>
          <cell r="D122">
            <v>12.5</v>
          </cell>
          <cell r="E122">
            <v>1</v>
          </cell>
          <cell r="F122">
            <v>15797.442307692309</v>
          </cell>
          <cell r="G122">
            <v>17098.670329670331</v>
          </cell>
          <cell r="H122">
            <v>364</v>
          </cell>
          <cell r="I122">
            <v>0</v>
          </cell>
          <cell r="R122">
            <v>364</v>
          </cell>
          <cell r="S122">
            <v>0</v>
          </cell>
          <cell r="T122">
            <v>0</v>
          </cell>
          <cell r="U122">
            <v>0</v>
          </cell>
          <cell r="V122">
            <v>364</v>
          </cell>
          <cell r="W122">
            <v>0</v>
          </cell>
          <cell r="X122">
            <v>5750269</v>
          </cell>
          <cell r="Y122">
            <v>6223916</v>
          </cell>
          <cell r="Z122">
            <v>364</v>
          </cell>
          <cell r="AF122">
            <v>364</v>
          </cell>
          <cell r="AG122">
            <v>364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</row>
        <row r="123">
          <cell r="B123">
            <v>103020</v>
          </cell>
          <cell r="C123" t="str">
            <v>10P (COMMON)</v>
          </cell>
          <cell r="D123">
            <v>4.5</v>
          </cell>
          <cell r="E123">
            <v>1</v>
          </cell>
          <cell r="F123">
            <v>4487.9318818040438</v>
          </cell>
          <cell r="G123">
            <v>4848.4951788491444</v>
          </cell>
          <cell r="H123">
            <v>2365</v>
          </cell>
          <cell r="I123">
            <v>0</v>
          </cell>
          <cell r="J123">
            <v>294</v>
          </cell>
          <cell r="K123">
            <v>0</v>
          </cell>
          <cell r="L123">
            <v>121</v>
          </cell>
          <cell r="M123">
            <v>0</v>
          </cell>
          <cell r="N123">
            <v>284</v>
          </cell>
          <cell r="O123">
            <v>0</v>
          </cell>
          <cell r="P123">
            <v>151</v>
          </cell>
          <cell r="Q123">
            <v>0</v>
          </cell>
          <cell r="R123">
            <v>3215</v>
          </cell>
          <cell r="S123">
            <v>0</v>
          </cell>
          <cell r="T123">
            <v>0</v>
          </cell>
          <cell r="U123">
            <v>0</v>
          </cell>
          <cell r="V123">
            <v>3215</v>
          </cell>
          <cell r="W123">
            <v>0</v>
          </cell>
          <cell r="X123">
            <v>14428701</v>
          </cell>
          <cell r="Y123">
            <v>15587912</v>
          </cell>
          <cell r="Z123">
            <v>2365</v>
          </cell>
          <cell r="AB123">
            <v>294</v>
          </cell>
          <cell r="AC123">
            <v>121</v>
          </cell>
          <cell r="AD123">
            <v>284</v>
          </cell>
          <cell r="AE123">
            <v>151</v>
          </cell>
          <cell r="AF123">
            <v>3215</v>
          </cell>
          <cell r="AG123">
            <v>3215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4">
          <cell r="B124">
            <v>103050</v>
          </cell>
          <cell r="C124" t="str">
            <v>14KG (CAN)</v>
          </cell>
          <cell r="D124">
            <v>14</v>
          </cell>
          <cell r="E124">
            <v>1</v>
          </cell>
          <cell r="F124">
            <v>14926.813909774437</v>
          </cell>
          <cell r="G124">
            <v>16416.112781954886</v>
          </cell>
          <cell r="H124">
            <v>404</v>
          </cell>
          <cell r="I124">
            <v>0</v>
          </cell>
          <cell r="L124">
            <v>71</v>
          </cell>
          <cell r="M124">
            <v>0</v>
          </cell>
          <cell r="N124">
            <v>57</v>
          </cell>
          <cell r="O124">
            <v>0</v>
          </cell>
          <cell r="P124">
            <v>0</v>
          </cell>
          <cell r="Q124">
            <v>0</v>
          </cell>
          <cell r="R124">
            <v>532</v>
          </cell>
          <cell r="S124">
            <v>0</v>
          </cell>
          <cell r="T124">
            <v>0</v>
          </cell>
          <cell r="U124">
            <v>0</v>
          </cell>
          <cell r="V124">
            <v>532</v>
          </cell>
          <cell r="W124">
            <v>0</v>
          </cell>
          <cell r="X124">
            <v>7941065</v>
          </cell>
          <cell r="Y124">
            <v>8733372</v>
          </cell>
          <cell r="Z124">
            <v>404</v>
          </cell>
          <cell r="AC124">
            <v>71</v>
          </cell>
          <cell r="AD124">
            <v>57</v>
          </cell>
          <cell r="AF124">
            <v>532</v>
          </cell>
          <cell r="AG124">
            <v>532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5">
          <cell r="B125">
            <v>103052</v>
          </cell>
          <cell r="C125" t="str">
            <v>14KG (BOX)</v>
          </cell>
          <cell r="D125">
            <v>14</v>
          </cell>
          <cell r="E125">
            <v>1</v>
          </cell>
          <cell r="F125">
            <v>13690.921810699589</v>
          </cell>
          <cell r="G125">
            <v>14854.193415637859</v>
          </cell>
          <cell r="H125">
            <v>2694</v>
          </cell>
          <cell r="I125">
            <v>0</v>
          </cell>
          <cell r="J125">
            <v>46</v>
          </cell>
          <cell r="K125">
            <v>0</v>
          </cell>
          <cell r="L125">
            <v>55</v>
          </cell>
          <cell r="M125">
            <v>0</v>
          </cell>
          <cell r="N125">
            <v>33</v>
          </cell>
          <cell r="O125">
            <v>0</v>
          </cell>
          <cell r="P125">
            <v>88</v>
          </cell>
          <cell r="Q125">
            <v>0</v>
          </cell>
          <cell r="R125">
            <v>2916</v>
          </cell>
          <cell r="S125">
            <v>0</v>
          </cell>
          <cell r="T125">
            <v>0</v>
          </cell>
          <cell r="U125">
            <v>0</v>
          </cell>
          <cell r="V125">
            <v>2916</v>
          </cell>
          <cell r="W125">
            <v>0</v>
          </cell>
          <cell r="X125">
            <v>39922728</v>
          </cell>
          <cell r="Y125">
            <v>43314828</v>
          </cell>
          <cell r="Z125">
            <v>2694</v>
          </cell>
          <cell r="AB125">
            <v>46</v>
          </cell>
          <cell r="AC125">
            <v>55</v>
          </cell>
          <cell r="AD125">
            <v>33</v>
          </cell>
          <cell r="AE125">
            <v>88</v>
          </cell>
          <cell r="AF125">
            <v>2916</v>
          </cell>
          <cell r="AG125">
            <v>2916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6">
          <cell r="B126">
            <v>103054</v>
          </cell>
          <cell r="C126" t="str">
            <v>LARD 14KG</v>
          </cell>
          <cell r="D126">
            <v>14</v>
          </cell>
          <cell r="E126">
            <v>1</v>
          </cell>
          <cell r="F126">
            <v>13082.631914893616</v>
          </cell>
          <cell r="G126">
            <v>14310.579787234043</v>
          </cell>
          <cell r="H126">
            <v>601</v>
          </cell>
          <cell r="I126">
            <v>0</v>
          </cell>
          <cell r="J126">
            <v>16</v>
          </cell>
          <cell r="K126">
            <v>0</v>
          </cell>
          <cell r="N126">
            <v>20</v>
          </cell>
          <cell r="O126">
            <v>0</v>
          </cell>
          <cell r="P126">
            <v>303</v>
          </cell>
          <cell r="Q126">
            <v>0</v>
          </cell>
          <cell r="R126">
            <v>940</v>
          </cell>
          <cell r="S126">
            <v>0</v>
          </cell>
          <cell r="T126">
            <v>0</v>
          </cell>
          <cell r="U126">
            <v>0</v>
          </cell>
          <cell r="V126">
            <v>940</v>
          </cell>
          <cell r="W126">
            <v>0</v>
          </cell>
          <cell r="X126">
            <v>12297674</v>
          </cell>
          <cell r="Y126">
            <v>13451945</v>
          </cell>
          <cell r="Z126">
            <v>601</v>
          </cell>
          <cell r="AB126">
            <v>16</v>
          </cell>
          <cell r="AD126">
            <v>20</v>
          </cell>
          <cell r="AE126">
            <v>303</v>
          </cell>
          <cell r="AF126">
            <v>940</v>
          </cell>
          <cell r="AG126">
            <v>940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B127">
            <v>103055</v>
          </cell>
          <cell r="C127" t="str">
            <v>Lard 3.5kg</v>
          </cell>
          <cell r="D127">
            <v>3.5</v>
          </cell>
          <cell r="E127">
            <v>1</v>
          </cell>
          <cell r="F127">
            <v>3187.4389438943895</v>
          </cell>
          <cell r="G127">
            <v>3477.5027502750277</v>
          </cell>
          <cell r="H127">
            <v>579</v>
          </cell>
          <cell r="I127">
            <v>0</v>
          </cell>
          <cell r="L127">
            <v>330</v>
          </cell>
          <cell r="M127">
            <v>0</v>
          </cell>
          <cell r="R127">
            <v>909</v>
          </cell>
          <cell r="S127">
            <v>0</v>
          </cell>
          <cell r="T127">
            <v>0</v>
          </cell>
          <cell r="U127">
            <v>0</v>
          </cell>
          <cell r="V127">
            <v>909</v>
          </cell>
          <cell r="W127">
            <v>0</v>
          </cell>
          <cell r="X127">
            <v>2897382</v>
          </cell>
          <cell r="Y127">
            <v>3161050</v>
          </cell>
          <cell r="Z127">
            <v>579</v>
          </cell>
          <cell r="AC127">
            <v>330</v>
          </cell>
          <cell r="AF127">
            <v>909</v>
          </cell>
          <cell r="AG127">
            <v>909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8">
          <cell r="B128">
            <v>103057</v>
          </cell>
          <cell r="C128" t="str">
            <v>Lard 20kg</v>
          </cell>
          <cell r="D128">
            <v>20</v>
          </cell>
          <cell r="E128">
            <v>1</v>
          </cell>
          <cell r="F128">
            <v>17118.548728813559</v>
          </cell>
          <cell r="G128">
            <v>18999.819915254237</v>
          </cell>
          <cell r="H128">
            <v>422</v>
          </cell>
          <cell r="I128">
            <v>0</v>
          </cell>
          <cell r="J128">
            <v>50</v>
          </cell>
          <cell r="K128">
            <v>0</v>
          </cell>
          <cell r="R128">
            <v>472</v>
          </cell>
          <cell r="S128">
            <v>0</v>
          </cell>
          <cell r="T128">
            <v>0</v>
          </cell>
          <cell r="U128">
            <v>0</v>
          </cell>
          <cell r="V128">
            <v>472</v>
          </cell>
          <cell r="W128">
            <v>0</v>
          </cell>
          <cell r="X128">
            <v>8079955</v>
          </cell>
          <cell r="Y128">
            <v>8967915</v>
          </cell>
          <cell r="Z128">
            <v>422</v>
          </cell>
          <cell r="AB128">
            <v>50</v>
          </cell>
          <cell r="AF128">
            <v>472</v>
          </cell>
          <cell r="AG128">
            <v>472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9">
          <cell r="B129">
            <v>103058</v>
          </cell>
          <cell r="C129" t="str">
            <v>Lard-S 10kg</v>
          </cell>
          <cell r="D129">
            <v>10</v>
          </cell>
          <cell r="E129">
            <v>1</v>
          </cell>
          <cell r="F129">
            <v>8729.3786191536747</v>
          </cell>
          <cell r="G129">
            <v>9505.2249443207129</v>
          </cell>
          <cell r="H129">
            <v>449</v>
          </cell>
          <cell r="I129">
            <v>0</v>
          </cell>
          <cell r="R129">
            <v>449</v>
          </cell>
          <cell r="S129">
            <v>0</v>
          </cell>
          <cell r="T129">
            <v>0</v>
          </cell>
          <cell r="U129">
            <v>0</v>
          </cell>
          <cell r="V129">
            <v>449</v>
          </cell>
          <cell r="W129">
            <v>0</v>
          </cell>
          <cell r="X129">
            <v>3919491</v>
          </cell>
          <cell r="Y129">
            <v>4267846</v>
          </cell>
          <cell r="Z129">
            <v>449</v>
          </cell>
          <cell r="AF129">
            <v>449</v>
          </cell>
          <cell r="AG129">
            <v>449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30">
          <cell r="B130">
            <v>103084</v>
          </cell>
          <cell r="C130" t="str">
            <v>V 100 22KG</v>
          </cell>
          <cell r="D130">
            <v>22</v>
          </cell>
          <cell r="E130">
            <v>1</v>
          </cell>
          <cell r="F130">
            <v>27359.867857142857</v>
          </cell>
          <cell r="G130">
            <v>29873.567857142858</v>
          </cell>
          <cell r="H130">
            <v>280</v>
          </cell>
          <cell r="I130">
            <v>0</v>
          </cell>
          <cell r="P130">
            <v>0</v>
          </cell>
          <cell r="Q130">
            <v>0</v>
          </cell>
          <cell r="R130">
            <v>280</v>
          </cell>
          <cell r="S130">
            <v>0</v>
          </cell>
          <cell r="T130">
            <v>0</v>
          </cell>
          <cell r="U130">
            <v>0</v>
          </cell>
          <cell r="V130">
            <v>280</v>
          </cell>
          <cell r="W130">
            <v>0</v>
          </cell>
          <cell r="X130">
            <v>7660763</v>
          </cell>
          <cell r="Y130">
            <v>8364599</v>
          </cell>
          <cell r="Z130">
            <v>280</v>
          </cell>
          <cell r="AF130">
            <v>280</v>
          </cell>
          <cell r="AG130">
            <v>280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B131">
            <v>103094</v>
          </cell>
          <cell r="C131" t="str">
            <v>V 300 27kg</v>
          </cell>
          <cell r="D131">
            <v>27</v>
          </cell>
          <cell r="E131">
            <v>1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-3</v>
          </cell>
          <cell r="Y131">
            <v>9</v>
          </cell>
          <cell r="AF131">
            <v>0</v>
          </cell>
          <cell r="AG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2">
          <cell r="B132">
            <v>103099</v>
          </cell>
          <cell r="C132" t="str">
            <v>Vegetable 400 27kg</v>
          </cell>
          <cell r="D132">
            <v>27</v>
          </cell>
          <cell r="E132">
            <v>1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2</v>
          </cell>
          <cell r="Y132">
            <v>2</v>
          </cell>
          <cell r="AF132">
            <v>0</v>
          </cell>
          <cell r="AG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3">
          <cell r="B133">
            <v>103100</v>
          </cell>
          <cell r="C133" t="str">
            <v>Vegetable 400 24kg</v>
          </cell>
          <cell r="D133">
            <v>24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-1</v>
          </cell>
          <cell r="Y133">
            <v>1</v>
          </cell>
          <cell r="AF133">
            <v>0</v>
          </cell>
          <cell r="AG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</row>
        <row r="134">
          <cell r="B134">
            <v>103110</v>
          </cell>
          <cell r="C134" t="str">
            <v>60P (COMMON)</v>
          </cell>
          <cell r="D134">
            <v>27</v>
          </cell>
          <cell r="E134">
            <v>1</v>
          </cell>
          <cell r="F134">
            <v>0</v>
          </cell>
          <cell r="G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AF134">
            <v>0</v>
          </cell>
          <cell r="AG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5">
          <cell r="B135">
            <v>103111</v>
          </cell>
          <cell r="C135" t="str">
            <v>60P (BAKERY)</v>
          </cell>
          <cell r="D135">
            <v>27</v>
          </cell>
          <cell r="E135">
            <v>1</v>
          </cell>
          <cell r="F135">
            <v>26132.75568181818</v>
          </cell>
          <cell r="G135">
            <v>28334.65056818182</v>
          </cell>
          <cell r="H135">
            <v>352</v>
          </cell>
          <cell r="I135">
            <v>0</v>
          </cell>
          <cell r="R135">
            <v>352</v>
          </cell>
          <cell r="S135">
            <v>0</v>
          </cell>
          <cell r="T135">
            <v>0</v>
          </cell>
          <cell r="U135">
            <v>0</v>
          </cell>
          <cell r="V135">
            <v>352</v>
          </cell>
          <cell r="W135">
            <v>0</v>
          </cell>
          <cell r="X135">
            <v>9198730</v>
          </cell>
          <cell r="Y135">
            <v>9973797</v>
          </cell>
          <cell r="Z135">
            <v>352</v>
          </cell>
          <cell r="AF135">
            <v>352</v>
          </cell>
          <cell r="AG135">
            <v>352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6">
          <cell r="B136">
            <v>103112</v>
          </cell>
          <cell r="C136" t="str">
            <v>LARD 60P</v>
          </cell>
          <cell r="D136">
            <v>27</v>
          </cell>
          <cell r="E136">
            <v>1</v>
          </cell>
          <cell r="F136">
            <v>23030.083333333332</v>
          </cell>
          <cell r="G136">
            <v>25400.875</v>
          </cell>
          <cell r="H136">
            <v>24</v>
          </cell>
          <cell r="I136">
            <v>0</v>
          </cell>
          <cell r="R136">
            <v>24</v>
          </cell>
          <cell r="S136">
            <v>0</v>
          </cell>
          <cell r="T136">
            <v>0</v>
          </cell>
          <cell r="U136">
            <v>0</v>
          </cell>
          <cell r="V136">
            <v>24</v>
          </cell>
          <cell r="W136">
            <v>0</v>
          </cell>
          <cell r="X136">
            <v>552722</v>
          </cell>
          <cell r="Y136">
            <v>609621</v>
          </cell>
          <cell r="Z136">
            <v>24</v>
          </cell>
          <cell r="AF136">
            <v>24</v>
          </cell>
          <cell r="AG136">
            <v>24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</row>
        <row r="137">
          <cell r="B137">
            <v>103116</v>
          </cell>
          <cell r="C137" t="str">
            <v>NEW STAR 60P (DONGYANG)</v>
          </cell>
          <cell r="D137">
            <v>27</v>
          </cell>
          <cell r="E137">
            <v>1</v>
          </cell>
          <cell r="F137">
            <v>29888.016260162603</v>
          </cell>
          <cell r="G137">
            <v>32080.506775067752</v>
          </cell>
          <cell r="H137">
            <v>369</v>
          </cell>
          <cell r="I137">
            <v>0</v>
          </cell>
          <cell r="R137">
            <v>369</v>
          </cell>
          <cell r="S137">
            <v>0</v>
          </cell>
          <cell r="T137">
            <v>0</v>
          </cell>
          <cell r="U137">
            <v>0</v>
          </cell>
          <cell r="V137">
            <v>369</v>
          </cell>
          <cell r="W137">
            <v>0</v>
          </cell>
          <cell r="X137">
            <v>11028678</v>
          </cell>
          <cell r="Y137">
            <v>11837707</v>
          </cell>
          <cell r="Z137">
            <v>369</v>
          </cell>
          <cell r="AF137">
            <v>369</v>
          </cell>
          <cell r="AG137">
            <v>369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8">
          <cell r="B138">
            <v>103117</v>
          </cell>
          <cell r="C138" t="str">
            <v>NEW STAR 20KG</v>
          </cell>
          <cell r="D138">
            <v>20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AF138">
            <v>0</v>
          </cell>
          <cell r="AG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B139">
            <v>103121</v>
          </cell>
          <cell r="C139" t="str">
            <v>ALPS 400 27KG</v>
          </cell>
          <cell r="D139">
            <v>27</v>
          </cell>
          <cell r="E139">
            <v>1</v>
          </cell>
          <cell r="F139">
            <v>0</v>
          </cell>
          <cell r="G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AF139">
            <v>0</v>
          </cell>
          <cell r="AG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40">
          <cell r="B140">
            <v>103124</v>
          </cell>
          <cell r="C140" t="str">
            <v>LILAC 100 27KG</v>
          </cell>
          <cell r="D140">
            <v>27</v>
          </cell>
          <cell r="E140">
            <v>1</v>
          </cell>
          <cell r="F140">
            <v>32460.633228840125</v>
          </cell>
          <cell r="G140">
            <v>35335.755485893416</v>
          </cell>
          <cell r="H140">
            <v>319</v>
          </cell>
          <cell r="I140">
            <v>0</v>
          </cell>
          <cell r="R140">
            <v>319</v>
          </cell>
          <cell r="S140">
            <v>0</v>
          </cell>
          <cell r="T140">
            <v>0</v>
          </cell>
          <cell r="U140">
            <v>0</v>
          </cell>
          <cell r="V140">
            <v>319</v>
          </cell>
          <cell r="W140">
            <v>0</v>
          </cell>
          <cell r="X140">
            <v>10354942</v>
          </cell>
          <cell r="Y140">
            <v>11272106</v>
          </cell>
          <cell r="Z140">
            <v>319</v>
          </cell>
          <cell r="AF140">
            <v>319</v>
          </cell>
          <cell r="AG140">
            <v>319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1">
          <cell r="B141">
            <v>103133</v>
          </cell>
          <cell r="C141" t="str">
            <v>ALPS 300 29KG</v>
          </cell>
          <cell r="D141">
            <v>29</v>
          </cell>
          <cell r="E141">
            <v>1</v>
          </cell>
          <cell r="F141">
            <v>0</v>
          </cell>
          <cell r="G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AF141">
            <v>0</v>
          </cell>
          <cell r="AG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2">
          <cell r="B142">
            <v>103136</v>
          </cell>
          <cell r="C142" t="str">
            <v>Alps 100 10kg</v>
          </cell>
          <cell r="D142">
            <v>10</v>
          </cell>
          <cell r="E142">
            <v>1</v>
          </cell>
          <cell r="F142">
            <v>0</v>
          </cell>
          <cell r="G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AF142">
            <v>0</v>
          </cell>
          <cell r="AG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3">
          <cell r="B143">
            <v>103147</v>
          </cell>
          <cell r="C143" t="str">
            <v>Alps-1 20kg</v>
          </cell>
          <cell r="D143">
            <v>20</v>
          </cell>
          <cell r="E143">
            <v>1</v>
          </cell>
          <cell r="F143">
            <v>0</v>
          </cell>
          <cell r="G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AF143">
            <v>0</v>
          </cell>
          <cell r="AG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4">
          <cell r="B144">
            <v>103150</v>
          </cell>
          <cell r="C144" t="str">
            <v>Vegetable 20kg</v>
          </cell>
          <cell r="D144">
            <v>20</v>
          </cell>
          <cell r="E144">
            <v>1</v>
          </cell>
          <cell r="F144">
            <v>20005.947580645163</v>
          </cell>
          <cell r="G144">
            <v>22293.991935483871</v>
          </cell>
          <cell r="H144">
            <v>148</v>
          </cell>
          <cell r="I144">
            <v>0</v>
          </cell>
          <cell r="J144">
            <v>100</v>
          </cell>
          <cell r="K144">
            <v>0</v>
          </cell>
          <cell r="R144">
            <v>248</v>
          </cell>
          <cell r="S144">
            <v>0</v>
          </cell>
          <cell r="T144">
            <v>0</v>
          </cell>
          <cell r="U144">
            <v>0</v>
          </cell>
          <cell r="V144">
            <v>248</v>
          </cell>
          <cell r="W144">
            <v>0</v>
          </cell>
          <cell r="X144">
            <v>4961475</v>
          </cell>
          <cell r="Y144">
            <v>5528910</v>
          </cell>
          <cell r="Z144">
            <v>148</v>
          </cell>
          <cell r="AB144">
            <v>100</v>
          </cell>
          <cell r="AF144">
            <v>248</v>
          </cell>
          <cell r="AG144">
            <v>248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5">
          <cell r="B145">
            <v>103151</v>
          </cell>
          <cell r="C145" t="str">
            <v>Shortening for Pie 29kg</v>
          </cell>
          <cell r="D145">
            <v>29</v>
          </cell>
          <cell r="E145">
            <v>1</v>
          </cell>
          <cell r="F145">
            <v>28015.893092105263</v>
          </cell>
          <cell r="G145">
            <v>30671.222039473683</v>
          </cell>
          <cell r="H145">
            <v>608</v>
          </cell>
          <cell r="I145">
            <v>0</v>
          </cell>
          <cell r="R145">
            <v>608</v>
          </cell>
          <cell r="S145">
            <v>0</v>
          </cell>
          <cell r="T145">
            <v>0</v>
          </cell>
          <cell r="U145">
            <v>0</v>
          </cell>
          <cell r="V145">
            <v>608</v>
          </cell>
          <cell r="W145">
            <v>0</v>
          </cell>
          <cell r="X145">
            <v>17033663</v>
          </cell>
          <cell r="Y145">
            <v>18648103</v>
          </cell>
          <cell r="Z145">
            <v>608</v>
          </cell>
          <cell r="AF145">
            <v>608</v>
          </cell>
          <cell r="AG145">
            <v>608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6">
          <cell r="B146">
            <v>103246</v>
          </cell>
          <cell r="C146" t="str">
            <v>ALPS 400 20KG</v>
          </cell>
          <cell r="D146">
            <v>20</v>
          </cell>
          <cell r="E146">
            <v>1</v>
          </cell>
          <cell r="F146">
            <v>19861.059360730593</v>
          </cell>
          <cell r="G146">
            <v>21544.568493150684</v>
          </cell>
          <cell r="H146">
            <v>438</v>
          </cell>
          <cell r="I146">
            <v>0</v>
          </cell>
          <cell r="R146">
            <v>438</v>
          </cell>
          <cell r="S146">
            <v>0</v>
          </cell>
          <cell r="T146">
            <v>0</v>
          </cell>
          <cell r="U146">
            <v>0</v>
          </cell>
          <cell r="V146">
            <v>438</v>
          </cell>
          <cell r="W146">
            <v>0</v>
          </cell>
          <cell r="X146">
            <v>8699144</v>
          </cell>
          <cell r="Y146">
            <v>9436521</v>
          </cell>
          <cell r="Z146">
            <v>438</v>
          </cell>
          <cell r="AF146">
            <v>438</v>
          </cell>
          <cell r="AG146">
            <v>438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7">
          <cell r="B147">
            <v>103247</v>
          </cell>
          <cell r="C147" t="str">
            <v>S) Liquid 16kg</v>
          </cell>
          <cell r="D147">
            <v>16</v>
          </cell>
          <cell r="E147">
            <v>1</v>
          </cell>
          <cell r="F147">
            <v>36453.181159420288</v>
          </cell>
          <cell r="G147">
            <v>38246.289855072464</v>
          </cell>
          <cell r="H147">
            <v>110</v>
          </cell>
          <cell r="I147">
            <v>0</v>
          </cell>
          <cell r="L147">
            <v>12</v>
          </cell>
          <cell r="M147">
            <v>0</v>
          </cell>
          <cell r="N147">
            <v>14</v>
          </cell>
          <cell r="O147">
            <v>0</v>
          </cell>
          <cell r="P147">
            <v>2</v>
          </cell>
          <cell r="Q147">
            <v>0</v>
          </cell>
          <cell r="R147">
            <v>138</v>
          </cell>
          <cell r="S147">
            <v>0</v>
          </cell>
          <cell r="T147">
            <v>0</v>
          </cell>
          <cell r="U147">
            <v>0</v>
          </cell>
          <cell r="V147">
            <v>138</v>
          </cell>
          <cell r="W147">
            <v>0</v>
          </cell>
          <cell r="X147">
            <v>5030539</v>
          </cell>
          <cell r="Y147">
            <v>5277988</v>
          </cell>
          <cell r="Z147">
            <v>110</v>
          </cell>
          <cell r="AC147">
            <v>12</v>
          </cell>
          <cell r="AD147">
            <v>14</v>
          </cell>
          <cell r="AE147">
            <v>2</v>
          </cell>
          <cell r="AF147">
            <v>138</v>
          </cell>
          <cell r="AG147">
            <v>138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8">
          <cell r="B148">
            <v>103252</v>
          </cell>
          <cell r="C148" t="str">
            <v>Tallow 180kg</v>
          </cell>
          <cell r="D148">
            <v>180</v>
          </cell>
          <cell r="E148">
            <v>1</v>
          </cell>
          <cell r="F148">
            <v>156527.42424242425</v>
          </cell>
          <cell r="G148">
            <v>169492.84848484848</v>
          </cell>
          <cell r="H148">
            <v>33</v>
          </cell>
          <cell r="I148">
            <v>0</v>
          </cell>
          <cell r="R148">
            <v>33</v>
          </cell>
          <cell r="S148">
            <v>0</v>
          </cell>
          <cell r="T148">
            <v>0</v>
          </cell>
          <cell r="U148">
            <v>0</v>
          </cell>
          <cell r="V148">
            <v>33</v>
          </cell>
          <cell r="W148">
            <v>0</v>
          </cell>
          <cell r="X148">
            <v>5165405</v>
          </cell>
          <cell r="Y148">
            <v>5593264</v>
          </cell>
          <cell r="Z148">
            <v>33</v>
          </cell>
          <cell r="AF148">
            <v>33</v>
          </cell>
          <cell r="AG148">
            <v>33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9">
          <cell r="B149">
            <v>103253</v>
          </cell>
          <cell r="C149" t="str">
            <v>TALLOW TK</v>
          </cell>
          <cell r="D149">
            <v>1</v>
          </cell>
          <cell r="E149">
            <v>1</v>
          </cell>
          <cell r="F149">
            <v>0</v>
          </cell>
          <cell r="G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AF149">
            <v>0</v>
          </cell>
          <cell r="AG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50">
          <cell r="B150">
            <v>103263</v>
          </cell>
          <cell r="C150" t="str">
            <v>MILK TK</v>
          </cell>
          <cell r="D150">
            <v>1</v>
          </cell>
          <cell r="E150">
            <v>1</v>
          </cell>
          <cell r="F150">
            <v>0</v>
          </cell>
          <cell r="G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AF150">
            <v>0</v>
          </cell>
          <cell r="AG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1">
          <cell r="B151">
            <v>103275</v>
          </cell>
          <cell r="C151" t="str">
            <v>New Star 13.5kg (HaiTai)</v>
          </cell>
          <cell r="D151">
            <v>13.5</v>
          </cell>
          <cell r="E151">
            <v>1</v>
          </cell>
          <cell r="F151">
            <v>0</v>
          </cell>
          <cell r="G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AF151">
            <v>0</v>
          </cell>
          <cell r="AG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2">
          <cell r="B152">
            <v>103276</v>
          </cell>
          <cell r="C152" t="str">
            <v>Sun 14.5kg</v>
          </cell>
          <cell r="D152">
            <v>14.5</v>
          </cell>
          <cell r="E152">
            <v>1</v>
          </cell>
          <cell r="F152">
            <v>0</v>
          </cell>
          <cell r="G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AF152">
            <v>0</v>
          </cell>
          <cell r="AG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3">
          <cell r="B153">
            <v>103277</v>
          </cell>
          <cell r="C153" t="str">
            <v>S) Liquid-F 16kg</v>
          </cell>
          <cell r="D153">
            <v>16</v>
          </cell>
          <cell r="E153">
            <v>1</v>
          </cell>
          <cell r="F153">
            <v>0</v>
          </cell>
          <cell r="G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AF153">
            <v>0</v>
          </cell>
          <cell r="AG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4">
          <cell r="B154">
            <v>103279</v>
          </cell>
          <cell r="C154" t="str">
            <v>S) Liquid-D 16kg</v>
          </cell>
          <cell r="D154">
            <v>16</v>
          </cell>
          <cell r="E154">
            <v>1</v>
          </cell>
          <cell r="F154">
            <v>32603.737931034484</v>
          </cell>
          <cell r="G154">
            <v>34059.027586206896</v>
          </cell>
          <cell r="H154">
            <v>145</v>
          </cell>
          <cell r="I154">
            <v>0</v>
          </cell>
          <cell r="R154">
            <v>145</v>
          </cell>
          <cell r="S154">
            <v>0</v>
          </cell>
          <cell r="T154">
            <v>0</v>
          </cell>
          <cell r="U154">
            <v>0</v>
          </cell>
          <cell r="V154">
            <v>145</v>
          </cell>
          <cell r="W154">
            <v>0</v>
          </cell>
          <cell r="X154">
            <v>4727542</v>
          </cell>
          <cell r="Y154">
            <v>4938559</v>
          </cell>
          <cell r="Z154">
            <v>145</v>
          </cell>
          <cell r="AF154">
            <v>145</v>
          </cell>
          <cell r="AG154">
            <v>145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5">
          <cell r="B155">
            <v>103281</v>
          </cell>
          <cell r="C155" t="str">
            <v>Milka 20kg</v>
          </cell>
          <cell r="D155">
            <v>20</v>
          </cell>
          <cell r="E155">
            <v>1</v>
          </cell>
          <cell r="F155">
            <v>21833.812865497075</v>
          </cell>
          <cell r="G155">
            <v>23688.169590643276</v>
          </cell>
          <cell r="H155">
            <v>171</v>
          </cell>
          <cell r="I155">
            <v>0</v>
          </cell>
          <cell r="R155">
            <v>171</v>
          </cell>
          <cell r="S155">
            <v>0</v>
          </cell>
          <cell r="T155">
            <v>0</v>
          </cell>
          <cell r="U155">
            <v>0</v>
          </cell>
          <cell r="V155">
            <v>171</v>
          </cell>
          <cell r="W155">
            <v>0</v>
          </cell>
          <cell r="X155">
            <v>3733582</v>
          </cell>
          <cell r="Y155">
            <v>4050677</v>
          </cell>
          <cell r="Z155">
            <v>171</v>
          </cell>
          <cell r="AF155">
            <v>171</v>
          </cell>
          <cell r="AG155">
            <v>171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6">
          <cell r="B156">
            <v>103282</v>
          </cell>
          <cell r="C156" t="str">
            <v>Alps 400 25kg</v>
          </cell>
          <cell r="D156">
            <v>25</v>
          </cell>
          <cell r="E156">
            <v>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1</v>
          </cell>
          <cell r="Y156">
            <v>1</v>
          </cell>
          <cell r="AF156">
            <v>0</v>
          </cell>
          <cell r="AG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</row>
        <row r="157">
          <cell r="B157">
            <v>103284</v>
          </cell>
          <cell r="C157" t="str">
            <v>B.K V 100 22kg</v>
          </cell>
          <cell r="D157">
            <v>22</v>
          </cell>
          <cell r="E157">
            <v>1</v>
          </cell>
          <cell r="F157">
            <v>27009.808678500987</v>
          </cell>
          <cell r="G157">
            <v>29405.499013806708</v>
          </cell>
          <cell r="H157">
            <v>507</v>
          </cell>
          <cell r="I157">
            <v>0</v>
          </cell>
          <cell r="R157">
            <v>507</v>
          </cell>
          <cell r="S157">
            <v>0</v>
          </cell>
          <cell r="T157">
            <v>0</v>
          </cell>
          <cell r="U157">
            <v>0</v>
          </cell>
          <cell r="V157">
            <v>507</v>
          </cell>
          <cell r="W157">
            <v>0</v>
          </cell>
          <cell r="X157">
            <v>13693973</v>
          </cell>
          <cell r="Y157">
            <v>14908588</v>
          </cell>
          <cell r="Z157">
            <v>507</v>
          </cell>
          <cell r="AF157">
            <v>507</v>
          </cell>
          <cell r="AG157">
            <v>507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8">
          <cell r="B158">
            <v>103285</v>
          </cell>
          <cell r="C158" t="str">
            <v>Pan D'or 16kg</v>
          </cell>
          <cell r="D158">
            <v>16</v>
          </cell>
          <cell r="E158">
            <v>1</v>
          </cell>
          <cell r="F158">
            <v>0</v>
          </cell>
          <cell r="G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AF158">
            <v>0</v>
          </cell>
          <cell r="AG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9">
          <cell r="B159">
            <v>103286</v>
          </cell>
          <cell r="C159" t="str">
            <v>Vegetable 500 20kg</v>
          </cell>
          <cell r="D159">
            <v>20</v>
          </cell>
          <cell r="E159">
            <v>1</v>
          </cell>
          <cell r="F159">
            <v>24856.24647887324</v>
          </cell>
          <cell r="G159">
            <v>27148.521126760563</v>
          </cell>
          <cell r="H159">
            <v>284</v>
          </cell>
          <cell r="I159">
            <v>0</v>
          </cell>
          <cell r="R159">
            <v>284</v>
          </cell>
          <cell r="S159">
            <v>0</v>
          </cell>
          <cell r="T159">
            <v>0</v>
          </cell>
          <cell r="U159">
            <v>0</v>
          </cell>
          <cell r="V159">
            <v>284</v>
          </cell>
          <cell r="W159">
            <v>0</v>
          </cell>
          <cell r="X159">
            <v>7059174</v>
          </cell>
          <cell r="Y159">
            <v>7710180</v>
          </cell>
          <cell r="Z159">
            <v>284</v>
          </cell>
          <cell r="AF159">
            <v>284</v>
          </cell>
          <cell r="AG159">
            <v>284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</row>
        <row r="160">
          <cell r="B160">
            <v>103287</v>
          </cell>
          <cell r="C160" t="str">
            <v>Vegetable Frying 16kg</v>
          </cell>
          <cell r="D160">
            <v>16</v>
          </cell>
          <cell r="E160">
            <v>1</v>
          </cell>
          <cell r="F160">
            <v>0</v>
          </cell>
          <cell r="G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AF160">
            <v>0</v>
          </cell>
          <cell r="AG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1">
          <cell r="B161">
            <v>103288</v>
          </cell>
          <cell r="C161" t="str">
            <v>Popeye's 14kg</v>
          </cell>
          <cell r="D161">
            <v>14</v>
          </cell>
          <cell r="E161">
            <v>1</v>
          </cell>
          <cell r="F161">
            <v>18164.606356968216</v>
          </cell>
          <cell r="G161">
            <v>19659.149144254279</v>
          </cell>
          <cell r="H161">
            <v>1636</v>
          </cell>
          <cell r="I161">
            <v>0</v>
          </cell>
          <cell r="R161">
            <v>1636</v>
          </cell>
          <cell r="S161">
            <v>0</v>
          </cell>
          <cell r="T161">
            <v>0</v>
          </cell>
          <cell r="U161">
            <v>0</v>
          </cell>
          <cell r="V161">
            <v>1636</v>
          </cell>
          <cell r="W161">
            <v>0</v>
          </cell>
          <cell r="X161">
            <v>29717296</v>
          </cell>
          <cell r="Y161">
            <v>32162368</v>
          </cell>
          <cell r="Z161">
            <v>1636</v>
          </cell>
          <cell r="AF161">
            <v>1636</v>
          </cell>
          <cell r="AG161">
            <v>1636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2">
          <cell r="B162">
            <v>103289</v>
          </cell>
          <cell r="C162" t="str">
            <v>Sun 14.55kg</v>
          </cell>
          <cell r="D162">
            <v>14.55</v>
          </cell>
          <cell r="E162">
            <v>1</v>
          </cell>
          <cell r="F162">
            <v>15535.364978902953</v>
          </cell>
          <cell r="G162">
            <v>17020.593881856541</v>
          </cell>
          <cell r="H162">
            <v>948</v>
          </cell>
          <cell r="I162">
            <v>0</v>
          </cell>
          <cell r="R162">
            <v>948</v>
          </cell>
          <cell r="S162">
            <v>0</v>
          </cell>
          <cell r="T162">
            <v>0</v>
          </cell>
          <cell r="U162">
            <v>0</v>
          </cell>
          <cell r="V162">
            <v>948</v>
          </cell>
          <cell r="W162">
            <v>0</v>
          </cell>
          <cell r="X162">
            <v>14727526</v>
          </cell>
          <cell r="Y162">
            <v>16135523</v>
          </cell>
          <cell r="Z162">
            <v>948</v>
          </cell>
          <cell r="AF162">
            <v>948</v>
          </cell>
          <cell r="AG162">
            <v>948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3">
          <cell r="B163">
            <v>103290</v>
          </cell>
          <cell r="C163" t="str">
            <v>Frying 100 14kg</v>
          </cell>
          <cell r="D163">
            <v>14</v>
          </cell>
          <cell r="E163">
            <v>1</v>
          </cell>
          <cell r="F163">
            <v>0</v>
          </cell>
          <cell r="G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AF163">
            <v>0</v>
          </cell>
          <cell r="AG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4">
          <cell r="B164">
            <v>103291</v>
          </cell>
          <cell r="C164" t="str">
            <v>Frying 200 14kg</v>
          </cell>
          <cell r="D164">
            <v>14</v>
          </cell>
          <cell r="E164">
            <v>1</v>
          </cell>
          <cell r="F164">
            <v>12556.085597129677</v>
          </cell>
          <cell r="G164">
            <v>13658.074833418759</v>
          </cell>
          <cell r="H164">
            <v>1815</v>
          </cell>
          <cell r="I164">
            <v>0</v>
          </cell>
          <cell r="J164">
            <v>171</v>
          </cell>
          <cell r="K164">
            <v>0</v>
          </cell>
          <cell r="L164">
            <v>-290</v>
          </cell>
          <cell r="M164">
            <v>0</v>
          </cell>
          <cell r="N164">
            <v>80</v>
          </cell>
          <cell r="O164">
            <v>0</v>
          </cell>
          <cell r="P164">
            <v>175</v>
          </cell>
          <cell r="Q164">
            <v>0</v>
          </cell>
          <cell r="R164">
            <v>1951</v>
          </cell>
          <cell r="S164">
            <v>0</v>
          </cell>
          <cell r="T164">
            <v>0</v>
          </cell>
          <cell r="U164">
            <v>0</v>
          </cell>
          <cell r="V164">
            <v>1951</v>
          </cell>
          <cell r="W164">
            <v>0</v>
          </cell>
          <cell r="X164">
            <v>24496923</v>
          </cell>
          <cell r="Y164">
            <v>26646904</v>
          </cell>
          <cell r="Z164">
            <v>1815</v>
          </cell>
          <cell r="AB164">
            <v>171</v>
          </cell>
          <cell r="AC164">
            <v>60</v>
          </cell>
          <cell r="AD164">
            <v>80</v>
          </cell>
          <cell r="AE164">
            <v>175</v>
          </cell>
          <cell r="AF164">
            <v>2301</v>
          </cell>
          <cell r="AG164">
            <v>2301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350</v>
          </cell>
          <cell r="AP164">
            <v>4394630</v>
          </cell>
          <cell r="AQ164">
            <v>4780326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350</v>
          </cell>
          <cell r="AY164">
            <v>4394630</v>
          </cell>
          <cell r="AZ164">
            <v>4780326</v>
          </cell>
        </row>
        <row r="165">
          <cell r="B165">
            <v>103292</v>
          </cell>
          <cell r="C165" t="str">
            <v>Frying 200 14kg</v>
          </cell>
          <cell r="D165">
            <v>14</v>
          </cell>
          <cell r="E165">
            <v>1</v>
          </cell>
          <cell r="F165">
            <v>11862.933333333332</v>
          </cell>
          <cell r="G165">
            <v>13038.434814814815</v>
          </cell>
          <cell r="H165">
            <v>731</v>
          </cell>
          <cell r="I165">
            <v>0</v>
          </cell>
          <cell r="L165">
            <v>350</v>
          </cell>
          <cell r="M165">
            <v>0</v>
          </cell>
          <cell r="N165">
            <v>4</v>
          </cell>
          <cell r="O165">
            <v>0</v>
          </cell>
          <cell r="P165">
            <v>265</v>
          </cell>
          <cell r="Q165">
            <v>0</v>
          </cell>
          <cell r="R165">
            <v>1350</v>
          </cell>
          <cell r="S165">
            <v>0</v>
          </cell>
          <cell r="T165">
            <v>0</v>
          </cell>
          <cell r="U165">
            <v>0</v>
          </cell>
          <cell r="V165">
            <v>1350</v>
          </cell>
          <cell r="W165">
            <v>0</v>
          </cell>
          <cell r="X165">
            <v>16014960</v>
          </cell>
          <cell r="Y165">
            <v>17601887</v>
          </cell>
          <cell r="Z165">
            <v>731</v>
          </cell>
          <cell r="AD165">
            <v>4</v>
          </cell>
          <cell r="AE165">
            <v>265</v>
          </cell>
          <cell r="AF165">
            <v>1000</v>
          </cell>
          <cell r="AG165">
            <v>1000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-350</v>
          </cell>
          <cell r="AP165">
            <v>-4152026</v>
          </cell>
          <cell r="AQ165">
            <v>-4563451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-350</v>
          </cell>
          <cell r="AY165">
            <v>-4152026</v>
          </cell>
          <cell r="AZ165">
            <v>-4563451</v>
          </cell>
        </row>
        <row r="166">
          <cell r="B166">
            <v>103300</v>
          </cell>
          <cell r="C166" t="str">
            <v>Alps 100 12kg</v>
          </cell>
          <cell r="D166">
            <v>12</v>
          </cell>
          <cell r="E166">
            <v>1</v>
          </cell>
          <cell r="F166">
            <v>11968.666666666666</v>
          </cell>
          <cell r="G166">
            <v>13059.456140350878</v>
          </cell>
          <cell r="H166">
            <v>285</v>
          </cell>
          <cell r="I166">
            <v>0</v>
          </cell>
          <cell r="R166">
            <v>285</v>
          </cell>
          <cell r="S166">
            <v>0</v>
          </cell>
          <cell r="T166">
            <v>0</v>
          </cell>
          <cell r="U166">
            <v>0</v>
          </cell>
          <cell r="V166">
            <v>285</v>
          </cell>
          <cell r="W166">
            <v>0</v>
          </cell>
          <cell r="X166">
            <v>3411070</v>
          </cell>
          <cell r="Y166">
            <v>3721945</v>
          </cell>
          <cell r="Z166">
            <v>245</v>
          </cell>
          <cell r="AF166">
            <v>245</v>
          </cell>
          <cell r="AG166">
            <v>245</v>
          </cell>
          <cell r="AI166">
            <v>-40</v>
          </cell>
          <cell r="AJ166">
            <v>-478746</v>
          </cell>
          <cell r="AK166">
            <v>-522377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-40</v>
          </cell>
          <cell r="AY166">
            <v>-478746</v>
          </cell>
          <cell r="AZ166">
            <v>-522377</v>
          </cell>
        </row>
        <row r="167">
          <cell r="B167">
            <v>103302</v>
          </cell>
          <cell r="C167" t="str">
            <v>Alps 300 14.5kg</v>
          </cell>
          <cell r="D167">
            <v>14.5</v>
          </cell>
          <cell r="E167">
            <v>1</v>
          </cell>
          <cell r="F167">
            <v>14662.497991967872</v>
          </cell>
          <cell r="G167">
            <v>16130.598393574297</v>
          </cell>
          <cell r="H167">
            <v>249</v>
          </cell>
          <cell r="I167">
            <v>0</v>
          </cell>
          <cell r="R167">
            <v>249</v>
          </cell>
          <cell r="S167">
            <v>0</v>
          </cell>
          <cell r="T167">
            <v>0</v>
          </cell>
          <cell r="U167">
            <v>0</v>
          </cell>
          <cell r="V167">
            <v>249</v>
          </cell>
          <cell r="W167">
            <v>0</v>
          </cell>
          <cell r="X167">
            <v>3650962</v>
          </cell>
          <cell r="Y167">
            <v>4016519</v>
          </cell>
          <cell r="Z167">
            <v>249</v>
          </cell>
          <cell r="AF167">
            <v>249</v>
          </cell>
          <cell r="AG167">
            <v>249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</row>
        <row r="168">
          <cell r="B168">
            <v>103304</v>
          </cell>
          <cell r="C168" t="str">
            <v>Alps 400 15kg</v>
          </cell>
          <cell r="D168">
            <v>15</v>
          </cell>
          <cell r="E168">
            <v>1</v>
          </cell>
          <cell r="F168">
            <v>0</v>
          </cell>
          <cell r="G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AF168">
            <v>0</v>
          </cell>
          <cell r="AG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9">
          <cell r="B169">
            <v>103306</v>
          </cell>
          <cell r="C169" t="str">
            <v>Alps-S 20kg</v>
          </cell>
          <cell r="D169">
            <v>20</v>
          </cell>
          <cell r="E169">
            <v>1</v>
          </cell>
          <cell r="F169">
            <v>0</v>
          </cell>
          <cell r="G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AF169">
            <v>0</v>
          </cell>
          <cell r="AG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70">
          <cell r="B170">
            <v>103307</v>
          </cell>
          <cell r="C170" t="str">
            <v>Alps-S 10kg</v>
          </cell>
          <cell r="D170">
            <v>10</v>
          </cell>
          <cell r="E170">
            <v>1</v>
          </cell>
          <cell r="F170">
            <v>9706.4262847514747</v>
          </cell>
          <cell r="G170">
            <v>10535.696714406065</v>
          </cell>
          <cell r="H170">
            <v>1076</v>
          </cell>
          <cell r="I170">
            <v>0</v>
          </cell>
          <cell r="L170">
            <v>101</v>
          </cell>
          <cell r="M170">
            <v>0</v>
          </cell>
          <cell r="N170">
            <v>10</v>
          </cell>
          <cell r="O170">
            <v>0</v>
          </cell>
          <cell r="R170">
            <v>1187</v>
          </cell>
          <cell r="S170">
            <v>0</v>
          </cell>
          <cell r="T170">
            <v>0</v>
          </cell>
          <cell r="U170">
            <v>0</v>
          </cell>
          <cell r="V170">
            <v>1187</v>
          </cell>
          <cell r="W170">
            <v>0</v>
          </cell>
          <cell r="X170">
            <v>11521528</v>
          </cell>
          <cell r="Y170">
            <v>12505872</v>
          </cell>
          <cell r="Z170">
            <v>1076</v>
          </cell>
          <cell r="AC170">
            <v>101</v>
          </cell>
          <cell r="AD170">
            <v>10</v>
          </cell>
          <cell r="AF170">
            <v>1187</v>
          </cell>
          <cell r="AG170">
            <v>1187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1">
          <cell r="B171">
            <v>103308</v>
          </cell>
          <cell r="C171" t="str">
            <v>Alps-S 4.4kg</v>
          </cell>
          <cell r="D171">
            <v>4.4000000000000004</v>
          </cell>
          <cell r="E171">
            <v>1</v>
          </cell>
          <cell r="F171">
            <v>4339.3799237611183</v>
          </cell>
          <cell r="G171">
            <v>4706.0698856416775</v>
          </cell>
          <cell r="H171">
            <v>1574</v>
          </cell>
          <cell r="I171">
            <v>0</v>
          </cell>
          <cell r="R171">
            <v>1574</v>
          </cell>
          <cell r="S171">
            <v>0</v>
          </cell>
          <cell r="T171">
            <v>0</v>
          </cell>
          <cell r="U171">
            <v>0</v>
          </cell>
          <cell r="V171">
            <v>1574</v>
          </cell>
          <cell r="W171">
            <v>0</v>
          </cell>
          <cell r="X171">
            <v>6830184</v>
          </cell>
          <cell r="Y171">
            <v>7407354</v>
          </cell>
          <cell r="Z171">
            <v>1574</v>
          </cell>
          <cell r="AF171">
            <v>1574</v>
          </cell>
          <cell r="AG171">
            <v>1574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2">
          <cell r="B172">
            <v>103310</v>
          </cell>
          <cell r="C172" t="str">
            <v>Vegetable 700 20kg</v>
          </cell>
          <cell r="D172">
            <v>20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2</v>
          </cell>
          <cell r="Y172">
            <v>2</v>
          </cell>
          <cell r="AF172">
            <v>0</v>
          </cell>
          <cell r="AG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3">
          <cell r="B173">
            <v>103313</v>
          </cell>
          <cell r="C173" t="str">
            <v>Vegetable 600 20kg</v>
          </cell>
          <cell r="D173">
            <v>20</v>
          </cell>
          <cell r="E173">
            <v>1</v>
          </cell>
          <cell r="F173">
            <v>24293.134920634922</v>
          </cell>
          <cell r="G173">
            <v>26500.158730158731</v>
          </cell>
          <cell r="H173">
            <v>252</v>
          </cell>
          <cell r="I173">
            <v>0</v>
          </cell>
          <cell r="R173">
            <v>252</v>
          </cell>
          <cell r="S173">
            <v>0</v>
          </cell>
          <cell r="T173">
            <v>0</v>
          </cell>
          <cell r="U173">
            <v>0</v>
          </cell>
          <cell r="V173">
            <v>252</v>
          </cell>
          <cell r="W173">
            <v>0</v>
          </cell>
          <cell r="X173">
            <v>6121870</v>
          </cell>
          <cell r="Y173">
            <v>6678040</v>
          </cell>
          <cell r="Z173">
            <v>252</v>
          </cell>
          <cell r="AF173">
            <v>252</v>
          </cell>
          <cell r="AG173">
            <v>252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4">
          <cell r="B174">
            <v>103315</v>
          </cell>
          <cell r="C174" t="str">
            <v>Vegetable 900 20kg</v>
          </cell>
          <cell r="D174">
            <v>20</v>
          </cell>
          <cell r="E174">
            <v>1</v>
          </cell>
          <cell r="F174">
            <v>22649.833333333332</v>
          </cell>
          <cell r="G174">
            <v>24388.072463768116</v>
          </cell>
          <cell r="H174">
            <v>138</v>
          </cell>
          <cell r="I174">
            <v>0</v>
          </cell>
          <cell r="R174">
            <v>138</v>
          </cell>
          <cell r="S174">
            <v>0</v>
          </cell>
          <cell r="T174">
            <v>0</v>
          </cell>
          <cell r="U174">
            <v>0</v>
          </cell>
          <cell r="V174">
            <v>138</v>
          </cell>
          <cell r="W174">
            <v>0</v>
          </cell>
          <cell r="X174">
            <v>3125677</v>
          </cell>
          <cell r="Y174">
            <v>3365554</v>
          </cell>
          <cell r="Z174">
            <v>138</v>
          </cell>
          <cell r="AF174">
            <v>138</v>
          </cell>
          <cell r="AG174">
            <v>138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5">
          <cell r="B175">
            <v>103320</v>
          </cell>
          <cell r="C175" t="str">
            <v>Vega 27kg</v>
          </cell>
          <cell r="D175">
            <v>27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1513</v>
          </cell>
          <cell r="Y175">
            <v>1352</v>
          </cell>
          <cell r="AF175">
            <v>0</v>
          </cell>
          <cell r="AG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6">
          <cell r="B176">
            <v>103340</v>
          </cell>
          <cell r="C176" t="str">
            <v>New Star 25kg</v>
          </cell>
          <cell r="D176">
            <v>25</v>
          </cell>
          <cell r="E176">
            <v>1</v>
          </cell>
          <cell r="F176">
            <v>24221.281501340483</v>
          </cell>
          <cell r="G176">
            <v>26312.930294906168</v>
          </cell>
          <cell r="H176">
            <v>373</v>
          </cell>
          <cell r="I176">
            <v>0</v>
          </cell>
          <cell r="R176">
            <v>373</v>
          </cell>
          <cell r="S176">
            <v>0</v>
          </cell>
          <cell r="T176">
            <v>0</v>
          </cell>
          <cell r="U176">
            <v>0</v>
          </cell>
          <cell r="V176">
            <v>373</v>
          </cell>
          <cell r="W176">
            <v>0</v>
          </cell>
          <cell r="X176">
            <v>9034538</v>
          </cell>
          <cell r="Y176">
            <v>9814723</v>
          </cell>
          <cell r="Z176">
            <v>373</v>
          </cell>
          <cell r="AF176">
            <v>373</v>
          </cell>
          <cell r="AG176">
            <v>373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7">
          <cell r="B177">
            <v>103350</v>
          </cell>
          <cell r="C177" t="str">
            <v>K 14kg</v>
          </cell>
          <cell r="D177">
            <v>14</v>
          </cell>
          <cell r="E177">
            <v>1</v>
          </cell>
          <cell r="F177">
            <v>11631.584597432906</v>
          </cell>
          <cell r="G177">
            <v>12705.252042007001</v>
          </cell>
          <cell r="H177">
            <v>857</v>
          </cell>
          <cell r="I177">
            <v>0</v>
          </cell>
          <cell r="R177">
            <v>857</v>
          </cell>
          <cell r="S177">
            <v>0</v>
          </cell>
          <cell r="T177">
            <v>0</v>
          </cell>
          <cell r="U177">
            <v>0</v>
          </cell>
          <cell r="V177">
            <v>857</v>
          </cell>
          <cell r="W177">
            <v>0</v>
          </cell>
          <cell r="X177">
            <v>9968268</v>
          </cell>
          <cell r="Y177">
            <v>10888401</v>
          </cell>
          <cell r="Z177">
            <v>857</v>
          </cell>
          <cell r="AF177">
            <v>857</v>
          </cell>
          <cell r="AG177">
            <v>857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8">
          <cell r="B178">
            <v>103351</v>
          </cell>
          <cell r="C178" t="str">
            <v>Chester 15kg</v>
          </cell>
          <cell r="D178">
            <v>15</v>
          </cell>
          <cell r="E178">
            <v>1</v>
          </cell>
          <cell r="F178">
            <v>21553.918750000001</v>
          </cell>
          <cell r="G178">
            <v>23097.352083333335</v>
          </cell>
          <cell r="H178">
            <v>480</v>
          </cell>
          <cell r="I178">
            <v>0</v>
          </cell>
          <cell r="R178">
            <v>480</v>
          </cell>
          <cell r="S178">
            <v>0</v>
          </cell>
          <cell r="T178">
            <v>0</v>
          </cell>
          <cell r="U178">
            <v>0</v>
          </cell>
          <cell r="V178">
            <v>480</v>
          </cell>
          <cell r="W178">
            <v>0</v>
          </cell>
          <cell r="X178">
            <v>10345881</v>
          </cell>
          <cell r="Y178">
            <v>11086729</v>
          </cell>
          <cell r="Z178">
            <v>480</v>
          </cell>
          <cell r="AF178">
            <v>480</v>
          </cell>
          <cell r="AG178">
            <v>480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B179">
            <v>103353</v>
          </cell>
          <cell r="C179" t="str">
            <v>KFC 14kg</v>
          </cell>
          <cell r="D179">
            <v>14</v>
          </cell>
          <cell r="E179">
            <v>1</v>
          </cell>
          <cell r="F179">
            <v>18036.282217090069</v>
          </cell>
          <cell r="G179">
            <v>19507.795381062355</v>
          </cell>
          <cell r="H179">
            <v>2165</v>
          </cell>
          <cell r="I179">
            <v>0</v>
          </cell>
          <cell r="R179">
            <v>2165</v>
          </cell>
          <cell r="S179">
            <v>0</v>
          </cell>
          <cell r="T179">
            <v>0</v>
          </cell>
          <cell r="U179">
            <v>0</v>
          </cell>
          <cell r="V179">
            <v>2165</v>
          </cell>
          <cell r="W179">
            <v>0</v>
          </cell>
          <cell r="X179">
            <v>39048551</v>
          </cell>
          <cell r="Y179">
            <v>42234377</v>
          </cell>
          <cell r="Z179">
            <v>2165</v>
          </cell>
          <cell r="AF179">
            <v>2165</v>
          </cell>
          <cell r="AG179">
            <v>2165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80">
          <cell r="B180">
            <v>105060</v>
          </cell>
          <cell r="C180" t="str">
            <v>S) CORN 18L</v>
          </cell>
          <cell r="D180">
            <v>18</v>
          </cell>
          <cell r="E180">
            <v>1</v>
          </cell>
          <cell r="F180">
            <v>24333.552182163188</v>
          </cell>
          <cell r="G180">
            <v>25747.287950664137</v>
          </cell>
          <cell r="H180">
            <v>1668</v>
          </cell>
          <cell r="I180">
            <v>0</v>
          </cell>
          <cell r="J180">
            <v>217</v>
          </cell>
          <cell r="K180">
            <v>0</v>
          </cell>
          <cell r="L180">
            <v>49</v>
          </cell>
          <cell r="M180">
            <v>0</v>
          </cell>
          <cell r="N180">
            <v>98</v>
          </cell>
          <cell r="O180">
            <v>0</v>
          </cell>
          <cell r="P180">
            <v>76</v>
          </cell>
          <cell r="Q180">
            <v>0</v>
          </cell>
          <cell r="R180">
            <v>2108</v>
          </cell>
          <cell r="S180">
            <v>0</v>
          </cell>
          <cell r="T180">
            <v>0</v>
          </cell>
          <cell r="U180">
            <v>0</v>
          </cell>
          <cell r="V180">
            <v>2108</v>
          </cell>
          <cell r="W180">
            <v>0</v>
          </cell>
          <cell r="X180">
            <v>51295128</v>
          </cell>
          <cell r="Y180">
            <v>54275283</v>
          </cell>
          <cell r="Z180">
            <v>1668</v>
          </cell>
          <cell r="AB180">
            <v>217</v>
          </cell>
          <cell r="AC180">
            <v>49</v>
          </cell>
          <cell r="AD180">
            <v>98</v>
          </cell>
          <cell r="AE180">
            <v>76</v>
          </cell>
          <cell r="AF180">
            <v>2108</v>
          </cell>
          <cell r="AG180">
            <v>2108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1">
          <cell r="B181">
            <v>105063</v>
          </cell>
          <cell r="C181" t="str">
            <v>H) COTTONSEED GOLD 18L</v>
          </cell>
          <cell r="D181">
            <v>18</v>
          </cell>
          <cell r="E181">
            <v>1</v>
          </cell>
          <cell r="F181">
            <v>20292.69720670391</v>
          </cell>
          <cell r="G181">
            <v>21886.463687150837</v>
          </cell>
          <cell r="H181">
            <v>820</v>
          </cell>
          <cell r="I181">
            <v>0</v>
          </cell>
          <cell r="J181">
            <v>2</v>
          </cell>
          <cell r="K181">
            <v>0</v>
          </cell>
          <cell r="L181">
            <v>25</v>
          </cell>
          <cell r="M181">
            <v>0</v>
          </cell>
          <cell r="N181">
            <v>20</v>
          </cell>
          <cell r="O181">
            <v>0</v>
          </cell>
          <cell r="P181">
            <v>28</v>
          </cell>
          <cell r="Q181">
            <v>0</v>
          </cell>
          <cell r="R181">
            <v>895</v>
          </cell>
          <cell r="S181">
            <v>0</v>
          </cell>
          <cell r="T181">
            <v>0</v>
          </cell>
          <cell r="U181">
            <v>0</v>
          </cell>
          <cell r="V181">
            <v>895</v>
          </cell>
          <cell r="W181">
            <v>0</v>
          </cell>
          <cell r="X181">
            <v>18161964</v>
          </cell>
          <cell r="Y181">
            <v>19588385</v>
          </cell>
          <cell r="Z181">
            <v>820</v>
          </cell>
          <cell r="AB181">
            <v>2</v>
          </cell>
          <cell r="AC181">
            <v>25</v>
          </cell>
          <cell r="AD181">
            <v>20</v>
          </cell>
          <cell r="AE181">
            <v>28</v>
          </cell>
          <cell r="AF181">
            <v>895</v>
          </cell>
          <cell r="AG181">
            <v>895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2">
          <cell r="B182">
            <v>105076</v>
          </cell>
          <cell r="C182" t="str">
            <v>S) COTTONSEED 18L</v>
          </cell>
          <cell r="D182">
            <v>18</v>
          </cell>
          <cell r="E182">
            <v>1</v>
          </cell>
          <cell r="F182">
            <v>20946.503944773176</v>
          </cell>
          <cell r="G182">
            <v>23712.852564102563</v>
          </cell>
          <cell r="H182">
            <v>1440</v>
          </cell>
          <cell r="I182">
            <v>0</v>
          </cell>
          <cell r="J182">
            <v>46</v>
          </cell>
          <cell r="K182">
            <v>0</v>
          </cell>
          <cell r="L182">
            <v>89</v>
          </cell>
          <cell r="M182">
            <v>0</v>
          </cell>
          <cell r="N182">
            <v>321</v>
          </cell>
          <cell r="O182">
            <v>0</v>
          </cell>
          <cell r="P182">
            <v>132</v>
          </cell>
          <cell r="Q182">
            <v>0</v>
          </cell>
          <cell r="R182">
            <v>2028</v>
          </cell>
          <cell r="S182">
            <v>0</v>
          </cell>
          <cell r="T182">
            <v>0</v>
          </cell>
          <cell r="U182">
            <v>0</v>
          </cell>
          <cell r="V182">
            <v>2028</v>
          </cell>
          <cell r="W182">
            <v>0</v>
          </cell>
          <cell r="X182">
            <v>42479510</v>
          </cell>
          <cell r="Y182">
            <v>48089665</v>
          </cell>
          <cell r="Z182">
            <v>1440</v>
          </cell>
          <cell r="AB182">
            <v>46</v>
          </cell>
          <cell r="AC182">
            <v>89</v>
          </cell>
          <cell r="AD182">
            <v>321</v>
          </cell>
          <cell r="AE182">
            <v>132</v>
          </cell>
          <cell r="AF182">
            <v>2028</v>
          </cell>
          <cell r="AG182">
            <v>2028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3">
          <cell r="B183">
            <v>105077</v>
          </cell>
          <cell r="C183" t="str">
            <v>100 18L</v>
          </cell>
          <cell r="D183">
            <v>18</v>
          </cell>
          <cell r="E183">
            <v>1</v>
          </cell>
          <cell r="F183">
            <v>20425.819092827005</v>
          </cell>
          <cell r="G183">
            <v>21411.445147679326</v>
          </cell>
          <cell r="H183">
            <v>755</v>
          </cell>
          <cell r="I183">
            <v>0</v>
          </cell>
          <cell r="J183">
            <v>169</v>
          </cell>
          <cell r="K183">
            <v>0</v>
          </cell>
          <cell r="L183">
            <v>274</v>
          </cell>
          <cell r="M183">
            <v>0</v>
          </cell>
          <cell r="N183">
            <v>525</v>
          </cell>
          <cell r="O183">
            <v>0</v>
          </cell>
          <cell r="P183">
            <v>173</v>
          </cell>
          <cell r="Q183">
            <v>0</v>
          </cell>
          <cell r="R183">
            <v>1896</v>
          </cell>
          <cell r="S183">
            <v>0</v>
          </cell>
          <cell r="T183">
            <v>0</v>
          </cell>
          <cell r="U183">
            <v>0</v>
          </cell>
          <cell r="V183">
            <v>1896</v>
          </cell>
          <cell r="W183">
            <v>0</v>
          </cell>
          <cell r="X183">
            <v>38727353</v>
          </cell>
          <cell r="Y183">
            <v>40596100</v>
          </cell>
          <cell r="Z183">
            <v>755</v>
          </cell>
          <cell r="AB183">
            <v>169</v>
          </cell>
          <cell r="AC183">
            <v>274</v>
          </cell>
          <cell r="AD183">
            <v>525</v>
          </cell>
          <cell r="AE183">
            <v>173</v>
          </cell>
          <cell r="AF183">
            <v>1896</v>
          </cell>
          <cell r="AG183">
            <v>1896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4">
          <cell r="B184">
            <v>105078</v>
          </cell>
          <cell r="C184" t="str">
            <v>18L</v>
          </cell>
          <cell r="D184">
            <v>18</v>
          </cell>
          <cell r="E184">
            <v>1</v>
          </cell>
          <cell r="F184">
            <v>20439.118055555555</v>
          </cell>
          <cell r="G184">
            <v>21232.020833333332</v>
          </cell>
          <cell r="H184">
            <v>144</v>
          </cell>
          <cell r="I184">
            <v>0</v>
          </cell>
          <cell r="R184">
            <v>144</v>
          </cell>
          <cell r="S184">
            <v>0</v>
          </cell>
          <cell r="T184">
            <v>0</v>
          </cell>
          <cell r="U184">
            <v>0</v>
          </cell>
          <cell r="V184">
            <v>144</v>
          </cell>
          <cell r="W184">
            <v>0</v>
          </cell>
          <cell r="X184">
            <v>2943233</v>
          </cell>
          <cell r="Y184">
            <v>3057411</v>
          </cell>
          <cell r="Z184">
            <v>144</v>
          </cell>
          <cell r="AF184">
            <v>144</v>
          </cell>
          <cell r="AG184">
            <v>144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5">
          <cell r="B185">
            <v>105079</v>
          </cell>
          <cell r="C185" t="str">
            <v>RAPESEED 100 18L</v>
          </cell>
          <cell r="D185">
            <v>18</v>
          </cell>
          <cell r="E185">
            <v>1</v>
          </cell>
          <cell r="F185">
            <v>22250.410185185185</v>
          </cell>
          <cell r="G185">
            <v>24167.039814814816</v>
          </cell>
          <cell r="H185">
            <v>817</v>
          </cell>
          <cell r="I185">
            <v>0</v>
          </cell>
          <cell r="J185">
            <v>26</v>
          </cell>
          <cell r="K185">
            <v>0</v>
          </cell>
          <cell r="L185">
            <v>53</v>
          </cell>
          <cell r="M185">
            <v>0</v>
          </cell>
          <cell r="N185">
            <v>134</v>
          </cell>
          <cell r="O185">
            <v>0</v>
          </cell>
          <cell r="P185">
            <v>50</v>
          </cell>
          <cell r="Q185">
            <v>0</v>
          </cell>
          <cell r="R185">
            <v>1080</v>
          </cell>
          <cell r="S185">
            <v>0</v>
          </cell>
          <cell r="T185">
            <v>0</v>
          </cell>
          <cell r="U185">
            <v>0</v>
          </cell>
          <cell r="V185">
            <v>1080</v>
          </cell>
          <cell r="W185">
            <v>0</v>
          </cell>
          <cell r="X185">
            <v>24030443</v>
          </cell>
          <cell r="Y185">
            <v>26100403</v>
          </cell>
          <cell r="Z185">
            <v>817</v>
          </cell>
          <cell r="AB185">
            <v>26</v>
          </cell>
          <cell r="AC185">
            <v>73</v>
          </cell>
          <cell r="AD185">
            <v>134</v>
          </cell>
          <cell r="AE185">
            <v>50</v>
          </cell>
          <cell r="AF185">
            <v>1100</v>
          </cell>
          <cell r="AG185">
            <v>1100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20</v>
          </cell>
          <cell r="AP185">
            <v>445008</v>
          </cell>
          <cell r="AQ185">
            <v>483341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20</v>
          </cell>
          <cell r="AY185">
            <v>445008</v>
          </cell>
          <cell r="AZ185">
            <v>483341</v>
          </cell>
        </row>
        <row r="186">
          <cell r="B186">
            <v>105093</v>
          </cell>
          <cell r="C186" t="str">
            <v>200 18L</v>
          </cell>
          <cell r="D186">
            <v>18</v>
          </cell>
          <cell r="E186">
            <v>1</v>
          </cell>
          <cell r="F186">
            <v>20635.149732620321</v>
          </cell>
          <cell r="G186">
            <v>22332.280748663103</v>
          </cell>
          <cell r="H186">
            <v>374</v>
          </cell>
          <cell r="I186">
            <v>0</v>
          </cell>
          <cell r="R186">
            <v>374</v>
          </cell>
          <cell r="S186">
            <v>0</v>
          </cell>
          <cell r="T186">
            <v>0</v>
          </cell>
          <cell r="U186">
            <v>0</v>
          </cell>
          <cell r="V186">
            <v>374</v>
          </cell>
          <cell r="W186">
            <v>0</v>
          </cell>
          <cell r="X186">
            <v>7717546</v>
          </cell>
          <cell r="Y186">
            <v>8352273</v>
          </cell>
          <cell r="Z186">
            <v>374</v>
          </cell>
          <cell r="AF186">
            <v>374</v>
          </cell>
          <cell r="AG186">
            <v>374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7">
          <cell r="B187">
            <v>105102</v>
          </cell>
          <cell r="C187" t="str">
            <v>ARO 100 3.75L</v>
          </cell>
          <cell r="D187">
            <v>3.75</v>
          </cell>
          <cell r="E187">
            <v>6</v>
          </cell>
          <cell r="F187">
            <v>32415.802884615383</v>
          </cell>
          <cell r="G187">
            <v>34047.201923076922</v>
          </cell>
          <cell r="H187">
            <v>208</v>
          </cell>
          <cell r="I187">
            <v>0</v>
          </cell>
          <cell r="P187">
            <v>0</v>
          </cell>
          <cell r="Q187">
            <v>0</v>
          </cell>
          <cell r="R187">
            <v>208</v>
          </cell>
          <cell r="S187">
            <v>0</v>
          </cell>
          <cell r="T187">
            <v>0</v>
          </cell>
          <cell r="U187">
            <v>0</v>
          </cell>
          <cell r="V187">
            <v>208</v>
          </cell>
          <cell r="W187">
            <v>0</v>
          </cell>
          <cell r="X187">
            <v>6742487</v>
          </cell>
          <cell r="Y187">
            <v>7081818</v>
          </cell>
          <cell r="Z187">
            <v>207</v>
          </cell>
          <cell r="AF187">
            <v>207</v>
          </cell>
          <cell r="AG187">
            <v>207</v>
          </cell>
          <cell r="AI187">
            <v>-1</v>
          </cell>
          <cell r="AJ187">
            <v>-32415</v>
          </cell>
          <cell r="AK187">
            <v>-34046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-1</v>
          </cell>
          <cell r="AY187">
            <v>-32415</v>
          </cell>
          <cell r="AZ187">
            <v>-34046</v>
          </cell>
        </row>
        <row r="188">
          <cell r="B188">
            <v>105103</v>
          </cell>
          <cell r="C188" t="str">
            <v>E) 100 18L</v>
          </cell>
          <cell r="D188">
            <v>18</v>
          </cell>
          <cell r="E188">
            <v>1</v>
          </cell>
          <cell r="F188">
            <v>20060.344647519581</v>
          </cell>
          <cell r="G188">
            <v>21234.895561357702</v>
          </cell>
          <cell r="H188">
            <v>383</v>
          </cell>
          <cell r="I188">
            <v>0</v>
          </cell>
          <cell r="R188">
            <v>383</v>
          </cell>
          <cell r="S188">
            <v>0</v>
          </cell>
          <cell r="T188">
            <v>0</v>
          </cell>
          <cell r="U188">
            <v>0</v>
          </cell>
          <cell r="V188">
            <v>383</v>
          </cell>
          <cell r="W188">
            <v>0</v>
          </cell>
          <cell r="X188">
            <v>7683112</v>
          </cell>
          <cell r="Y188">
            <v>8132965</v>
          </cell>
          <cell r="Z188">
            <v>383</v>
          </cell>
          <cell r="AF188">
            <v>383</v>
          </cell>
          <cell r="AG188">
            <v>383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9">
          <cell r="B189">
            <v>105104</v>
          </cell>
          <cell r="C189" t="str">
            <v>ARO Corn Germ 3.75L</v>
          </cell>
          <cell r="D189">
            <v>3.75</v>
          </cell>
          <cell r="E189">
            <v>6</v>
          </cell>
          <cell r="F189">
            <v>36130.830645161288</v>
          </cell>
          <cell r="G189">
            <v>38636.625</v>
          </cell>
          <cell r="H189">
            <v>496</v>
          </cell>
          <cell r="I189">
            <v>0</v>
          </cell>
          <cell r="R189">
            <v>496</v>
          </cell>
          <cell r="S189">
            <v>0</v>
          </cell>
          <cell r="T189">
            <v>0</v>
          </cell>
          <cell r="U189">
            <v>0</v>
          </cell>
          <cell r="V189">
            <v>496</v>
          </cell>
          <cell r="W189">
            <v>0</v>
          </cell>
          <cell r="X189">
            <v>17920892</v>
          </cell>
          <cell r="Y189">
            <v>19163766</v>
          </cell>
          <cell r="Z189">
            <v>496</v>
          </cell>
          <cell r="AF189">
            <v>496</v>
          </cell>
          <cell r="AG189">
            <v>496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90">
          <cell r="B190">
            <v>105105</v>
          </cell>
          <cell r="C190" t="str">
            <v>Export S) Cottonseed 18L</v>
          </cell>
          <cell r="D190">
            <v>18</v>
          </cell>
          <cell r="E190">
            <v>1</v>
          </cell>
          <cell r="F190">
            <v>0</v>
          </cell>
          <cell r="G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AF190">
            <v>0</v>
          </cell>
          <cell r="AG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1">
          <cell r="B191">
            <v>105106</v>
          </cell>
          <cell r="C191" t="str">
            <v>ARO Cottonseed 3.75L</v>
          </cell>
          <cell r="D191">
            <v>3.75</v>
          </cell>
          <cell r="E191">
            <v>6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3</v>
          </cell>
          <cell r="Y191">
            <v>5</v>
          </cell>
          <cell r="AF191">
            <v>0</v>
          </cell>
          <cell r="AG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2">
          <cell r="B192">
            <v>105108</v>
          </cell>
          <cell r="C192" t="str">
            <v>ARO Rapeseed 3.75L</v>
          </cell>
          <cell r="D192">
            <v>3.75</v>
          </cell>
          <cell r="E192">
            <v>6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2</v>
          </cell>
          <cell r="Y192">
            <v>2</v>
          </cell>
          <cell r="AF192">
            <v>0</v>
          </cell>
          <cell r="AG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3">
          <cell r="B193">
            <v>107005</v>
          </cell>
          <cell r="C193" t="str">
            <v>PALM 17KG</v>
          </cell>
          <cell r="D193">
            <v>17</v>
          </cell>
          <cell r="E193">
            <v>1</v>
          </cell>
          <cell r="F193">
            <v>18299.176229508197</v>
          </cell>
          <cell r="G193">
            <v>19641.75</v>
          </cell>
          <cell r="H193">
            <v>227</v>
          </cell>
          <cell r="I193">
            <v>0</v>
          </cell>
          <cell r="N193">
            <v>17</v>
          </cell>
          <cell r="O193">
            <v>0</v>
          </cell>
          <cell r="R193">
            <v>244</v>
          </cell>
          <cell r="S193">
            <v>0</v>
          </cell>
          <cell r="T193">
            <v>0</v>
          </cell>
          <cell r="U193">
            <v>0</v>
          </cell>
          <cell r="V193">
            <v>244</v>
          </cell>
          <cell r="W193">
            <v>0</v>
          </cell>
          <cell r="X193">
            <v>4464999</v>
          </cell>
          <cell r="Y193">
            <v>4792587</v>
          </cell>
          <cell r="Z193">
            <v>227</v>
          </cell>
          <cell r="AD193">
            <v>17</v>
          </cell>
          <cell r="AF193">
            <v>244</v>
          </cell>
          <cell r="AG193">
            <v>244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4">
          <cell r="B194">
            <v>107010</v>
          </cell>
          <cell r="C194" t="str">
            <v>PALM TK</v>
          </cell>
          <cell r="D194">
            <v>1</v>
          </cell>
          <cell r="E194">
            <v>1</v>
          </cell>
          <cell r="F194">
            <v>0</v>
          </cell>
          <cell r="G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AF194">
            <v>0</v>
          </cell>
          <cell r="AG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5">
          <cell r="B195">
            <v>107012</v>
          </cell>
          <cell r="C195" t="str">
            <v>PALM 180KG</v>
          </cell>
          <cell r="D195">
            <v>180</v>
          </cell>
          <cell r="E195">
            <v>1</v>
          </cell>
          <cell r="F195">
            <v>190503.20338983051</v>
          </cell>
          <cell r="G195">
            <v>203132.06779661018</v>
          </cell>
          <cell r="H195">
            <v>47</v>
          </cell>
          <cell r="I195">
            <v>0</v>
          </cell>
          <cell r="N195">
            <v>5</v>
          </cell>
          <cell r="O195">
            <v>0</v>
          </cell>
          <cell r="P195">
            <v>7</v>
          </cell>
          <cell r="Q195">
            <v>0</v>
          </cell>
          <cell r="R195">
            <v>59</v>
          </cell>
          <cell r="S195">
            <v>0</v>
          </cell>
          <cell r="T195">
            <v>0</v>
          </cell>
          <cell r="U195">
            <v>0</v>
          </cell>
          <cell r="V195">
            <v>59</v>
          </cell>
          <cell r="W195">
            <v>0</v>
          </cell>
          <cell r="X195">
            <v>11239689</v>
          </cell>
          <cell r="Y195">
            <v>11984792</v>
          </cell>
          <cell r="Z195">
            <v>47</v>
          </cell>
          <cell r="AD195">
            <v>5</v>
          </cell>
          <cell r="AE195">
            <v>7</v>
          </cell>
          <cell r="AF195">
            <v>59</v>
          </cell>
          <cell r="AG195">
            <v>59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6">
          <cell r="B196">
            <v>107015</v>
          </cell>
          <cell r="C196" t="str">
            <v>PALM OLEIN TK</v>
          </cell>
          <cell r="D196">
            <v>1</v>
          </cell>
          <cell r="E196">
            <v>1</v>
          </cell>
          <cell r="F196">
            <v>0</v>
          </cell>
          <cell r="G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AF196">
            <v>0</v>
          </cell>
          <cell r="AG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B197">
            <v>107016</v>
          </cell>
          <cell r="C197" t="str">
            <v>PALM OLEIN 17KG</v>
          </cell>
          <cell r="D197">
            <v>17</v>
          </cell>
          <cell r="E197">
            <v>1</v>
          </cell>
          <cell r="F197">
            <v>19897.284</v>
          </cell>
          <cell r="G197">
            <v>21218.513999999999</v>
          </cell>
          <cell r="H197">
            <v>500</v>
          </cell>
          <cell r="I197">
            <v>0</v>
          </cell>
          <cell r="R197">
            <v>500</v>
          </cell>
          <cell r="S197">
            <v>0</v>
          </cell>
          <cell r="T197">
            <v>0</v>
          </cell>
          <cell r="U197">
            <v>0</v>
          </cell>
          <cell r="V197">
            <v>500</v>
          </cell>
          <cell r="W197">
            <v>0</v>
          </cell>
          <cell r="X197">
            <v>9948642</v>
          </cell>
          <cell r="Y197">
            <v>10609257</v>
          </cell>
          <cell r="Z197">
            <v>500</v>
          </cell>
          <cell r="AF197">
            <v>500</v>
          </cell>
          <cell r="AG197">
            <v>500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8">
          <cell r="B198">
            <v>107017</v>
          </cell>
          <cell r="C198" t="str">
            <v>PALM OLEIN 180KG</v>
          </cell>
          <cell r="D198">
            <v>180</v>
          </cell>
          <cell r="E198">
            <v>1</v>
          </cell>
          <cell r="F198">
            <v>0</v>
          </cell>
          <cell r="G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AF198">
            <v>0</v>
          </cell>
          <cell r="AG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B199">
            <v>107019</v>
          </cell>
          <cell r="C199" t="str">
            <v>CORN TK</v>
          </cell>
          <cell r="D199">
            <v>1</v>
          </cell>
          <cell r="E199">
            <v>1</v>
          </cell>
          <cell r="F199">
            <v>0</v>
          </cell>
          <cell r="G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AF199">
            <v>0</v>
          </cell>
          <cell r="AG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200">
          <cell r="B200">
            <v>107021</v>
          </cell>
          <cell r="C200" t="str">
            <v>CORN 180KG</v>
          </cell>
          <cell r="D200">
            <v>180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1</v>
          </cell>
          <cell r="Y200">
            <v>0</v>
          </cell>
          <cell r="AF200">
            <v>0</v>
          </cell>
          <cell r="AG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1">
          <cell r="B201">
            <v>107022</v>
          </cell>
          <cell r="C201" t="str">
            <v>Palm Stearin TK</v>
          </cell>
          <cell r="D201">
            <v>1</v>
          </cell>
          <cell r="E201">
            <v>1</v>
          </cell>
          <cell r="F201">
            <v>0</v>
          </cell>
          <cell r="G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AF201">
            <v>0</v>
          </cell>
          <cell r="AG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2">
          <cell r="B202">
            <v>107025</v>
          </cell>
          <cell r="C202" t="str">
            <v>COCONUT TK</v>
          </cell>
          <cell r="D202">
            <v>1</v>
          </cell>
          <cell r="E202">
            <v>1</v>
          </cell>
          <cell r="F202">
            <v>0</v>
          </cell>
          <cell r="G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AF202">
            <v>0</v>
          </cell>
          <cell r="AG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3">
          <cell r="B203">
            <v>107027</v>
          </cell>
          <cell r="C203" t="str">
            <v>COCONUT 180KG</v>
          </cell>
          <cell r="D203">
            <v>180</v>
          </cell>
          <cell r="E203">
            <v>1</v>
          </cell>
          <cell r="F203">
            <v>209535.66666666666</v>
          </cell>
          <cell r="G203">
            <v>227234.83333333334</v>
          </cell>
          <cell r="H203">
            <v>1</v>
          </cell>
          <cell r="I203">
            <v>0</v>
          </cell>
          <cell r="J203">
            <v>5</v>
          </cell>
          <cell r="K203">
            <v>0</v>
          </cell>
          <cell r="R203">
            <v>6</v>
          </cell>
          <cell r="S203">
            <v>0</v>
          </cell>
          <cell r="T203">
            <v>0</v>
          </cell>
          <cell r="U203">
            <v>0</v>
          </cell>
          <cell r="V203">
            <v>6</v>
          </cell>
          <cell r="W203">
            <v>0</v>
          </cell>
          <cell r="X203">
            <v>1257214</v>
          </cell>
          <cell r="Y203">
            <v>1363409</v>
          </cell>
          <cell r="Z203">
            <v>1</v>
          </cell>
          <cell r="AB203">
            <v>5</v>
          </cell>
          <cell r="AF203">
            <v>6</v>
          </cell>
          <cell r="AG203">
            <v>6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4">
          <cell r="B204">
            <v>107028</v>
          </cell>
          <cell r="C204" t="str">
            <v>COCONUT-H TK</v>
          </cell>
          <cell r="D204">
            <v>1</v>
          </cell>
          <cell r="E204">
            <v>1</v>
          </cell>
          <cell r="F204">
            <v>0</v>
          </cell>
          <cell r="G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AF204">
            <v>0</v>
          </cell>
          <cell r="AG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5">
          <cell r="B205">
            <v>107029</v>
          </cell>
          <cell r="C205" t="str">
            <v>COCONUT-H 180KG</v>
          </cell>
          <cell r="D205">
            <v>180</v>
          </cell>
          <cell r="E205">
            <v>1</v>
          </cell>
          <cell r="F205">
            <v>217868</v>
          </cell>
          <cell r="G205">
            <v>238306.4</v>
          </cell>
          <cell r="H205">
            <v>5</v>
          </cell>
          <cell r="I205">
            <v>0</v>
          </cell>
          <cell r="R205">
            <v>5</v>
          </cell>
          <cell r="S205">
            <v>0</v>
          </cell>
          <cell r="T205">
            <v>0</v>
          </cell>
          <cell r="U205">
            <v>0</v>
          </cell>
          <cell r="V205">
            <v>5</v>
          </cell>
          <cell r="W205">
            <v>0</v>
          </cell>
          <cell r="X205">
            <v>1089340</v>
          </cell>
          <cell r="Y205">
            <v>1191532</v>
          </cell>
          <cell r="Z205">
            <v>5</v>
          </cell>
          <cell r="AF205">
            <v>5</v>
          </cell>
          <cell r="AG205">
            <v>5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6">
          <cell r="B206">
            <v>107030</v>
          </cell>
          <cell r="C206" t="str">
            <v>COCONUT 14KG</v>
          </cell>
          <cell r="D206">
            <v>14</v>
          </cell>
          <cell r="E206">
            <v>1</v>
          </cell>
          <cell r="F206">
            <v>16518.722275795564</v>
          </cell>
          <cell r="G206">
            <v>17859.997107039537</v>
          </cell>
          <cell r="H206">
            <v>1037</v>
          </cell>
          <cell r="I206">
            <v>0</v>
          </cell>
          <cell r="R206">
            <v>1037</v>
          </cell>
          <cell r="S206">
            <v>0</v>
          </cell>
          <cell r="T206">
            <v>0</v>
          </cell>
          <cell r="U206">
            <v>0</v>
          </cell>
          <cell r="V206">
            <v>1037</v>
          </cell>
          <cell r="W206">
            <v>0</v>
          </cell>
          <cell r="X206">
            <v>17129915</v>
          </cell>
          <cell r="Y206">
            <v>18520817</v>
          </cell>
          <cell r="Z206">
            <v>1037</v>
          </cell>
          <cell r="AF206">
            <v>1037</v>
          </cell>
          <cell r="AG206">
            <v>1037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7">
          <cell r="B207">
            <v>107032</v>
          </cell>
          <cell r="C207" t="str">
            <v>COCONUT-H 14KG</v>
          </cell>
          <cell r="D207">
            <v>14</v>
          </cell>
          <cell r="E207">
            <v>1</v>
          </cell>
          <cell r="F207">
            <v>17513.221830985916</v>
          </cell>
          <cell r="G207">
            <v>19152.8125</v>
          </cell>
          <cell r="H207">
            <v>1041</v>
          </cell>
          <cell r="I207">
            <v>0</v>
          </cell>
          <cell r="J207">
            <v>75</v>
          </cell>
          <cell r="K207">
            <v>0</v>
          </cell>
          <cell r="N207">
            <v>20</v>
          </cell>
          <cell r="O207">
            <v>0</v>
          </cell>
          <cell r="R207">
            <v>1136</v>
          </cell>
          <cell r="S207">
            <v>0</v>
          </cell>
          <cell r="T207">
            <v>0</v>
          </cell>
          <cell r="U207">
            <v>0</v>
          </cell>
          <cell r="V207">
            <v>1136</v>
          </cell>
          <cell r="W207">
            <v>0</v>
          </cell>
          <cell r="X207">
            <v>19895020</v>
          </cell>
          <cell r="Y207">
            <v>21757595</v>
          </cell>
          <cell r="Z207">
            <v>1041</v>
          </cell>
          <cell r="AB207">
            <v>75</v>
          </cell>
          <cell r="AD207">
            <v>20</v>
          </cell>
          <cell r="AF207">
            <v>1136</v>
          </cell>
          <cell r="AG207">
            <v>1136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8">
          <cell r="B208">
            <v>107033</v>
          </cell>
          <cell r="C208" t="str">
            <v>Palm TK (B)</v>
          </cell>
          <cell r="D208">
            <v>1</v>
          </cell>
          <cell r="E208">
            <v>1</v>
          </cell>
          <cell r="F208">
            <v>0</v>
          </cell>
          <cell r="G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AF208">
            <v>0</v>
          </cell>
          <cell r="AG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9">
          <cell r="B209">
            <v>107035</v>
          </cell>
          <cell r="C209" t="str">
            <v>COTTONSEED 180KG</v>
          </cell>
          <cell r="D209">
            <v>180</v>
          </cell>
          <cell r="E209">
            <v>1</v>
          </cell>
          <cell r="F209">
            <v>227938.08450704225</v>
          </cell>
          <cell r="G209">
            <v>258322.53521126762</v>
          </cell>
          <cell r="H209">
            <v>37</v>
          </cell>
          <cell r="I209">
            <v>0</v>
          </cell>
          <cell r="J209">
            <v>25</v>
          </cell>
          <cell r="K209">
            <v>0</v>
          </cell>
          <cell r="N209">
            <v>9</v>
          </cell>
          <cell r="O209">
            <v>0</v>
          </cell>
          <cell r="R209">
            <v>71</v>
          </cell>
          <cell r="S209">
            <v>0</v>
          </cell>
          <cell r="T209">
            <v>0</v>
          </cell>
          <cell r="U209">
            <v>0</v>
          </cell>
          <cell r="V209">
            <v>71</v>
          </cell>
          <cell r="W209">
            <v>0</v>
          </cell>
          <cell r="X209">
            <v>16183604</v>
          </cell>
          <cell r="Y209">
            <v>18340900</v>
          </cell>
          <cell r="Z209">
            <v>37</v>
          </cell>
          <cell r="AB209">
            <v>25</v>
          </cell>
          <cell r="AD209">
            <v>9</v>
          </cell>
          <cell r="AF209">
            <v>71</v>
          </cell>
          <cell r="AG209">
            <v>71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10">
          <cell r="B210">
            <v>107039</v>
          </cell>
          <cell r="C210" t="str">
            <v>TALLOW 14KG</v>
          </cell>
          <cell r="D210">
            <v>14</v>
          </cell>
          <cell r="E210">
            <v>1</v>
          </cell>
          <cell r="F210">
            <v>12761.050420168067</v>
          </cell>
          <cell r="G210">
            <v>13908.6918767507</v>
          </cell>
          <cell r="H210">
            <v>356</v>
          </cell>
          <cell r="I210">
            <v>0</v>
          </cell>
          <cell r="J210">
            <v>1</v>
          </cell>
          <cell r="K210">
            <v>0</v>
          </cell>
          <cell r="R210">
            <v>357</v>
          </cell>
          <cell r="S210">
            <v>0</v>
          </cell>
          <cell r="T210">
            <v>0</v>
          </cell>
          <cell r="U210">
            <v>0</v>
          </cell>
          <cell r="V210">
            <v>357</v>
          </cell>
          <cell r="W210">
            <v>0</v>
          </cell>
          <cell r="X210">
            <v>4555695</v>
          </cell>
          <cell r="Y210">
            <v>4965403</v>
          </cell>
          <cell r="Z210">
            <v>356</v>
          </cell>
          <cell r="AB210">
            <v>1</v>
          </cell>
          <cell r="AF210">
            <v>357</v>
          </cell>
          <cell r="AG210">
            <v>357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1">
          <cell r="B211">
            <v>107049</v>
          </cell>
          <cell r="C211" t="str">
            <v>S) Palm TK</v>
          </cell>
          <cell r="D211">
            <v>1</v>
          </cell>
          <cell r="E211">
            <v>1</v>
          </cell>
          <cell r="F211">
            <v>0</v>
          </cell>
          <cell r="G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AF211">
            <v>0</v>
          </cell>
          <cell r="AG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2">
          <cell r="B212">
            <v>107052</v>
          </cell>
          <cell r="C212" t="str">
            <v>H-F 100 TK</v>
          </cell>
          <cell r="D212">
            <v>1</v>
          </cell>
          <cell r="E212">
            <v>1</v>
          </cell>
          <cell r="F212">
            <v>0</v>
          </cell>
          <cell r="G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AF212">
            <v>0</v>
          </cell>
          <cell r="AG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3">
          <cell r="B213">
            <v>107053</v>
          </cell>
          <cell r="C213" t="str">
            <v>H-F 300 TK</v>
          </cell>
          <cell r="D213">
            <v>1</v>
          </cell>
          <cell r="E213">
            <v>1</v>
          </cell>
          <cell r="F213">
            <v>0</v>
          </cell>
          <cell r="G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AF213">
            <v>0</v>
          </cell>
          <cell r="AG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4">
          <cell r="B214">
            <v>107058</v>
          </cell>
          <cell r="C214" t="str">
            <v>Palm Olein 17kg</v>
          </cell>
          <cell r="D214">
            <v>17</v>
          </cell>
          <cell r="E214">
            <v>1</v>
          </cell>
          <cell r="F214">
            <v>0</v>
          </cell>
          <cell r="G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AF214">
            <v>0</v>
          </cell>
          <cell r="AG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5">
          <cell r="B215">
            <v>107069</v>
          </cell>
          <cell r="C215" t="str">
            <v>COTTONSEED GOLD TK (SAJO)</v>
          </cell>
          <cell r="D215">
            <v>1</v>
          </cell>
          <cell r="E215">
            <v>1</v>
          </cell>
          <cell r="F215">
            <v>0</v>
          </cell>
          <cell r="G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AF215">
            <v>0</v>
          </cell>
          <cell r="AG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6">
          <cell r="B216">
            <v>107070</v>
          </cell>
          <cell r="C216" t="str">
            <v>COTTONSEED-W 180KG</v>
          </cell>
          <cell r="D216">
            <v>180</v>
          </cell>
          <cell r="E216">
            <v>1</v>
          </cell>
          <cell r="F216">
            <v>0</v>
          </cell>
          <cell r="G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AF216">
            <v>0</v>
          </cell>
          <cell r="AG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7">
          <cell r="B217">
            <v>107074</v>
          </cell>
          <cell r="C217" t="str">
            <v>VEGETABLE FAT TK</v>
          </cell>
          <cell r="D217">
            <v>1</v>
          </cell>
          <cell r="E217">
            <v>1</v>
          </cell>
          <cell r="F217">
            <v>0</v>
          </cell>
          <cell r="G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AF217">
            <v>0</v>
          </cell>
          <cell r="AG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8">
          <cell r="B218">
            <v>107081</v>
          </cell>
          <cell r="C218" t="str">
            <v>Soybean 180kg</v>
          </cell>
          <cell r="D218">
            <v>180</v>
          </cell>
          <cell r="E218">
            <v>1</v>
          </cell>
          <cell r="F218">
            <v>212453.2794117647</v>
          </cell>
          <cell r="G218">
            <v>225889.32352941178</v>
          </cell>
          <cell r="H218">
            <v>50</v>
          </cell>
          <cell r="I218">
            <v>0</v>
          </cell>
          <cell r="J218">
            <v>8</v>
          </cell>
          <cell r="K218">
            <v>0</v>
          </cell>
          <cell r="N218">
            <v>10</v>
          </cell>
          <cell r="O218">
            <v>0</v>
          </cell>
          <cell r="R218">
            <v>68</v>
          </cell>
          <cell r="S218">
            <v>0</v>
          </cell>
          <cell r="T218">
            <v>0</v>
          </cell>
          <cell r="U218">
            <v>0</v>
          </cell>
          <cell r="V218">
            <v>68</v>
          </cell>
          <cell r="W218">
            <v>0</v>
          </cell>
          <cell r="X218">
            <v>14446823</v>
          </cell>
          <cell r="Y218">
            <v>15360474</v>
          </cell>
          <cell r="Z218">
            <v>50</v>
          </cell>
          <cell r="AB218">
            <v>8</v>
          </cell>
          <cell r="AD218">
            <v>10</v>
          </cell>
          <cell r="AF218">
            <v>68</v>
          </cell>
          <cell r="AG218">
            <v>68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9">
          <cell r="B219">
            <v>107085</v>
          </cell>
          <cell r="C219" t="str">
            <v>Soybean 100 TK</v>
          </cell>
          <cell r="D219">
            <v>1</v>
          </cell>
          <cell r="E219">
            <v>1</v>
          </cell>
          <cell r="F219">
            <v>0</v>
          </cell>
          <cell r="G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AF219">
            <v>0</v>
          </cell>
          <cell r="AG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B220">
            <v>107087</v>
          </cell>
          <cell r="C220" t="str">
            <v>Rapeseed 100 180kg</v>
          </cell>
          <cell r="D220">
            <v>180</v>
          </cell>
          <cell r="E220">
            <v>1</v>
          </cell>
          <cell r="F220">
            <v>0</v>
          </cell>
          <cell r="G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AF220">
            <v>0</v>
          </cell>
          <cell r="AG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1">
          <cell r="B221">
            <v>107094</v>
          </cell>
          <cell r="C221" t="str">
            <v>Vegetable Mixed TK</v>
          </cell>
          <cell r="D221">
            <v>1</v>
          </cell>
          <cell r="E221">
            <v>1</v>
          </cell>
          <cell r="F221">
            <v>0</v>
          </cell>
          <cell r="G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AF221">
            <v>0</v>
          </cell>
          <cell r="AG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2">
          <cell r="B222">
            <v>107097</v>
          </cell>
          <cell r="C222" t="str">
            <v>Cottonseed-H TK</v>
          </cell>
          <cell r="D222">
            <v>1</v>
          </cell>
          <cell r="E222">
            <v>1</v>
          </cell>
          <cell r="F222">
            <v>0</v>
          </cell>
          <cell r="G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AF222">
            <v>0</v>
          </cell>
          <cell r="AG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3">
          <cell r="B223">
            <v>107098</v>
          </cell>
          <cell r="C223" t="str">
            <v>S) Cottonseed TK</v>
          </cell>
          <cell r="D223">
            <v>1</v>
          </cell>
          <cell r="E223">
            <v>1</v>
          </cell>
          <cell r="F223">
            <v>0</v>
          </cell>
          <cell r="G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AF223">
            <v>0</v>
          </cell>
          <cell r="AG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4">
          <cell r="B224">
            <v>107100</v>
          </cell>
          <cell r="C224" t="str">
            <v>Vegetable Frying 100 TK</v>
          </cell>
          <cell r="D224">
            <v>1</v>
          </cell>
          <cell r="E224">
            <v>1</v>
          </cell>
          <cell r="F224">
            <v>0</v>
          </cell>
          <cell r="G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AF224">
            <v>0</v>
          </cell>
          <cell r="AG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B225">
            <v>107102</v>
          </cell>
          <cell r="C225" t="str">
            <v>Superol 100 TK</v>
          </cell>
          <cell r="D225">
            <v>1</v>
          </cell>
          <cell r="E225">
            <v>1</v>
          </cell>
          <cell r="F225">
            <v>0</v>
          </cell>
          <cell r="G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AF225">
            <v>0</v>
          </cell>
          <cell r="AG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B226">
            <v>107103</v>
          </cell>
          <cell r="C226" t="str">
            <v>Fat for Cream TK</v>
          </cell>
          <cell r="D226">
            <v>1</v>
          </cell>
          <cell r="E226">
            <v>1</v>
          </cell>
          <cell r="F226">
            <v>0</v>
          </cell>
          <cell r="G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AF226">
            <v>0</v>
          </cell>
          <cell r="AG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7">
          <cell r="B227">
            <v>107104</v>
          </cell>
          <cell r="C227" t="str">
            <v>Superol 200 TK</v>
          </cell>
          <cell r="D227">
            <v>1</v>
          </cell>
          <cell r="E227">
            <v>1</v>
          </cell>
          <cell r="F227">
            <v>0</v>
          </cell>
          <cell r="G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AF227">
            <v>0</v>
          </cell>
          <cell r="AG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8">
          <cell r="B228">
            <v>107105</v>
          </cell>
          <cell r="C228" t="str">
            <v>Blending Vegetable 100 TK</v>
          </cell>
          <cell r="D228">
            <v>1</v>
          </cell>
          <cell r="E228">
            <v>1</v>
          </cell>
          <cell r="F228">
            <v>0</v>
          </cell>
          <cell r="G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AF228">
            <v>0</v>
          </cell>
          <cell r="AG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9">
          <cell r="B229">
            <v>107106</v>
          </cell>
          <cell r="C229" t="str">
            <v>Blending Vegetable 200 TK</v>
          </cell>
          <cell r="D229">
            <v>1</v>
          </cell>
          <cell r="E229">
            <v>1</v>
          </cell>
          <cell r="F229">
            <v>0</v>
          </cell>
          <cell r="G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AF229">
            <v>0</v>
          </cell>
          <cell r="AG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30">
          <cell r="B230">
            <v>107112</v>
          </cell>
          <cell r="C230" t="str">
            <v>H-F 500 TK</v>
          </cell>
          <cell r="D230">
            <v>1</v>
          </cell>
          <cell r="E230">
            <v>1</v>
          </cell>
          <cell r="F230">
            <v>0</v>
          </cell>
          <cell r="G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AF230">
            <v>0</v>
          </cell>
          <cell r="AG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1">
          <cell r="B231">
            <v>107113</v>
          </cell>
          <cell r="C231" t="str">
            <v>Soco 100 17kg</v>
          </cell>
          <cell r="D231">
            <v>17</v>
          </cell>
          <cell r="E231">
            <v>1</v>
          </cell>
          <cell r="F231">
            <v>0</v>
          </cell>
          <cell r="G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AF231">
            <v>0</v>
          </cell>
          <cell r="AG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2">
          <cell r="B232">
            <v>107115</v>
          </cell>
          <cell r="C232" t="str">
            <v>Palm Kernel-H 27kg</v>
          </cell>
          <cell r="D232">
            <v>27</v>
          </cell>
          <cell r="E232">
            <v>1</v>
          </cell>
          <cell r="F232">
            <v>32189.23076923077</v>
          </cell>
          <cell r="G232">
            <v>34929.347985347988</v>
          </cell>
          <cell r="H232">
            <v>273</v>
          </cell>
          <cell r="I232">
            <v>0</v>
          </cell>
          <cell r="R232">
            <v>273</v>
          </cell>
          <cell r="S232">
            <v>0</v>
          </cell>
          <cell r="T232">
            <v>0</v>
          </cell>
          <cell r="U232">
            <v>0</v>
          </cell>
          <cell r="V232">
            <v>273</v>
          </cell>
          <cell r="W232">
            <v>0</v>
          </cell>
          <cell r="X232">
            <v>8787660</v>
          </cell>
          <cell r="Y232">
            <v>9535712</v>
          </cell>
          <cell r="Z232">
            <v>273</v>
          </cell>
          <cell r="AF232">
            <v>273</v>
          </cell>
          <cell r="AG232">
            <v>273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3">
          <cell r="B233">
            <v>107120</v>
          </cell>
          <cell r="C233" t="str">
            <v>Cottonseed-H 27kg</v>
          </cell>
          <cell r="D233">
            <v>27</v>
          </cell>
          <cell r="E233">
            <v>1</v>
          </cell>
          <cell r="F233">
            <v>34122.939622641512</v>
          </cell>
          <cell r="G233">
            <v>38257.237735849056</v>
          </cell>
          <cell r="H233">
            <v>265</v>
          </cell>
          <cell r="I233">
            <v>0</v>
          </cell>
          <cell r="R233">
            <v>265</v>
          </cell>
          <cell r="S233">
            <v>0</v>
          </cell>
          <cell r="T233">
            <v>0</v>
          </cell>
          <cell r="U233">
            <v>0</v>
          </cell>
          <cell r="V233">
            <v>265</v>
          </cell>
          <cell r="W233">
            <v>0</v>
          </cell>
          <cell r="X233">
            <v>9042579</v>
          </cell>
          <cell r="Y233">
            <v>10138168</v>
          </cell>
          <cell r="Z233">
            <v>265</v>
          </cell>
          <cell r="AF233">
            <v>265</v>
          </cell>
          <cell r="AG233">
            <v>265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4">
          <cell r="B234">
            <v>107121</v>
          </cell>
          <cell r="C234" t="str">
            <v>Palm Stearin-H TK</v>
          </cell>
          <cell r="D234">
            <v>1</v>
          </cell>
          <cell r="E234">
            <v>1</v>
          </cell>
          <cell r="F234">
            <v>0</v>
          </cell>
          <cell r="G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AF234">
            <v>0</v>
          </cell>
          <cell r="AG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5">
          <cell r="B235">
            <v>107123</v>
          </cell>
          <cell r="C235" t="str">
            <v>Palm-R TK</v>
          </cell>
          <cell r="D235">
            <v>1</v>
          </cell>
          <cell r="E235">
            <v>1</v>
          </cell>
          <cell r="F235">
            <v>0</v>
          </cell>
          <cell r="G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AF235">
            <v>0</v>
          </cell>
          <cell r="AG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6">
          <cell r="B236">
            <v>107135</v>
          </cell>
          <cell r="C236" t="str">
            <v>E) Coconut-H 14kg</v>
          </cell>
          <cell r="D236">
            <v>14</v>
          </cell>
          <cell r="E236">
            <v>1</v>
          </cell>
          <cell r="F236">
            <v>0</v>
          </cell>
          <cell r="G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AF236">
            <v>0</v>
          </cell>
          <cell r="AG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7">
          <cell r="B237">
            <v>107139</v>
          </cell>
          <cell r="C237" t="str">
            <v>Tallow 20kg</v>
          </cell>
          <cell r="D237">
            <v>20</v>
          </cell>
          <cell r="E237">
            <v>1</v>
          </cell>
          <cell r="F237">
            <v>0</v>
          </cell>
          <cell r="G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AF237">
            <v>0</v>
          </cell>
          <cell r="AG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8">
          <cell r="B238">
            <v>109020</v>
          </cell>
          <cell r="C238" t="str">
            <v>DECORATION-D 5KG</v>
          </cell>
          <cell r="D238">
            <v>5</v>
          </cell>
          <cell r="E238">
            <v>1</v>
          </cell>
          <cell r="F238">
            <v>10502.726008344924</v>
          </cell>
          <cell r="G238">
            <v>13745.19471488178</v>
          </cell>
          <cell r="H238">
            <v>506</v>
          </cell>
          <cell r="I238">
            <v>0</v>
          </cell>
          <cell r="J238">
            <v>71</v>
          </cell>
          <cell r="K238">
            <v>0</v>
          </cell>
          <cell r="L238">
            <v>21</v>
          </cell>
          <cell r="M238">
            <v>0</v>
          </cell>
          <cell r="N238">
            <v>75</v>
          </cell>
          <cell r="O238">
            <v>0</v>
          </cell>
          <cell r="P238">
            <v>46</v>
          </cell>
          <cell r="Q238">
            <v>0</v>
          </cell>
          <cell r="R238">
            <v>719</v>
          </cell>
          <cell r="S238">
            <v>0</v>
          </cell>
          <cell r="T238">
            <v>0</v>
          </cell>
          <cell r="U238">
            <v>0</v>
          </cell>
          <cell r="V238">
            <v>719</v>
          </cell>
          <cell r="W238">
            <v>0</v>
          </cell>
          <cell r="X238">
            <v>7551460</v>
          </cell>
          <cell r="Y238">
            <v>9882795</v>
          </cell>
          <cell r="Z238">
            <v>506</v>
          </cell>
          <cell r="AB238">
            <v>71</v>
          </cell>
          <cell r="AC238">
            <v>21</v>
          </cell>
          <cell r="AD238">
            <v>75</v>
          </cell>
          <cell r="AE238">
            <v>46</v>
          </cell>
          <cell r="AF238">
            <v>719</v>
          </cell>
          <cell r="AG238">
            <v>719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9">
          <cell r="B239">
            <v>109022</v>
          </cell>
          <cell r="C239" t="str">
            <v>S) WHITE 5KG</v>
          </cell>
          <cell r="D239">
            <v>5</v>
          </cell>
          <cell r="E239">
            <v>1</v>
          </cell>
          <cell r="F239">
            <v>11234.273504273504</v>
          </cell>
          <cell r="G239">
            <v>14018.025641025641</v>
          </cell>
          <cell r="H239">
            <v>178</v>
          </cell>
          <cell r="I239">
            <v>0</v>
          </cell>
          <cell r="J239">
            <v>26</v>
          </cell>
          <cell r="K239">
            <v>0</v>
          </cell>
          <cell r="L239">
            <v>17</v>
          </cell>
          <cell r="M239">
            <v>0</v>
          </cell>
          <cell r="N239">
            <v>68</v>
          </cell>
          <cell r="O239">
            <v>0</v>
          </cell>
          <cell r="P239">
            <v>62</v>
          </cell>
          <cell r="Q239">
            <v>0</v>
          </cell>
          <cell r="R239">
            <v>351</v>
          </cell>
          <cell r="S239">
            <v>0</v>
          </cell>
          <cell r="T239">
            <v>0</v>
          </cell>
          <cell r="U239">
            <v>0</v>
          </cell>
          <cell r="V239">
            <v>351</v>
          </cell>
          <cell r="W239">
            <v>0</v>
          </cell>
          <cell r="X239">
            <v>3943230</v>
          </cell>
          <cell r="Y239">
            <v>4920327</v>
          </cell>
          <cell r="Z239">
            <v>178</v>
          </cell>
          <cell r="AB239">
            <v>26</v>
          </cell>
          <cell r="AC239">
            <v>17</v>
          </cell>
          <cell r="AD239">
            <v>68</v>
          </cell>
          <cell r="AE239">
            <v>62</v>
          </cell>
          <cell r="AF239">
            <v>351</v>
          </cell>
          <cell r="AG239">
            <v>351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40">
          <cell r="B240">
            <v>109024</v>
          </cell>
          <cell r="C240" t="str">
            <v>CRYSTAL 5KG</v>
          </cell>
          <cell r="D240">
            <v>5</v>
          </cell>
          <cell r="E240">
            <v>1</v>
          </cell>
          <cell r="F240">
            <v>9995.3545454545456</v>
          </cell>
          <cell r="G240">
            <v>13123.945454545454</v>
          </cell>
          <cell r="H240">
            <v>75</v>
          </cell>
          <cell r="I240">
            <v>0</v>
          </cell>
          <cell r="L240">
            <v>23</v>
          </cell>
          <cell r="M240">
            <v>0</v>
          </cell>
          <cell r="P240">
            <v>12</v>
          </cell>
          <cell r="Q240">
            <v>0</v>
          </cell>
          <cell r="R240">
            <v>110</v>
          </cell>
          <cell r="S240">
            <v>0</v>
          </cell>
          <cell r="T240">
            <v>0</v>
          </cell>
          <cell r="U240">
            <v>0</v>
          </cell>
          <cell r="V240">
            <v>110</v>
          </cell>
          <cell r="W240">
            <v>0</v>
          </cell>
          <cell r="X240">
            <v>1099489</v>
          </cell>
          <cell r="Y240">
            <v>1443634</v>
          </cell>
          <cell r="Z240">
            <v>75</v>
          </cell>
          <cell r="AC240">
            <v>23</v>
          </cell>
          <cell r="AE240">
            <v>12</v>
          </cell>
          <cell r="AF240">
            <v>110</v>
          </cell>
          <cell r="AG240">
            <v>110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1">
          <cell r="B241">
            <v>109026</v>
          </cell>
          <cell r="C241" t="str">
            <v>JADE 5KG</v>
          </cell>
          <cell r="D241">
            <v>5</v>
          </cell>
          <cell r="E241">
            <v>1</v>
          </cell>
          <cell r="F241">
            <v>9853.07</v>
          </cell>
          <cell r="G241">
            <v>13201.045</v>
          </cell>
          <cell r="H241">
            <v>180</v>
          </cell>
          <cell r="I241">
            <v>0</v>
          </cell>
          <cell r="P241">
            <v>20</v>
          </cell>
          <cell r="Q241">
            <v>0</v>
          </cell>
          <cell r="R241">
            <v>200</v>
          </cell>
          <cell r="S241">
            <v>0</v>
          </cell>
          <cell r="T241">
            <v>0</v>
          </cell>
          <cell r="U241">
            <v>0</v>
          </cell>
          <cell r="V241">
            <v>200</v>
          </cell>
          <cell r="W241">
            <v>0</v>
          </cell>
          <cell r="X241">
            <v>1970614</v>
          </cell>
          <cell r="Y241">
            <v>2640209</v>
          </cell>
          <cell r="Z241">
            <v>180</v>
          </cell>
          <cell r="AE241">
            <v>20</v>
          </cell>
          <cell r="AF241">
            <v>200</v>
          </cell>
          <cell r="AG241">
            <v>200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2">
          <cell r="B242">
            <v>109028</v>
          </cell>
          <cell r="C242" t="str">
            <v>SAPPHIRE 5KG</v>
          </cell>
          <cell r="D242">
            <v>5</v>
          </cell>
          <cell r="E242">
            <v>1</v>
          </cell>
          <cell r="F242">
            <v>13431.741379310344</v>
          </cell>
          <cell r="G242">
            <v>16011.741379310344</v>
          </cell>
          <cell r="H242">
            <v>48</v>
          </cell>
          <cell r="I242">
            <v>0</v>
          </cell>
          <cell r="J242">
            <v>10</v>
          </cell>
          <cell r="K242">
            <v>0</v>
          </cell>
          <cell r="R242">
            <v>58</v>
          </cell>
          <cell r="S242">
            <v>0</v>
          </cell>
          <cell r="T242">
            <v>0</v>
          </cell>
          <cell r="U242">
            <v>0</v>
          </cell>
          <cell r="V242">
            <v>58</v>
          </cell>
          <cell r="W242">
            <v>0</v>
          </cell>
          <cell r="X242">
            <v>779041</v>
          </cell>
          <cell r="Y242">
            <v>928681</v>
          </cell>
          <cell r="Z242">
            <v>48</v>
          </cell>
          <cell r="AB242">
            <v>10</v>
          </cell>
          <cell r="AF242">
            <v>58</v>
          </cell>
          <cell r="AG242">
            <v>58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</row>
        <row r="243">
          <cell r="B243">
            <v>109070</v>
          </cell>
          <cell r="C243" t="str">
            <v>S) MILK 15KG</v>
          </cell>
          <cell r="D243">
            <v>15</v>
          </cell>
          <cell r="E243">
            <v>1</v>
          </cell>
          <cell r="F243">
            <v>44499.197183098593</v>
          </cell>
          <cell r="G243">
            <v>53839.056338028167</v>
          </cell>
          <cell r="H243">
            <v>71</v>
          </cell>
          <cell r="I243">
            <v>0</v>
          </cell>
          <cell r="R243">
            <v>71</v>
          </cell>
          <cell r="S243">
            <v>0</v>
          </cell>
          <cell r="T243">
            <v>0</v>
          </cell>
          <cell r="U243">
            <v>0</v>
          </cell>
          <cell r="V243">
            <v>71</v>
          </cell>
          <cell r="W243">
            <v>0</v>
          </cell>
          <cell r="X243">
            <v>3159443</v>
          </cell>
          <cell r="Y243">
            <v>3822573</v>
          </cell>
          <cell r="Z243">
            <v>71</v>
          </cell>
          <cell r="AF243">
            <v>71</v>
          </cell>
          <cell r="AG243">
            <v>71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</row>
        <row r="244">
          <cell r="B244">
            <v>109082</v>
          </cell>
          <cell r="C244" t="str">
            <v>ENROBING 15KG</v>
          </cell>
          <cell r="D244">
            <v>15</v>
          </cell>
          <cell r="E244">
            <v>1</v>
          </cell>
          <cell r="F244">
            <v>29857.444444444445</v>
          </cell>
          <cell r="G244">
            <v>37110.240740740737</v>
          </cell>
          <cell r="H244">
            <v>54</v>
          </cell>
          <cell r="I244">
            <v>0</v>
          </cell>
          <cell r="R244">
            <v>54</v>
          </cell>
          <cell r="S244">
            <v>0</v>
          </cell>
          <cell r="T244">
            <v>0</v>
          </cell>
          <cell r="U244">
            <v>0</v>
          </cell>
          <cell r="V244">
            <v>54</v>
          </cell>
          <cell r="W244">
            <v>0</v>
          </cell>
          <cell r="X244">
            <v>1612302</v>
          </cell>
          <cell r="Y244">
            <v>2003953</v>
          </cell>
          <cell r="Z244">
            <v>54</v>
          </cell>
          <cell r="AF244">
            <v>54</v>
          </cell>
          <cell r="AG244">
            <v>54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</row>
        <row r="245">
          <cell r="B245">
            <v>109163</v>
          </cell>
          <cell r="C245" t="str">
            <v>Tae Tae TK</v>
          </cell>
          <cell r="D245">
            <v>1</v>
          </cell>
          <cell r="E245">
            <v>1</v>
          </cell>
          <cell r="F245">
            <v>0</v>
          </cell>
          <cell r="G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AF245">
            <v>0</v>
          </cell>
          <cell r="AG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</row>
        <row r="246">
          <cell r="B246">
            <v>109713</v>
          </cell>
          <cell r="C246" t="str">
            <v>C.B 11kg</v>
          </cell>
          <cell r="D246">
            <v>11</v>
          </cell>
          <cell r="E246">
            <v>1</v>
          </cell>
          <cell r="F246">
            <v>0</v>
          </cell>
          <cell r="G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AF246">
            <v>0</v>
          </cell>
          <cell r="AG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</row>
        <row r="247">
          <cell r="B247">
            <v>111030</v>
          </cell>
          <cell r="C247" t="str">
            <v>S) P/B 3KG (S)</v>
          </cell>
          <cell r="D247">
            <v>3</v>
          </cell>
          <cell r="E247">
            <v>1</v>
          </cell>
          <cell r="F247">
            <v>12924.367346938776</v>
          </cell>
          <cell r="G247">
            <v>15052.765306122448</v>
          </cell>
          <cell r="H247">
            <v>294</v>
          </cell>
          <cell r="I247">
            <v>0</v>
          </cell>
          <cell r="R247">
            <v>294</v>
          </cell>
          <cell r="S247">
            <v>0</v>
          </cell>
          <cell r="T247">
            <v>0</v>
          </cell>
          <cell r="U247">
            <v>0</v>
          </cell>
          <cell r="V247">
            <v>294</v>
          </cell>
          <cell r="W247">
            <v>0</v>
          </cell>
          <cell r="X247">
            <v>3799764</v>
          </cell>
          <cell r="Y247">
            <v>4425513</v>
          </cell>
          <cell r="Z247">
            <v>294</v>
          </cell>
          <cell r="AF247">
            <v>294</v>
          </cell>
          <cell r="AG247">
            <v>294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</row>
        <row r="248">
          <cell r="B248">
            <v>115060</v>
          </cell>
          <cell r="C248" t="str">
            <v>S) M/Y 1KG</v>
          </cell>
          <cell r="D248">
            <v>1</v>
          </cell>
          <cell r="E248">
            <v>10</v>
          </cell>
          <cell r="F248">
            <v>15123.441672780631</v>
          </cell>
          <cell r="G248">
            <v>17657.602347762288</v>
          </cell>
          <cell r="H248">
            <v>2231</v>
          </cell>
          <cell r="I248">
            <v>0</v>
          </cell>
          <cell r="J248">
            <v>77</v>
          </cell>
          <cell r="K248">
            <v>9</v>
          </cell>
          <cell r="L248">
            <v>55</v>
          </cell>
          <cell r="M248">
            <v>0</v>
          </cell>
          <cell r="N248">
            <v>338</v>
          </cell>
          <cell r="O248">
            <v>0</v>
          </cell>
          <cell r="P248">
            <v>25</v>
          </cell>
          <cell r="Q248">
            <v>0</v>
          </cell>
          <cell r="R248">
            <v>2726</v>
          </cell>
          <cell r="S248">
            <v>9</v>
          </cell>
          <cell r="T248">
            <v>0</v>
          </cell>
          <cell r="U248">
            <v>0</v>
          </cell>
          <cell r="V248">
            <v>2726</v>
          </cell>
          <cell r="W248">
            <v>9</v>
          </cell>
          <cell r="X248">
            <v>41226502</v>
          </cell>
          <cell r="Y248">
            <v>48134624</v>
          </cell>
          <cell r="Z248">
            <v>2231</v>
          </cell>
          <cell r="AB248">
            <v>77</v>
          </cell>
          <cell r="AC248">
            <v>55</v>
          </cell>
          <cell r="AD248">
            <v>338</v>
          </cell>
          <cell r="AE248">
            <v>25</v>
          </cell>
          <cell r="AF248">
            <v>2726</v>
          </cell>
          <cell r="AG248">
            <v>2726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</row>
        <row r="249">
          <cell r="B249">
            <v>115066</v>
          </cell>
          <cell r="C249" t="str">
            <v>H) M/Y 10kg (S)</v>
          </cell>
          <cell r="D249">
            <v>10</v>
          </cell>
          <cell r="E249">
            <v>1</v>
          </cell>
          <cell r="F249">
            <v>0</v>
          </cell>
          <cell r="G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AF249">
            <v>0</v>
          </cell>
          <cell r="AG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</row>
        <row r="250">
          <cell r="B250">
            <v>115067</v>
          </cell>
          <cell r="C250" t="str">
            <v>H) M/Y 3.2kg (S-Y)</v>
          </cell>
          <cell r="D250">
            <v>3.2</v>
          </cell>
          <cell r="E250">
            <v>4</v>
          </cell>
          <cell r="F250">
            <v>0</v>
          </cell>
          <cell r="G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AF250">
            <v>0</v>
          </cell>
          <cell r="AG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</row>
        <row r="251">
          <cell r="B251">
            <v>115068</v>
          </cell>
          <cell r="C251" t="str">
            <v>H) M/Y 3.2kg (S-B)</v>
          </cell>
          <cell r="D251">
            <v>3.2</v>
          </cell>
          <cell r="E251">
            <v>4</v>
          </cell>
          <cell r="F251">
            <v>18219.779088050316</v>
          </cell>
          <cell r="G251">
            <v>21849.011792452831</v>
          </cell>
          <cell r="H251">
            <v>1054</v>
          </cell>
          <cell r="I251">
            <v>0</v>
          </cell>
          <cell r="J251">
            <v>79</v>
          </cell>
          <cell r="K251">
            <v>1</v>
          </cell>
          <cell r="L251">
            <v>26</v>
          </cell>
          <cell r="M251">
            <v>1</v>
          </cell>
          <cell r="N251">
            <v>89</v>
          </cell>
          <cell r="O251">
            <v>1</v>
          </cell>
          <cell r="P251">
            <v>23</v>
          </cell>
          <cell r="Q251">
            <v>3</v>
          </cell>
          <cell r="R251">
            <v>1272</v>
          </cell>
          <cell r="S251">
            <v>2</v>
          </cell>
          <cell r="T251">
            <v>0</v>
          </cell>
          <cell r="U251">
            <v>0</v>
          </cell>
          <cell r="V251">
            <v>1272</v>
          </cell>
          <cell r="W251">
            <v>2</v>
          </cell>
          <cell r="X251">
            <v>23175559</v>
          </cell>
          <cell r="Y251">
            <v>27791943</v>
          </cell>
          <cell r="Z251">
            <v>1054</v>
          </cell>
          <cell r="AB251">
            <v>79</v>
          </cell>
          <cell r="AC251">
            <v>26</v>
          </cell>
          <cell r="AD251">
            <v>89</v>
          </cell>
          <cell r="AE251">
            <v>23</v>
          </cell>
          <cell r="AF251">
            <v>1271</v>
          </cell>
          <cell r="AG251">
            <v>1271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</row>
        <row r="252">
          <cell r="B252">
            <v>115069</v>
          </cell>
          <cell r="C252" t="str">
            <v>H) M/Y 10kg</v>
          </cell>
          <cell r="D252">
            <v>10</v>
          </cell>
          <cell r="E252">
            <v>1</v>
          </cell>
          <cell r="F252">
            <v>13922.684290030211</v>
          </cell>
          <cell r="G252">
            <v>16500.235649546827</v>
          </cell>
          <cell r="H252">
            <v>562</v>
          </cell>
          <cell r="I252">
            <v>0</v>
          </cell>
          <cell r="P252">
            <v>100</v>
          </cell>
          <cell r="Q252">
            <v>0</v>
          </cell>
          <cell r="R252">
            <v>662</v>
          </cell>
          <cell r="S252">
            <v>0</v>
          </cell>
          <cell r="T252">
            <v>0</v>
          </cell>
          <cell r="U252">
            <v>0</v>
          </cell>
          <cell r="V252">
            <v>662</v>
          </cell>
          <cell r="W252">
            <v>0</v>
          </cell>
          <cell r="X252">
            <v>9216817</v>
          </cell>
          <cell r="Y252">
            <v>10923156</v>
          </cell>
          <cell r="Z252">
            <v>562</v>
          </cell>
          <cell r="AE252">
            <v>100</v>
          </cell>
          <cell r="AF252">
            <v>662</v>
          </cell>
          <cell r="AG252">
            <v>662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</row>
        <row r="253">
          <cell r="B253">
            <v>115090</v>
          </cell>
          <cell r="C253" t="str">
            <v>Export H) M/Y 2kg</v>
          </cell>
          <cell r="D253">
            <v>2</v>
          </cell>
          <cell r="E253">
            <v>6</v>
          </cell>
          <cell r="F253">
            <v>0</v>
          </cell>
          <cell r="G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AF253">
            <v>0</v>
          </cell>
          <cell r="AG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</row>
        <row r="254">
          <cell r="B254">
            <v>115101</v>
          </cell>
          <cell r="C254" t="str">
            <v>H) Dressing 3.2kg</v>
          </cell>
          <cell r="D254">
            <v>3.2</v>
          </cell>
          <cell r="E254">
            <v>4</v>
          </cell>
          <cell r="F254">
            <v>0</v>
          </cell>
          <cell r="G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AF254">
            <v>0</v>
          </cell>
          <cell r="AG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</row>
        <row r="255">
          <cell r="B255">
            <v>115103</v>
          </cell>
          <cell r="C255" t="str">
            <v>H) Dressing 10kg</v>
          </cell>
          <cell r="D255">
            <v>10</v>
          </cell>
          <cell r="E255">
            <v>1</v>
          </cell>
          <cell r="F255">
            <v>9335.1230101302463</v>
          </cell>
          <cell r="G255">
            <v>11820.046309696092</v>
          </cell>
          <cell r="H255">
            <v>691</v>
          </cell>
          <cell r="I255">
            <v>0</v>
          </cell>
          <cell r="R255">
            <v>691</v>
          </cell>
          <cell r="S255">
            <v>0</v>
          </cell>
          <cell r="T255">
            <v>0</v>
          </cell>
          <cell r="U255">
            <v>0</v>
          </cell>
          <cell r="V255">
            <v>691</v>
          </cell>
          <cell r="W255">
            <v>0</v>
          </cell>
          <cell r="X255">
            <v>6450570</v>
          </cell>
          <cell r="Y255">
            <v>8167652</v>
          </cell>
          <cell r="Z255">
            <v>691</v>
          </cell>
          <cell r="AF255">
            <v>691</v>
          </cell>
          <cell r="AG255">
            <v>691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</row>
        <row r="256">
          <cell r="B256">
            <v>115105</v>
          </cell>
          <cell r="C256" t="str">
            <v>Dress. for Coleslaw 10kg</v>
          </cell>
          <cell r="D256">
            <v>10</v>
          </cell>
          <cell r="E256">
            <v>1</v>
          </cell>
          <cell r="F256">
            <v>9738.9700598802392</v>
          </cell>
          <cell r="G256">
            <v>12493.053892215568</v>
          </cell>
          <cell r="H256">
            <v>334</v>
          </cell>
          <cell r="I256">
            <v>0</v>
          </cell>
          <cell r="R256">
            <v>334</v>
          </cell>
          <cell r="S256">
            <v>0</v>
          </cell>
          <cell r="T256">
            <v>0</v>
          </cell>
          <cell r="U256">
            <v>0</v>
          </cell>
          <cell r="V256">
            <v>334</v>
          </cell>
          <cell r="W256">
            <v>0</v>
          </cell>
          <cell r="X256">
            <v>3252816</v>
          </cell>
          <cell r="Y256">
            <v>4172680</v>
          </cell>
          <cell r="Z256">
            <v>334</v>
          </cell>
          <cell r="AF256">
            <v>334</v>
          </cell>
          <cell r="AG256">
            <v>334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</row>
        <row r="257">
          <cell r="B257">
            <v>115552</v>
          </cell>
          <cell r="C257" t="str">
            <v>Export H) M/Y 3.2kg (Y)</v>
          </cell>
          <cell r="D257">
            <v>3.2</v>
          </cell>
          <cell r="E257">
            <v>4</v>
          </cell>
          <cell r="F257">
            <v>0</v>
          </cell>
          <cell r="G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AF257">
            <v>0</v>
          </cell>
          <cell r="AG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</row>
        <row r="258">
          <cell r="B258">
            <v>115553</v>
          </cell>
          <cell r="C258" t="str">
            <v>Export H) M/Y 3.2kg (B)</v>
          </cell>
          <cell r="D258">
            <v>3.2</v>
          </cell>
          <cell r="E258">
            <v>4</v>
          </cell>
          <cell r="F258">
            <v>17698</v>
          </cell>
          <cell r="G258">
            <v>20783</v>
          </cell>
          <cell r="H258">
            <v>1</v>
          </cell>
          <cell r="I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17698</v>
          </cell>
          <cell r="Y258">
            <v>20783</v>
          </cell>
          <cell r="Z258">
            <v>1</v>
          </cell>
          <cell r="AF258">
            <v>1</v>
          </cell>
          <cell r="AG258">
            <v>1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</row>
        <row r="259">
          <cell r="B259">
            <v>115554</v>
          </cell>
          <cell r="C259" t="str">
            <v>Export S) M/Y 1kg</v>
          </cell>
          <cell r="D259">
            <v>1</v>
          </cell>
          <cell r="E259">
            <v>10</v>
          </cell>
          <cell r="F259">
            <v>0</v>
          </cell>
          <cell r="G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AF259">
            <v>0</v>
          </cell>
          <cell r="AG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</row>
        <row r="260">
          <cell r="B260">
            <v>115555</v>
          </cell>
          <cell r="C260" t="str">
            <v>Export H) M/Y 1kg</v>
          </cell>
          <cell r="D260">
            <v>1</v>
          </cell>
          <cell r="E260">
            <v>10</v>
          </cell>
          <cell r="F260">
            <v>15056.48</v>
          </cell>
          <cell r="G260">
            <v>17465.939999999999</v>
          </cell>
          <cell r="H260">
            <v>50</v>
          </cell>
          <cell r="I260">
            <v>0</v>
          </cell>
          <cell r="R260">
            <v>50</v>
          </cell>
          <cell r="S260">
            <v>0</v>
          </cell>
          <cell r="T260">
            <v>0</v>
          </cell>
          <cell r="U260">
            <v>0</v>
          </cell>
          <cell r="V260">
            <v>50</v>
          </cell>
          <cell r="W260">
            <v>0</v>
          </cell>
          <cell r="X260">
            <v>752824</v>
          </cell>
          <cell r="Y260">
            <v>873297</v>
          </cell>
          <cell r="Z260">
            <v>50</v>
          </cell>
          <cell r="AF260">
            <v>50</v>
          </cell>
          <cell r="AG260">
            <v>50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</row>
        <row r="261">
          <cell r="B261">
            <v>117083</v>
          </cell>
          <cell r="C261" t="str">
            <v>ROYAL T/K 3.3KG</v>
          </cell>
          <cell r="D261">
            <v>3.3</v>
          </cell>
          <cell r="E261">
            <v>6</v>
          </cell>
          <cell r="F261">
            <v>15092.926686217008</v>
          </cell>
          <cell r="G261">
            <v>22888.176930596284</v>
          </cell>
          <cell r="H261">
            <v>721</v>
          </cell>
          <cell r="I261">
            <v>0</v>
          </cell>
          <cell r="J261">
            <v>65</v>
          </cell>
          <cell r="K261">
            <v>2</v>
          </cell>
          <cell r="L261">
            <v>111</v>
          </cell>
          <cell r="M261">
            <v>1</v>
          </cell>
          <cell r="N261">
            <v>103</v>
          </cell>
          <cell r="O261">
            <v>0</v>
          </cell>
          <cell r="P261">
            <v>22</v>
          </cell>
          <cell r="Q261">
            <v>5</v>
          </cell>
          <cell r="R261">
            <v>1023</v>
          </cell>
          <cell r="S261">
            <v>2</v>
          </cell>
          <cell r="T261">
            <v>0</v>
          </cell>
          <cell r="U261">
            <v>0</v>
          </cell>
          <cell r="V261">
            <v>1023</v>
          </cell>
          <cell r="W261">
            <v>2</v>
          </cell>
          <cell r="X261">
            <v>15440064</v>
          </cell>
          <cell r="Y261">
            <v>23414605</v>
          </cell>
          <cell r="Z261">
            <v>721</v>
          </cell>
          <cell r="AB261">
            <v>65</v>
          </cell>
          <cell r="AC261">
            <v>111</v>
          </cell>
          <cell r="AD261">
            <v>103</v>
          </cell>
          <cell r="AE261">
            <v>22</v>
          </cell>
          <cell r="AF261">
            <v>1022</v>
          </cell>
          <cell r="AG261">
            <v>1022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</row>
        <row r="262">
          <cell r="B262">
            <v>117095</v>
          </cell>
          <cell r="C262" t="str">
            <v>H) Kochujang T/K 3.3kg</v>
          </cell>
          <cell r="D262">
            <v>3.3</v>
          </cell>
          <cell r="E262">
            <v>6</v>
          </cell>
          <cell r="F262">
            <v>17882.548387096773</v>
          </cell>
          <cell r="G262">
            <v>23649.548387096773</v>
          </cell>
          <cell r="J262">
            <v>31</v>
          </cell>
          <cell r="K262">
            <v>0</v>
          </cell>
          <cell r="R262">
            <v>31</v>
          </cell>
          <cell r="S262">
            <v>0</v>
          </cell>
          <cell r="T262">
            <v>0</v>
          </cell>
          <cell r="U262">
            <v>0</v>
          </cell>
          <cell r="V262">
            <v>31</v>
          </cell>
          <cell r="W262">
            <v>0</v>
          </cell>
          <cell r="X262">
            <v>554359</v>
          </cell>
          <cell r="Y262">
            <v>733136</v>
          </cell>
          <cell r="AB262">
            <v>31</v>
          </cell>
          <cell r="AF262">
            <v>31</v>
          </cell>
          <cell r="AG262">
            <v>31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</row>
        <row r="263">
          <cell r="B263">
            <v>117100</v>
          </cell>
          <cell r="C263" t="str">
            <v>Popeye's S.S.Ketchup 9g</v>
          </cell>
          <cell r="D263">
            <v>8.9999999999999993E-3</v>
          </cell>
          <cell r="E263">
            <v>1500</v>
          </cell>
          <cell r="F263">
            <v>19200.798076923078</v>
          </cell>
          <cell r="G263">
            <v>24724.66826923077</v>
          </cell>
          <cell r="H263">
            <v>208</v>
          </cell>
          <cell r="I263">
            <v>0</v>
          </cell>
          <cell r="R263">
            <v>208</v>
          </cell>
          <cell r="S263">
            <v>0</v>
          </cell>
          <cell r="T263">
            <v>0</v>
          </cell>
          <cell r="U263">
            <v>0</v>
          </cell>
          <cell r="V263">
            <v>208</v>
          </cell>
          <cell r="W263">
            <v>0</v>
          </cell>
          <cell r="X263">
            <v>3993766</v>
          </cell>
          <cell r="Y263">
            <v>5142731</v>
          </cell>
          <cell r="Z263">
            <v>208</v>
          </cell>
          <cell r="AF263">
            <v>208</v>
          </cell>
          <cell r="AG263">
            <v>208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</row>
        <row r="264">
          <cell r="B264">
            <v>117101</v>
          </cell>
          <cell r="C264" t="str">
            <v>H) T/K 9g</v>
          </cell>
          <cell r="D264">
            <v>8.9999999999999993E-3</v>
          </cell>
          <cell r="E264">
            <v>500</v>
          </cell>
          <cell r="F264">
            <v>6909.4793621013132</v>
          </cell>
          <cell r="G264">
            <v>8688.0318949343346</v>
          </cell>
          <cell r="H264">
            <v>948</v>
          </cell>
          <cell r="I264">
            <v>0</v>
          </cell>
          <cell r="J264">
            <v>6</v>
          </cell>
          <cell r="K264">
            <v>0</v>
          </cell>
          <cell r="L264">
            <v>65</v>
          </cell>
          <cell r="M264">
            <v>0</v>
          </cell>
          <cell r="N264">
            <v>47</v>
          </cell>
          <cell r="O264">
            <v>0</v>
          </cell>
          <cell r="R264">
            <v>1066</v>
          </cell>
          <cell r="S264">
            <v>0</v>
          </cell>
          <cell r="T264">
            <v>0</v>
          </cell>
          <cell r="U264">
            <v>0</v>
          </cell>
          <cell r="V264">
            <v>1066</v>
          </cell>
          <cell r="W264">
            <v>0</v>
          </cell>
          <cell r="X264">
            <v>7365505</v>
          </cell>
          <cell r="Y264">
            <v>9261442</v>
          </cell>
          <cell r="Z264">
            <v>948</v>
          </cell>
          <cell r="AB264">
            <v>6</v>
          </cell>
          <cell r="AC264">
            <v>65</v>
          </cell>
          <cell r="AD264">
            <v>47</v>
          </cell>
          <cell r="AF264">
            <v>1066</v>
          </cell>
          <cell r="AG264">
            <v>1066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</row>
        <row r="265">
          <cell r="B265">
            <v>117105</v>
          </cell>
          <cell r="C265" t="str">
            <v>Pizza League 9g</v>
          </cell>
          <cell r="D265">
            <v>8.9999999999999993E-3</v>
          </cell>
          <cell r="E265">
            <v>500</v>
          </cell>
          <cell r="F265">
            <v>7163.0935960591132</v>
          </cell>
          <cell r="G265">
            <v>9004.3645320197047</v>
          </cell>
          <cell r="H265">
            <v>203</v>
          </cell>
          <cell r="I265">
            <v>0</v>
          </cell>
          <cell r="R265">
            <v>203</v>
          </cell>
          <cell r="S265">
            <v>0</v>
          </cell>
          <cell r="T265">
            <v>0</v>
          </cell>
          <cell r="U265">
            <v>0</v>
          </cell>
          <cell r="V265">
            <v>203</v>
          </cell>
          <cell r="W265">
            <v>0</v>
          </cell>
          <cell r="X265">
            <v>1454108</v>
          </cell>
          <cell r="Y265">
            <v>1827886</v>
          </cell>
          <cell r="Z265">
            <v>203</v>
          </cell>
          <cell r="AF265">
            <v>203</v>
          </cell>
          <cell r="AG265">
            <v>203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</row>
        <row r="266">
          <cell r="B266">
            <v>117108</v>
          </cell>
          <cell r="C266" t="str">
            <v>Pizza Mall 9g</v>
          </cell>
          <cell r="D266">
            <v>8.9999999999999993E-3</v>
          </cell>
          <cell r="E266">
            <v>500</v>
          </cell>
          <cell r="F266">
            <v>8531.7330316742082</v>
          </cell>
          <cell r="G266">
            <v>10373.004524886877</v>
          </cell>
          <cell r="H266">
            <v>221</v>
          </cell>
          <cell r="I266">
            <v>0</v>
          </cell>
          <cell r="R266">
            <v>221</v>
          </cell>
          <cell r="S266">
            <v>0</v>
          </cell>
          <cell r="T266">
            <v>0</v>
          </cell>
          <cell r="U266">
            <v>0</v>
          </cell>
          <cell r="V266">
            <v>221</v>
          </cell>
          <cell r="W266">
            <v>0</v>
          </cell>
          <cell r="X266">
            <v>1885513</v>
          </cell>
          <cell r="Y266">
            <v>2292434</v>
          </cell>
          <cell r="Z266">
            <v>221</v>
          </cell>
          <cell r="AF266">
            <v>221</v>
          </cell>
          <cell r="AG266">
            <v>221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</row>
        <row r="267">
          <cell r="B267">
            <v>117554</v>
          </cell>
          <cell r="C267" t="str">
            <v>EXPORT H) T/K 300G</v>
          </cell>
          <cell r="D267">
            <v>0.3</v>
          </cell>
          <cell r="E267">
            <v>30</v>
          </cell>
          <cell r="F267">
            <v>0</v>
          </cell>
          <cell r="G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AF267">
            <v>0</v>
          </cell>
          <cell r="AG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</row>
        <row r="268">
          <cell r="B268">
            <v>117558</v>
          </cell>
          <cell r="C268" t="str">
            <v>E) J.R.S T/K 3kg</v>
          </cell>
          <cell r="D268">
            <v>3</v>
          </cell>
          <cell r="E268">
            <v>4</v>
          </cell>
          <cell r="F268">
            <v>0</v>
          </cell>
          <cell r="G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AF268">
            <v>0</v>
          </cell>
          <cell r="AG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</row>
        <row r="269">
          <cell r="B269">
            <v>117559</v>
          </cell>
          <cell r="C269" t="str">
            <v>E) Oie Sangyo T/K 3kg</v>
          </cell>
          <cell r="D269">
            <v>3</v>
          </cell>
          <cell r="E269">
            <v>4</v>
          </cell>
          <cell r="F269">
            <v>0</v>
          </cell>
          <cell r="G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AF269">
            <v>0</v>
          </cell>
          <cell r="AG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</row>
        <row r="270">
          <cell r="B270">
            <v>117590</v>
          </cell>
          <cell r="C270" t="str">
            <v>H) T/K 3.3KG</v>
          </cell>
          <cell r="D270">
            <v>3.3</v>
          </cell>
          <cell r="E270">
            <v>6</v>
          </cell>
          <cell r="F270">
            <v>17357.74705882353</v>
          </cell>
          <cell r="G270">
            <v>25644.464705882354</v>
          </cell>
          <cell r="H270">
            <v>333</v>
          </cell>
          <cell r="I270">
            <v>0</v>
          </cell>
          <cell r="N270">
            <v>7</v>
          </cell>
          <cell r="R270">
            <v>340</v>
          </cell>
          <cell r="S270">
            <v>0</v>
          </cell>
          <cell r="T270">
            <v>0</v>
          </cell>
          <cell r="U270">
            <v>0</v>
          </cell>
          <cell r="V270">
            <v>340</v>
          </cell>
          <cell r="W270">
            <v>0</v>
          </cell>
          <cell r="X270">
            <v>5901634</v>
          </cell>
          <cell r="Y270">
            <v>8719118</v>
          </cell>
          <cell r="Z270">
            <v>333</v>
          </cell>
          <cell r="AD270">
            <v>7</v>
          </cell>
          <cell r="AF270">
            <v>340</v>
          </cell>
          <cell r="AG270">
            <v>340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</row>
        <row r="271">
          <cell r="B271">
            <v>117600</v>
          </cell>
          <cell r="C271" t="str">
            <v>Royal T/K 20kg</v>
          </cell>
          <cell r="D271">
            <v>20</v>
          </cell>
          <cell r="E271">
            <v>1</v>
          </cell>
          <cell r="F271">
            <v>13738.6</v>
          </cell>
          <cell r="G271">
            <v>22845.08</v>
          </cell>
          <cell r="H271">
            <v>0</v>
          </cell>
          <cell r="I271">
            <v>0</v>
          </cell>
          <cell r="P271">
            <v>25</v>
          </cell>
          <cell r="Q271">
            <v>0</v>
          </cell>
          <cell r="R271">
            <v>25</v>
          </cell>
          <cell r="S271">
            <v>0</v>
          </cell>
          <cell r="T271">
            <v>0</v>
          </cell>
          <cell r="U271">
            <v>0</v>
          </cell>
          <cell r="V271">
            <v>25</v>
          </cell>
          <cell r="W271">
            <v>0</v>
          </cell>
          <cell r="X271">
            <v>343465</v>
          </cell>
          <cell r="Y271">
            <v>571127</v>
          </cell>
          <cell r="AE271">
            <v>25</v>
          </cell>
          <cell r="AF271">
            <v>25</v>
          </cell>
          <cell r="AG271">
            <v>25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</row>
        <row r="272">
          <cell r="B272">
            <v>136004</v>
          </cell>
          <cell r="C272" t="str">
            <v>PALM TK (YAKULT)</v>
          </cell>
          <cell r="D272">
            <v>1</v>
          </cell>
          <cell r="E272">
            <v>1</v>
          </cell>
          <cell r="F272">
            <v>0</v>
          </cell>
          <cell r="G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AF272">
            <v>0</v>
          </cell>
          <cell r="AG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</row>
        <row r="273">
          <cell r="B273">
            <v>136021</v>
          </cell>
          <cell r="C273" t="str">
            <v>Soybean 18L (SamYang)</v>
          </cell>
          <cell r="D273">
            <v>18</v>
          </cell>
          <cell r="E273">
            <v>1</v>
          </cell>
          <cell r="F273">
            <v>898.96610169491521</v>
          </cell>
          <cell r="G273">
            <v>2332.0847457627119</v>
          </cell>
          <cell r="H273">
            <v>59</v>
          </cell>
          <cell r="I273">
            <v>0</v>
          </cell>
          <cell r="R273">
            <v>59</v>
          </cell>
          <cell r="S273">
            <v>0</v>
          </cell>
          <cell r="T273">
            <v>0</v>
          </cell>
          <cell r="U273">
            <v>0</v>
          </cell>
          <cell r="V273">
            <v>59</v>
          </cell>
          <cell r="W273">
            <v>0</v>
          </cell>
          <cell r="X273">
            <v>53039</v>
          </cell>
          <cell r="Y273">
            <v>137593</v>
          </cell>
          <cell r="Z273">
            <v>59</v>
          </cell>
          <cell r="AF273">
            <v>59</v>
          </cell>
          <cell r="AG273">
            <v>59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</row>
        <row r="274">
          <cell r="B274">
            <v>136022</v>
          </cell>
          <cell r="C274" t="str">
            <v>Soybean 180kg (SamYang)</v>
          </cell>
          <cell r="D274">
            <v>180</v>
          </cell>
          <cell r="E274">
            <v>1</v>
          </cell>
          <cell r="F274">
            <v>0</v>
          </cell>
          <cell r="G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AF274">
            <v>0</v>
          </cell>
          <cell r="AG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</row>
        <row r="275">
          <cell r="B275">
            <v>136023</v>
          </cell>
          <cell r="C275" t="str">
            <v>Soybean TK (SamYang)</v>
          </cell>
          <cell r="D275">
            <v>1</v>
          </cell>
          <cell r="E275">
            <v>1</v>
          </cell>
          <cell r="F275">
            <v>0</v>
          </cell>
          <cell r="G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AF275">
            <v>0</v>
          </cell>
          <cell r="AG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</row>
        <row r="276">
          <cell r="B276" t="str">
            <v xml:space="preserve">   Grand Total</v>
          </cell>
          <cell r="H276">
            <v>152802</v>
          </cell>
          <cell r="I276">
            <v>0</v>
          </cell>
          <cell r="J276">
            <v>9114</v>
          </cell>
          <cell r="K276">
            <v>12</v>
          </cell>
          <cell r="L276">
            <v>6531</v>
          </cell>
          <cell r="M276">
            <v>8</v>
          </cell>
          <cell r="N276">
            <v>7142</v>
          </cell>
          <cell r="O276">
            <v>13</v>
          </cell>
          <cell r="P276">
            <v>6067</v>
          </cell>
          <cell r="Q276">
            <v>8</v>
          </cell>
          <cell r="R276">
            <v>181659</v>
          </cell>
          <cell r="S276">
            <v>21</v>
          </cell>
          <cell r="T276">
            <v>0</v>
          </cell>
          <cell r="U276">
            <v>0</v>
          </cell>
          <cell r="V276">
            <v>181659</v>
          </cell>
          <cell r="W276">
            <v>21</v>
          </cell>
          <cell r="X276">
            <v>1836510541</v>
          </cell>
          <cell r="Y276">
            <v>2013832917</v>
          </cell>
          <cell r="Z276">
            <v>156273</v>
          </cell>
          <cell r="AA276">
            <v>0</v>
          </cell>
          <cell r="AB276">
            <v>9114</v>
          </cell>
          <cell r="AC276">
            <v>6781</v>
          </cell>
          <cell r="AD276">
            <v>7142</v>
          </cell>
          <cell r="AE276">
            <v>6067</v>
          </cell>
          <cell r="AF276">
            <v>185377</v>
          </cell>
          <cell r="AG276">
            <v>185377</v>
          </cell>
          <cell r="AH276">
            <v>0</v>
          </cell>
          <cell r="AI276">
            <v>3471</v>
          </cell>
          <cell r="AJ276">
            <v>22055695</v>
          </cell>
          <cell r="AK276">
            <v>23408376</v>
          </cell>
          <cell r="AL276">
            <v>0</v>
          </cell>
          <cell r="AM276">
            <v>0</v>
          </cell>
          <cell r="AN276">
            <v>0</v>
          </cell>
          <cell r="AO276">
            <v>250</v>
          </cell>
          <cell r="AP276">
            <v>2340034</v>
          </cell>
          <cell r="AQ276">
            <v>2527681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3721</v>
          </cell>
          <cell r="AY276">
            <v>24395729</v>
          </cell>
          <cell r="AZ276">
            <v>25936057</v>
          </cell>
        </row>
        <row r="277">
          <cell r="B277" t="str">
            <v xml:space="preserve">   Favorable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AA277">
            <v>0</v>
          </cell>
          <cell r="AH277">
            <v>0</v>
          </cell>
          <cell r="AY277">
            <v>39567627</v>
          </cell>
          <cell r="AZ277">
            <v>42320799</v>
          </cell>
        </row>
        <row r="278">
          <cell r="B278" t="str">
            <v xml:space="preserve">   Unfavorable</v>
          </cell>
          <cell r="AY278">
            <v>-15171898</v>
          </cell>
          <cell r="AZ278">
            <v>-16384742</v>
          </cell>
        </row>
        <row r="279">
          <cell r="B279" t="str">
            <v xml:space="preserve">   Net</v>
          </cell>
          <cell r="AY279">
            <v>24395729</v>
          </cell>
          <cell r="AZ279">
            <v>25936057</v>
          </cell>
        </row>
      </sheetData>
      <sheetData sheetId="11"/>
      <sheetData sheetId="12">
        <row r="10">
          <cell r="AX10" t="str">
            <v>/re~~</v>
          </cell>
        </row>
        <row r="30">
          <cell r="B30">
            <v>101503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B15296"/>
    </sheetNames>
    <definedNames>
      <definedName name="M_F123.CashFlow_Button1_Click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FS96"/>
      <sheetName val="1월"/>
      <sheetName val="2월"/>
      <sheetName val="3월"/>
      <sheetName val="1.외주공사"/>
      <sheetName val="2.직영공사"/>
      <sheetName val="8월현금흐름표"/>
      <sheetName val="basic_info"/>
      <sheetName val="매출"/>
      <sheetName val="차수"/>
      <sheetName val="Sheet1"/>
      <sheetName val="조회총괄"/>
      <sheetName val="유통망계획"/>
      <sheetName val="손익계산서"/>
      <sheetName val="Macro2"/>
      <sheetName val="96수표어음"/>
      <sheetName val="영업"/>
      <sheetName val="COND"/>
      <sheetName val="XLUTIL"/>
      <sheetName val="대환취급"/>
      <sheetName val="Links"/>
      <sheetName val="Macro1"/>
      <sheetName val="Estrazione"/>
      <sheetName val="분당임차변경"/>
      <sheetName val="Macro4"/>
      <sheetName val="Index"/>
      <sheetName val="종합일지"/>
      <sheetName val="5600"/>
      <sheetName val="data"/>
      <sheetName val="관리대장(2001장비)"/>
      <sheetName val="4b Consolidated PL"/>
      <sheetName val="Lead"/>
      <sheetName val="INMD1198"/>
      <sheetName val="INFG1198"/>
      <sheetName val="Cover"/>
      <sheetName val="TB"/>
      <sheetName val="전체현황"/>
      <sheetName val="Gen Assumptions"/>
      <sheetName val="월별수입"/>
      <sheetName val="argl(1)"/>
      <sheetName val="Korea Sign-Internal"/>
      <sheetName val="대차대조표"/>
      <sheetName val="폐토수익화 "/>
      <sheetName val="미수수익"/>
      <sheetName val="Com-Button"/>
      <sheetName val="로케션"/>
      <sheetName val="발생집계"/>
      <sheetName val="만기"/>
      <sheetName val="선수금"/>
      <sheetName val="INFO"/>
      <sheetName val="00'미수"/>
      <sheetName val="공문"/>
      <sheetName val="Priorities"/>
      <sheetName val="master"/>
      <sheetName val="1998 P &amp; L"/>
      <sheetName val="pre-anal손익계산서"/>
      <sheetName val="pre-anal대차대조표"/>
      <sheetName val="calendar"/>
      <sheetName val="HEADER"/>
      <sheetName val="language"/>
      <sheetName val="Borrower"/>
      <sheetName val="Property"/>
      <sheetName val="원판매입"/>
      <sheetName val="Secured Master"/>
      <sheetName val="Sheet3"/>
      <sheetName val="1_當期시산표"/>
      <sheetName val="공통부대비"/>
      <sheetName val="TEL"/>
      <sheetName val="손익분석"/>
      <sheetName val="정부노임단가"/>
      <sheetName val="을"/>
      <sheetName val="지분법(AK) (2)"/>
      <sheetName val="한일자야(감액손실) (2)"/>
      <sheetName val="6120"/>
      <sheetName val="1.MDF1공장"/>
      <sheetName val="수처리사업"/>
      <sheetName val="9811 YTD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세목별"/>
      <sheetName val="결산비용"/>
      <sheetName val="적용환율"/>
      <sheetName val="요약"/>
      <sheetName val="Table"/>
      <sheetName val="流资汇总"/>
      <sheetName val="XREF"/>
      <sheetName val="compare2"/>
      <sheetName val="Rate"/>
      <sheetName val="Date"/>
      <sheetName val="801000"/>
      <sheetName val="PLarp"/>
      <sheetName val="9703"/>
      <sheetName val="BAL.(TTL)"/>
      <sheetName val="w't table"/>
      <sheetName val="WBS98"/>
      <sheetName val="Sheet2"/>
      <sheetName val="제조원가"/>
      <sheetName val="WPL"/>
      <sheetName val="총괄KD"/>
      <sheetName val="Inv "/>
      <sheetName val="구동"/>
      <sheetName val="Köpfe"/>
      <sheetName val="급여이체(농) (2)"/>
      <sheetName val="AL"/>
      <sheetName val="m_COA"/>
      <sheetName val="재고"/>
      <sheetName val="3분기"/>
      <sheetName val="총괄표"/>
      <sheetName val="MetaData"/>
      <sheetName val=" 견적서"/>
      <sheetName val="001"/>
      <sheetName val="손익계산"/>
      <sheetName val="++++"/>
      <sheetName val="Æo°¡±aAØ"/>
      <sheetName val="1"/>
      <sheetName val="2.대외공문"/>
      <sheetName val="시나리오"/>
      <sheetName val="순수통장"/>
      <sheetName val="적립수신"/>
      <sheetName val="DB"/>
      <sheetName val="급여"/>
      <sheetName val="Base"/>
      <sheetName val="TBclosing"/>
      <sheetName val="경비분류(1)"/>
      <sheetName val="main"/>
      <sheetName val="투자유가증권"/>
      <sheetName val="libor"/>
      <sheetName val="광주"/>
      <sheetName val="INTRODUCTION"/>
      <sheetName val="기타주식-명세"/>
      <sheetName val="GENERAL"/>
      <sheetName val="Oper Amount"/>
      <sheetName val="Data Sheet"/>
      <sheetName val="DS-최종"/>
      <sheetName val="인천_계획"/>
      <sheetName val="입력자료"/>
      <sheetName val="DISTTB"/>
      <sheetName val="INOBTB"/>
      <sheetName val="J"/>
      <sheetName val="JUYO"/>
      <sheetName val="WBS"/>
      <sheetName val="전부인쇄"/>
      <sheetName val="1-KUNDE.XLS"/>
      <sheetName val="Serial"/>
      <sheetName val="중요성(출)"/>
      <sheetName val="▶판가Trend(수정안)"/>
      <sheetName val="▶판매량Trend(수정안)"/>
      <sheetName val="소비자가"/>
      <sheetName val="고정자산-회사제시"/>
      <sheetName val="Intercompany AR &amp; AP"/>
      <sheetName val="AR"/>
      <sheetName val="due from HO"/>
      <sheetName val="AP"/>
      <sheetName val="IS"/>
      <sheetName val="Prepaid"/>
      <sheetName val="Accrued exp"/>
      <sheetName val="Head office"/>
      <sheetName val="BS"/>
      <sheetName val="#REF"/>
      <sheetName val="Ctrl"/>
      <sheetName val="제품별 MC"/>
      <sheetName val="총괄"/>
      <sheetName val="営業以外 評価賞与"/>
      <sheetName val="재무가정"/>
      <sheetName val="채권(하반기)"/>
      <sheetName val="신고서.전"/>
      <sheetName val="협조전"/>
      <sheetName val="고정자산원본"/>
      <sheetName val="FRC"/>
      <sheetName val="BA"/>
      <sheetName val="950801"/>
      <sheetName val="Controls"/>
      <sheetName val="지급보증금74"/>
      <sheetName val="xxxxxx"/>
      <sheetName val="000000"/>
      <sheetName val="Start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front"/>
      <sheetName val="재료비"/>
      <sheetName val="가공비"/>
      <sheetName val="판관비"/>
      <sheetName val="생판계획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비교"/>
      <sheetName val="2차분"/>
      <sheetName val="2-2.매출분석"/>
      <sheetName val="1_외주공사"/>
      <sheetName val="2_직영공사"/>
      <sheetName val="Korea_Sign-Internal"/>
      <sheetName val="4b_Consolidated_PL"/>
      <sheetName val="Gen_Assumptions"/>
      <sheetName val="1998_P_&amp;_L"/>
      <sheetName val="집계2"/>
      <sheetName val="교정용 시트 (9)"/>
      <sheetName val="TCA"/>
      <sheetName val="3. BSC NC ratio"/>
      <sheetName val="감가상각"/>
      <sheetName val="Sheet5"/>
      <sheetName val="Sheet6 (3)"/>
      <sheetName val="지급보증금"/>
      <sheetName val="원본 data"/>
      <sheetName val="1차 가공"/>
      <sheetName val="다이스"/>
      <sheetName val="분석data"/>
      <sheetName val="불량집계"/>
      <sheetName val="서식 옵션"/>
      <sheetName val="Sheet16"/>
      <sheetName val="환율-LIBOR"/>
      <sheetName val="정의"/>
      <sheetName val="변제"/>
      <sheetName val="이자"/>
      <sheetName val="상환대상"/>
      <sheetName val="가정"/>
      <sheetName val="대비"/>
      <sheetName val="인원계획-미화"/>
      <sheetName val="노무비"/>
      <sheetName val="TV법인별"/>
      <sheetName val="  한국 AMP ASP-23 판매가격  "/>
      <sheetName val="일일붙여라"/>
      <sheetName val="06년예상보험료 (2)"/>
      <sheetName val="1~10월실적"/>
      <sheetName val="에스피"/>
      <sheetName val="페이퍼"/>
      <sheetName val="코드Mapping"/>
      <sheetName val="신무림1"/>
      <sheetName val="여신현황"/>
      <sheetName val="비상각자산분류"/>
      <sheetName val="범한여행"/>
      <sheetName val="Krw"/>
      <sheetName val="ST"/>
      <sheetName val="Intro2"/>
      <sheetName val="Id"/>
      <sheetName val="받을어음"/>
      <sheetName val="7.31 (2)"/>
      <sheetName val="차종별"/>
      <sheetName val="반기_유가증권"/>
      <sheetName val="기초데이타"/>
      <sheetName val="분개장·원장"/>
      <sheetName val="95WBS"/>
      <sheetName val="사원명부"/>
      <sheetName val="Summary (1)"/>
      <sheetName val=".1 memo"/>
      <sheetName val="울산"/>
      <sheetName val="매출매입"/>
      <sheetName val="98종합"/>
      <sheetName val="Dim Lists"/>
      <sheetName val="Lists"/>
      <sheetName val="SUMMARY"/>
      <sheetName val="97LGG"/>
      <sheetName val="Fixed Asset 2203 (2)"/>
      <sheetName val="BAU-ITEMLIST"/>
      <sheetName val="시실누(모) "/>
      <sheetName val="자본금99(수)"/>
      <sheetName val="LIST"/>
      <sheetName val="Price Summary (Before &amp; After)"/>
      <sheetName val="계정그룹"/>
      <sheetName val="페이퍼2010년사업계획20091107"/>
      <sheetName val="승인"/>
      <sheetName val="r1"/>
      <sheetName val="s0"/>
      <sheetName val="Sheet1 (2)"/>
      <sheetName val="Sheet1 (3)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인원기초(M)"/>
      <sheetName val="95TOTREV"/>
      <sheetName val="p2-1"/>
      <sheetName val="생산계획"/>
      <sheetName val="G3-1"/>
      <sheetName val="data5"/>
      <sheetName val="125PIECE"/>
      <sheetName val="MOTOR"/>
      <sheetName val="ITEM"/>
      <sheetName val="5월17일"/>
      <sheetName val="MEXICO-C"/>
      <sheetName val="1월--7월"/>
      <sheetName val="8월--12월"/>
      <sheetName val="표지"/>
      <sheetName val="정산표(IS)2003"/>
      <sheetName val="09.01퇴직"/>
      <sheetName val="받check"/>
      <sheetName val="DS-장비"/>
      <sheetName val="NW-장비"/>
      <sheetName val="96수출"/>
      <sheetName val="97년추정손익계산서"/>
      <sheetName val="Bank charge"/>
      <sheetName val="Cover sheet"/>
      <sheetName val="작업장"/>
      <sheetName val="DATE변환"/>
      <sheetName val="O  1.0 Leadsheet of income tax"/>
      <sheetName val="분석적검토(대차)"/>
      <sheetName val="5300"/>
      <sheetName val="9612서울"/>
      <sheetName val="연료사용"/>
      <sheetName val="집계"/>
      <sheetName val="합계잔액시산표"/>
      <sheetName val="Non-Statistical Sampling Master"/>
      <sheetName val="조정명세서"/>
      <sheetName val="Journal"/>
      <sheetName val="출자한도"/>
      <sheetName val="원시데이타"/>
      <sheetName val="1_외주공사1"/>
      <sheetName val="2_직영공사1"/>
      <sheetName val="4b_Consolidated_PL1"/>
      <sheetName val="급여이체(농)_(2)"/>
      <sheetName val="Inv_"/>
      <sheetName val="9811_YTD"/>
      <sheetName val="Gen_Assumptions1"/>
      <sheetName val="Secured_Master"/>
      <sheetName val="1998_P_&amp;_L1"/>
      <sheetName val="Korea_Sign-Internal1"/>
      <sheetName val="폐토수익화_"/>
      <sheetName val="1-KUNDE_XLS"/>
      <sheetName val="118_세금과공과"/>
      <sheetName val="1_MDF1공장"/>
      <sheetName val="지분법(AK)_(2)"/>
      <sheetName val="한일자야(감액손실)_(2)"/>
      <sheetName val="2_대외공문"/>
      <sheetName val="Intercompany_AR_&amp;_AP"/>
      <sheetName val="Oper_Amount"/>
      <sheetName val="Data_Sheet"/>
      <sheetName val="BAL_(TTL)"/>
      <sheetName val="w't_table"/>
      <sheetName val="_견적서"/>
      <sheetName val="신고서_전"/>
      <sheetName val="営業以外_評価賞与"/>
      <sheetName val="Fixed_Asset_2203_(2)"/>
      <sheetName val="제품별_MC"/>
      <sheetName val="99-1"/>
      <sheetName val="7월계획"/>
      <sheetName val="1월계획"/>
      <sheetName val="2월계획 "/>
      <sheetName val="3월계획 "/>
      <sheetName val="기안"/>
      <sheetName val="교정용_시트_(9)"/>
      <sheetName val="3__BSC_NC_ratio"/>
      <sheetName val="Sheet6_(3)"/>
      <sheetName val="원본_data"/>
      <sheetName val="1차_가공"/>
      <sheetName val="서식_옵션"/>
      <sheetName val="TNC"/>
      <sheetName val="전체표 (3)"/>
      <sheetName val="도움말"/>
      <sheetName val="R&amp;D"/>
      <sheetName val="DBL LPG시험"/>
      <sheetName val="1999년"/>
      <sheetName val="금융자산 control"/>
      <sheetName val="금융부채 control"/>
      <sheetName val="신규등록원본"/>
      <sheetName val="원단위 (윤991021)"/>
      <sheetName val="민감도"/>
      <sheetName val="ins"/>
      <sheetName val="????"/>
      <sheetName val="New Valuation"/>
      <sheetName val="Reserves"/>
      <sheetName val="Setting"/>
      <sheetName val="due_from_HO"/>
      <sheetName val="Accrued_exp"/>
      <sheetName val="Head_office"/>
      <sheetName val="Dim_Lists"/>
      <sheetName val="관계매출_(2)"/>
      <sheetName val="7_31_(2)"/>
      <sheetName val="시실누(모)_"/>
      <sheetName val="Price_Summary_(Before_&amp;_After)"/>
      <sheetName val="Non-Statistical_Sampling_Master"/>
      <sheetName val="매출단가"/>
      <sheetName val="Statement of OPs"/>
      <sheetName val="IN"/>
      <sheetName val="__한국_AMP_ASP-23_판매가격__"/>
      <sheetName val="개당손익0303"/>
      <sheetName val="BID"/>
      <sheetName val="K?pfe"/>
      <sheetName val="②전구간 파괴검사(킬링미사용)"/>
      <sheetName val="③전구간 파괴검사(킬링사용)"/>
      <sheetName val="24-1일"/>
      <sheetName val="신1"/>
      <sheetName val="한계원가"/>
      <sheetName val="2-2_매출분석"/>
      <sheetName val="예산"/>
      <sheetName val="장기차입금"/>
      <sheetName val="일별1"/>
      <sheetName val="제조부문배부"/>
      <sheetName val="리드"/>
      <sheetName val="제조원가계산"/>
      <sheetName val="품목별매출"/>
      <sheetName val="전기일위대가"/>
      <sheetName val="첨부1"/>
      <sheetName val="CF"/>
      <sheetName val="FS96.XLS"/>
      <sheetName val="견적과실행예산"/>
      <sheetName val="98년매출액및매출원가"/>
      <sheetName val="손익계산서(가로)"/>
      <sheetName val="BM_NEW2"/>
      <sheetName val="Sum"/>
      <sheetName val="TEMP1"/>
      <sheetName val="TEMP2"/>
      <sheetName val="DISTANCE"/>
      <sheetName val="YOEMAGUM"/>
      <sheetName val="자재수불"/>
      <sheetName val="MAT.OL"/>
      <sheetName val="LIST OF CHANGSHIN STAFF"/>
      <sheetName val="Income Statement"/>
      <sheetName val="Ratios"/>
      <sheetName val="Balance Sheet"/>
      <sheetName val="4.경비 5.영업외수지"/>
      <sheetName val="단사원가"/>
      <sheetName val="controll"/>
      <sheetName val="05현금등가"/>
      <sheetName val="AN43"/>
      <sheetName val="B"/>
      <sheetName val="상각률표"/>
      <sheetName val="회사정보"/>
      <sheetName val="기준정보"/>
      <sheetName val="1_외주공사2"/>
      <sheetName val="2_직영공사2"/>
      <sheetName val="Secured_Master1"/>
      <sheetName val="4b_Consolidated_PL2"/>
      <sheetName val="9811_YTD1"/>
      <sheetName val="Gen_Assumptions2"/>
      <sheetName val="1998_P_&amp;_L2"/>
      <sheetName val="Korea_Sign-Internal2"/>
      <sheetName val="118_세금과공과1"/>
      <sheetName val="Inv_1"/>
      <sheetName val="폐토수익화_1"/>
      <sheetName val="지분법(AK)_(2)1"/>
      <sheetName val="한일자야(감액손실)_(2)1"/>
      <sheetName val="1_MDF1공장1"/>
      <sheetName val="BAL_(TTL)1"/>
      <sheetName val="급여이체(농)_(2)1"/>
      <sheetName val="1-KUNDE_XLS1"/>
      <sheetName val="2_대외공문1"/>
      <sheetName val="Intercompany_AR_&amp;_AP1"/>
      <sheetName val="Oper_Amount1"/>
      <sheetName val="Data_Sheet1"/>
      <sheetName val="w't_table1"/>
      <sheetName val="_견적서1"/>
      <sheetName val="신고서_전1"/>
      <sheetName val="제품별_MC1"/>
      <sheetName val="관계매출_(2)1"/>
      <sheetName val="due_from_HO1"/>
      <sheetName val="Accrued_exp1"/>
      <sheetName val="Head_office1"/>
      <sheetName val="Dim_Lists1"/>
      <sheetName val="Fixed_Asset_2203_(2)1"/>
      <sheetName val="営業以外_評価賞与1"/>
      <sheetName val="교정용_시트_(9)1"/>
      <sheetName val="3__BSC_NC_ratio1"/>
      <sheetName val="06년예상보험료_(2)"/>
      <sheetName val="Sheet6_(3)1"/>
      <sheetName val="원본_data1"/>
      <sheetName val="1차_가공1"/>
      <sheetName val="서식_옵션1"/>
      <sheetName val="7_31_(2)1"/>
      <sheetName val="시실누(모)_1"/>
      <sheetName val="Price_Summary_(Before_&amp;_After)1"/>
      <sheetName val="Non-Statistical_Sampling_Maste1"/>
      <sheetName val="Cover_sheet"/>
      <sheetName val="O__1_0_Leadsheet_of_income_tax"/>
      <sheetName val="전체표_(3)"/>
      <sheetName val="DBL_LPG시험"/>
      <sheetName val="금융자산_control"/>
      <sheetName val="금융부채_control"/>
      <sheetName val="원단위_(윤991021)"/>
      <sheetName val="Sheet1_(2)"/>
      <sheetName val="Sheet1_(3)"/>
      <sheetName val="2월계획_"/>
      <sheetName val="3월계획_"/>
      <sheetName val="Akashi non-refundable"/>
      <sheetName val="Ⅱ1-0타"/>
      <sheetName val="admin"/>
      <sheetName val="Cash Situation"/>
      <sheetName val="Configuration"/>
      <sheetName val="JournalSummary"/>
      <sheetName val="공통(20-91)"/>
      <sheetName val="재고자산미실현이익제거"/>
      <sheetName val="2004SS"/>
      <sheetName val="2004CJ"/>
      <sheetName val="Assumption"/>
      <sheetName val="월별생산"/>
      <sheetName val="FRDS9805"/>
      <sheetName val="7 (2)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비율분석"/>
      <sheetName val="Tickmarks"/>
      <sheetName val="재무제표검토"/>
      <sheetName val="주요경영지표계산"/>
      <sheetName val="최종분석"/>
      <sheetName val="ASM"/>
      <sheetName val="최종재무제표분석"/>
      <sheetName val="Analytical(대차)"/>
      <sheetName val="Analytical(손익)"/>
      <sheetName val="주요계정(대차)"/>
      <sheetName val="주요계정(손익)"/>
      <sheetName val="주요대차"/>
      <sheetName val="주요손익"/>
      <sheetName val="대차대조표 (2)"/>
      <sheetName val="손익계산서 (2)"/>
      <sheetName val="제표최종"/>
      <sheetName val="주요경영지표계산 (2)"/>
      <sheetName val="잉여금, 현금흐름"/>
      <sheetName val="IS정산표"/>
      <sheetName val="대차분석"/>
      <sheetName val="손익계산서 (3)"/>
      <sheetName val="PL"/>
      <sheetName val="보고"/>
      <sheetName val="1995년 섹터별 매출"/>
      <sheetName val="대출금"/>
      <sheetName val="건물"/>
      <sheetName val="2311 재무제표검토 Worksheet의 워크시트"/>
      <sheetName val="Inputs"/>
      <sheetName val="단기차입금"/>
      <sheetName val="StandAlne"/>
      <sheetName val="수정시산표"/>
      <sheetName val="Update"/>
      <sheetName val="P&amp;L"/>
      <sheetName val="백암비스타내역"/>
      <sheetName val="대차대조표-공시형"/>
      <sheetName val="Excess Calc"/>
      <sheetName val="경수97.02"/>
      <sheetName val="0-Basics"/>
      <sheetName val="수익증권명세서(매도가능)"/>
      <sheetName val="COMPS"/>
      <sheetName val="분석mast"/>
      <sheetName val="Cust"/>
      <sheetName val="C-Lead"/>
      <sheetName val="WACC"/>
      <sheetName val="8220"/>
      <sheetName val="A"/>
      <sheetName val="확인서"/>
      <sheetName val="SALE&amp;COST"/>
      <sheetName val="FTE"/>
      <sheetName val="손익1월"/>
      <sheetName val="공통비"/>
      <sheetName val="원자재수불(최종)"/>
      <sheetName val="Asset9809CAK"/>
      <sheetName val="C100 LEAD"/>
      <sheetName val="39기"/>
      <sheetName val="Variables"/>
      <sheetName val="월 Capa"/>
      <sheetName val="00.08계정"/>
      <sheetName val="forecasted_BS"/>
      <sheetName val="forecasted_IS"/>
      <sheetName val="108.수선비"/>
      <sheetName val="시산표"/>
      <sheetName val="laroux"/>
      <sheetName val="겉표지"/>
      <sheetName val="결산공고97"/>
      <sheetName val="결산공고96"/>
      <sheetName val="제조"/>
      <sheetName val="이익이여금"/>
      <sheetName val="제조요약"/>
      <sheetName val="BS요약"/>
      <sheetName val="손익요약"/>
      <sheetName val="제조부서별"/>
      <sheetName val="현금흐름"/>
      <sheetName val="97년제4기재무제표(출력)"/>
      <sheetName val="108_수선비"/>
      <sheetName val="TABLE01"/>
      <sheetName val="원본"/>
      <sheetName val="손익분기점 데이터"/>
      <sheetName val="매입매출(입력)"/>
      <sheetName val="1999"/>
      <sheetName val="2001급여"/>
      <sheetName val="수선비"/>
      <sheetName val="회사BS"/>
      <sheetName val="14.광주_원가배부Ⅲ"/>
      <sheetName val="주채무"/>
      <sheetName val="WELDING"/>
      <sheetName val="절대지우지말것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작성자"/>
      <sheetName val="981분기"/>
      <sheetName val="대구"/>
      <sheetName val="대전"/>
      <sheetName val="부산"/>
      <sheetName val="인건비예산(정규직)"/>
      <sheetName val="인건비예산(용역)"/>
      <sheetName val="24.보증금(전신전화가입권)"/>
      <sheetName val="일반정보"/>
      <sheetName val="9902"/>
      <sheetName val="공장"/>
      <sheetName val="퇴직급여02 (2)"/>
      <sheetName val="손익계산서 raw data"/>
      <sheetName val="손익내역전년"/>
      <sheetName val="2001-FTE-Standard"/>
      <sheetName val="control"/>
      <sheetName val="FixedIncome"/>
      <sheetName val="VaR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96원가"/>
      <sheetName val="krsec08"/>
      <sheetName val="Customer"/>
      <sheetName val="10월 급여"/>
      <sheetName val="소매_신용"/>
      <sheetName val="특정상품(비소매)"/>
      <sheetName val="비소매신용"/>
      <sheetName val="직공비"/>
      <sheetName val="신전산소항목시산표(5월)"/>
      <sheetName val="관세구분시트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내역서"/>
      <sheetName val="팀별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송전기본"/>
      <sheetName val="미수금 (O)"/>
      <sheetName val="F12"/>
      <sheetName val="F3"/>
      <sheetName val="보험금"/>
      <sheetName val="T진도"/>
      <sheetName val="세부"/>
      <sheetName val="COM"/>
      <sheetName val="HK-I"/>
      <sheetName val="INT-I"/>
      <sheetName val="RSCH"/>
      <sheetName val="TR"/>
      <sheetName val="K-Lead"/>
      <sheetName val="Sales"/>
      <sheetName val="Code"/>
      <sheetName val="Condition"/>
      <sheetName val="General Assumptions"/>
      <sheetName val="Reference2"/>
      <sheetName val="KeyMultInputs"/>
      <sheetName val="Vega"/>
      <sheetName val="Heading"/>
      <sheetName val="sap`04.7.14"/>
      <sheetName val="AKL"/>
      <sheetName val="Accts"/>
      <sheetName val="Menu data"/>
      <sheetName val="FY0201"/>
      <sheetName val="국외감가상각내역0103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전신전화가입권"/>
      <sheetName val="Assumptions"/>
      <sheetName val="KMT물량"/>
      <sheetName val="July."/>
      <sheetName val="System"/>
      <sheetName val="Tables"/>
      <sheetName val="VB_100-Lead"/>
      <sheetName val="종목코드"/>
      <sheetName val="내역"/>
      <sheetName val="PACKING"/>
      <sheetName val="YTD"/>
      <sheetName val="Bu03"/>
      <sheetName val="월미수수익집계표"/>
      <sheetName val="손익합산"/>
      <sheetName val="Dept"/>
      <sheetName val="SCA"/>
      <sheetName val="1-1"/>
      <sheetName val="무형"/>
      <sheetName val="감가상각비"/>
      <sheetName val="급여지급"/>
      <sheetName val="1. PS_bond"/>
      <sheetName val="양식"/>
      <sheetName val="제품마스타"/>
      <sheetName val="FS"/>
      <sheetName val="PPC기"/>
      <sheetName val="소기"/>
      <sheetName val="대기"/>
      <sheetName val="합기"/>
      <sheetName val="메뉴얼1(기본정보)"/>
      <sheetName val="NO.2-1"/>
      <sheetName val="Approval status(QTAK)"/>
      <sheetName val="Extra strand"/>
      <sheetName val="보고서"/>
      <sheetName val="단가조정"/>
      <sheetName val="본문1"/>
      <sheetName val="계획"/>
      <sheetName val="2003손익"/>
      <sheetName val="CLM-MP"/>
      <sheetName val="ss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유형고정자산명세"/>
      <sheetName val="고정자산처분"/>
      <sheetName val="토지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손익계산서 초안"/>
      <sheetName val="1_외주공사3"/>
      <sheetName val="2_직영공사3"/>
      <sheetName val="4b_Consolidated_PL3"/>
      <sheetName val="Gen_Assumptions3"/>
      <sheetName val="1998_P_&amp;_L3"/>
      <sheetName val="9811_YTD2"/>
      <sheetName val="Secured_Master2"/>
      <sheetName val="118_세금과공과2"/>
      <sheetName val="Korea_Sign-Internal3"/>
      <sheetName val="지분법(AK)_(2)2"/>
      <sheetName val="한일자야(감액손실)_(2)2"/>
      <sheetName val="폐토수익화_2"/>
      <sheetName val="BAL_(TTL)2"/>
      <sheetName val="w't_table2"/>
      <sheetName val="1_MDF1공장2"/>
      <sheetName val="2_대외공문2"/>
      <sheetName val="Inv_2"/>
      <sheetName val="Oper_Amount2"/>
      <sheetName val="Data_Sheet2"/>
      <sheetName val="급여이체(농)_(2)2"/>
      <sheetName val="1-KUNDE_XLS2"/>
      <sheetName val="신고서_전2"/>
      <sheetName val="Intercompany_AR_&amp;_AP2"/>
      <sheetName val="시실누(모)_2"/>
      <sheetName val="Price_Summary_(Before_&amp;_After)2"/>
      <sheetName val="교정용_시트_(9)2"/>
      <sheetName val="3__BSC_NC_ratio2"/>
      <sheetName val="Sheet6_(3)2"/>
      <sheetName val="원본_data2"/>
      <sheetName val="1차_가공2"/>
      <sheetName val="서식_옵션2"/>
      <sheetName val="_견적서2"/>
      <sheetName val="제품별_MC2"/>
      <sheetName val="営業以外_評価賞与2"/>
      <sheetName val="due_from_HO2"/>
      <sheetName val="Accrued_exp2"/>
      <sheetName val="Head_office2"/>
      <sheetName val="관계매출_(2)2"/>
      <sheetName val="Dim_Lists2"/>
      <sheetName val="Fixed_Asset_2203_(2)2"/>
      <sheetName val="7_31_(2)2"/>
      <sheetName val="2-2_매출분석1"/>
      <sheetName val="06년예상보험료_(2)1"/>
      <sheetName val="Non-Statistical_Sampling_Maste2"/>
      <sheetName val="__한국_AMP_ASP-23_판매가격__1"/>
      <sheetName val="O__1_0_Leadsheet_of_income_tax1"/>
      <sheetName val="전체표_(3)1"/>
      <sheetName val="DBL_LPG시험1"/>
      <sheetName val="금융자산_control1"/>
      <sheetName val="금융부채_control1"/>
      <sheetName val="Cover_sheet1"/>
      <sheetName val="원단위_(윤991021)1"/>
      <sheetName val="Sheet1_(2)1"/>
      <sheetName val="Sheet1_(3)1"/>
      <sheetName val="2월계획_1"/>
      <sheetName val="3월계획_1"/>
      <sheetName val="FS96_XLS"/>
      <sheetName val="Akashi_non-refundable"/>
      <sheetName val="Bank_charge"/>
      <sheetName val="09_01퇴직"/>
      <sheetName val="_1_memo"/>
      <sheetName val="Cash_Situation"/>
      <sheetName val="Summary_(1)"/>
      <sheetName val="Statement_of_OPs"/>
      <sheetName val="New_Valuation"/>
      <sheetName val="②전구간_파괴검사(킬링미사용)"/>
      <sheetName val="③전구간_파괴검사(킬링사용)"/>
      <sheetName val="MM"/>
      <sheetName val="월별입출고"/>
      <sheetName val="MATs LY ROI"/>
      <sheetName val="R1R2Listings"/>
      <sheetName val="line &amp;lab"/>
      <sheetName val="F03 COGS W&amp;S"/>
      <sheetName val="FX rates"/>
      <sheetName val="CP"/>
      <sheetName val="PV"/>
      <sheetName val="Parameters"/>
      <sheetName val="Ship Advice"/>
      <sheetName val="계열사현황종합"/>
      <sheetName val="Finance Inputs"/>
      <sheetName val="CCC"/>
      <sheetName val="손익계산서_초안"/>
      <sheetName val="Finance_Inputs"/>
      <sheetName val="MOKYON"/>
      <sheetName val="1공구(을)"/>
      <sheetName val="시황"/>
      <sheetName val="주간계획"/>
      <sheetName val="____"/>
      <sheetName val="K_pfe"/>
      <sheetName val="Translation"/>
      <sheetName val="상품제품월별매출"/>
      <sheetName val="%관리보수계산내역"/>
      <sheetName val="변수"/>
      <sheetName val="개업인건비"/>
      <sheetName val="TBM"/>
      <sheetName val="US Codes"/>
      <sheetName val="명단"/>
      <sheetName val="MATs_LY_ROI"/>
      <sheetName val="line_&amp;lab"/>
      <sheetName val="F03_COGS_W&amp;S"/>
      <sheetName val="FX_rates"/>
      <sheetName val="숨긴데이터"/>
      <sheetName val="UNIT"/>
      <sheetName val="RONA"/>
      <sheetName val="626TD"/>
      <sheetName val="그림모음"/>
      <sheetName val="2.주요계수총괄"/>
      <sheetName val="선수금,기성"/>
      <sheetName val="INPC"/>
      <sheetName val="재공품누적CT"/>
      <sheetName val="주재료비 적수계산"/>
      <sheetName val="간접비적수계산"/>
      <sheetName val="누적CT환산표"/>
      <sheetName val="단위중량표"/>
      <sheetName val="부재료원단위단가"/>
      <sheetName val="재공품수량"/>
      <sheetName val="중국반제품"/>
      <sheetName val="부분품누적CT"/>
      <sheetName val="파이프단가"/>
      <sheetName val="관세-기금 효과"/>
      <sheetName val="INPUT"/>
      <sheetName val="계산정보"/>
      <sheetName val="정기적금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상표권"/>
      <sheetName val="MCS"/>
      <sheetName val="RE"/>
      <sheetName val="종합_SP"/>
      <sheetName val="종합_MP"/>
      <sheetName val="무림SP_상세"/>
      <sheetName val="무림페이퍼_상세"/>
      <sheetName val="종합"/>
      <sheetName val=""/>
      <sheetName val="계산DATA입력"/>
      <sheetName val="상세 계산 내역"/>
      <sheetName val="연봉제451"/>
      <sheetName val="fitting"/>
      <sheetName val="TAREC"/>
      <sheetName val="현장"/>
      <sheetName val="Data Ctrl-Detailed"/>
      <sheetName val="Data Ctrl"/>
      <sheetName val="BA (2)"/>
      <sheetName val="CP (2)"/>
      <sheetName val="전사 (2)"/>
      <sheetName val="798101_26_1"/>
      <sheetName val="HR Final"/>
      <sheetName val="HR"/>
      <sheetName val="중연"/>
      <sheetName val="FAB별"/>
      <sheetName val="EX-외상(06)"/>
      <sheetName val="Permanent info"/>
      <sheetName val="Materials List"/>
      <sheetName val="인건비"/>
      <sheetName val="full (2)"/>
      <sheetName val="Aus-P"/>
      <sheetName val="TB(BS)"/>
      <sheetName val="TB(PL)"/>
      <sheetName val="Result"/>
      <sheetName val="Head of_x0009__x0008__x0001_"/>
      <sheetName val="Head of _x0008__x0001_"/>
      <sheetName val="월별손익"/>
      <sheetName val="LeadSchedule"/>
      <sheetName val="이복"/>
      <sheetName val="평항"/>
      <sheetName val="Bill Sum"/>
      <sheetName val="OT APRIL"/>
      <sheetName val="Initial Class"/>
      <sheetName val="진공성형-이복-평항"/>
      <sheetName val="cash"/>
      <sheetName val="매출원가_회사제시"/>
      <sheetName val="KURSER"/>
      <sheetName val="기본운용"/>
      <sheetName val="재무상태표_계획"/>
      <sheetName val="손익계산서_계획"/>
      <sheetName val="변경실행(2차) "/>
      <sheetName val="상도내역"/>
      <sheetName val="True-Up"/>
      <sheetName val="Period Cost Bridge"/>
      <sheetName val="Trial Balance - FY10"/>
      <sheetName val="Skill List"/>
      <sheetName val="재공품"/>
      <sheetName val="Issues-2011년"/>
      <sheetName val="Others"/>
      <sheetName val="HSA"/>
      <sheetName val="Parm"/>
      <sheetName val="CHITIET VL-NC"/>
      <sheetName val="출하"/>
      <sheetName val="AA"/>
      <sheetName val="1_외주공사4"/>
      <sheetName val="2_직영공사4"/>
      <sheetName val="Secured_Master3"/>
      <sheetName val="9811_YTD3"/>
      <sheetName val="4b_Consolidated_PL4"/>
      <sheetName val="Gen_Assumptions4"/>
      <sheetName val="1998_P_&amp;_L4"/>
      <sheetName val="Korea_Sign-Internal4"/>
      <sheetName val="118_세금과공과3"/>
      <sheetName val="Inv_3"/>
      <sheetName val="신고서_전3"/>
      <sheetName val="1_MDF1공장3"/>
      <sheetName val="폐토수익화_3"/>
      <sheetName val="1-KUNDE_XLS3"/>
      <sheetName val="급여이체(농)_(2)3"/>
      <sheetName val="지분법(AK)_(2)3"/>
      <sheetName val="한일자야(감액손실)_(2)3"/>
      <sheetName val="2_대외공문3"/>
      <sheetName val="BAL_(TTL)3"/>
      <sheetName val="w't_table3"/>
      <sheetName val="교정용_시트_(9)3"/>
      <sheetName val="3__BSC_NC_ratio3"/>
      <sheetName val="Intercompany_AR_&amp;_AP3"/>
      <sheetName val="Oper_Amount3"/>
      <sheetName val="Data_Sheet3"/>
      <sheetName val="_견적서3"/>
      <sheetName val="営業以外_評価賞与3"/>
      <sheetName val="Fixed_Asset_2203_(2)3"/>
      <sheetName val="제품별_MC3"/>
      <sheetName val="due_from_HO3"/>
      <sheetName val="Accrued_exp3"/>
      <sheetName val="Head_office3"/>
      <sheetName val="Dim_Lists3"/>
      <sheetName val="관계매출_(2)3"/>
      <sheetName val="Sheet6_(3)3"/>
      <sheetName val="원본_data3"/>
      <sheetName val="1차_가공3"/>
      <sheetName val="서식_옵션3"/>
      <sheetName val="7_31_(2)3"/>
      <sheetName val="시실누(모)_3"/>
      <sheetName val="2-2_매출분석2"/>
      <sheetName val="Price_Summary_(Before_&amp;_After)3"/>
      <sheetName val="Non-Statistical_Sampling_Maste3"/>
      <sheetName val="06년예상보험료_(2)2"/>
      <sheetName val="__한국_AMP_ASP-23_판매가격__2"/>
      <sheetName val="Cover_sheet2"/>
      <sheetName val="O__1_0_Leadsheet_of_income_tax2"/>
      <sheetName val="전체표_(3)2"/>
      <sheetName val="DBL_LPG시험2"/>
      <sheetName val="금융자산_control2"/>
      <sheetName val="금융부채_control2"/>
      <sheetName val="원단위_(윤991021)2"/>
      <sheetName val="Sheet1_(2)2"/>
      <sheetName val="Sheet1_(3)2"/>
      <sheetName val="2월계획_2"/>
      <sheetName val="3월계획_2"/>
      <sheetName val="FS96_XLS1"/>
      <sheetName val="Akashi_non-refundable1"/>
      <sheetName val="Bank_charge1"/>
      <sheetName val="09_01퇴직1"/>
      <sheetName val="_1_memo1"/>
      <sheetName val="Cash_Situation1"/>
      <sheetName val="Summary_(1)1"/>
      <sheetName val="Statement_of_OPs1"/>
      <sheetName val="New_Valuation1"/>
      <sheetName val="②전구간_파괴검사(킬링미사용)1"/>
      <sheetName val="③전구간_파괴검사(킬링사용)1"/>
      <sheetName val="손익계산서_초안1"/>
      <sheetName val="대차대조표_(2)"/>
      <sheetName val="손익계산서_(2)"/>
      <sheetName val="주요경영지표계산_(2)"/>
      <sheetName val="잉여금,_현금흐름"/>
      <sheetName val="손익계산서_(3)"/>
      <sheetName val="1995년_섹터별_매출"/>
      <sheetName val="2311_재무제표검토_Worksheet의_워크시트"/>
      <sheetName val="Excess_Calc"/>
      <sheetName val="경수97_02"/>
      <sheetName val="Balance_Sheet"/>
      <sheetName val="Income_Statement"/>
      <sheetName val="C100_LEAD"/>
      <sheetName val="월_Capa"/>
      <sheetName val="00_08계정"/>
      <sheetName val="108_수선비1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부서별손익_(부)"/>
      <sheetName val="E_LEAD"/>
      <sheetName val="1차_매출원가"/>
      <sheetName val="제조원가계산서_(2)"/>
      <sheetName val="10월_급여"/>
      <sheetName val="조회서_(2)"/>
      <sheetName val="조회서_(3)"/>
      <sheetName val="조회서_(4)"/>
      <sheetName val="조회서_(5)"/>
      <sheetName val="조회서_(6)"/>
      <sheetName val="미수금_(O)"/>
      <sheetName val="General_Assumptions"/>
      <sheetName val="sap`04_7_14"/>
      <sheetName val="Menu_data"/>
      <sheetName val="평가방법_(2)"/>
      <sheetName val="July_"/>
      <sheetName val="1__PS_bond"/>
      <sheetName val="NO_2-1"/>
      <sheetName val="Approval_status(QTAK)"/>
      <sheetName val="Extra_strand"/>
      <sheetName val="7_-_NC1"/>
      <sheetName val="11_자재단가"/>
      <sheetName val="4_경비_5_영업외수지"/>
      <sheetName val="건설중인_자산"/>
      <sheetName val="LIST_OF_CHANGSHIN_STAFF"/>
      <sheetName val="MAT_OL"/>
      <sheetName val="Ship_Advice"/>
      <sheetName val="Finance_Inputs1"/>
      <sheetName val="7_(2)"/>
      <sheetName val="BA_(2)"/>
      <sheetName val="CP_(2)"/>
      <sheetName val="전사_(2)"/>
      <sheetName val="HR_Final"/>
      <sheetName val="Data_Ctrl-Detailed"/>
      <sheetName val="Data_Ctrl"/>
      <sheetName val="Permanent_info"/>
      <sheetName val="Head_of "/>
      <sheetName val="Head_of_"/>
      <sheetName val="US_Codes"/>
      <sheetName val="흐름도"/>
      <sheetName val="\\Kmw443\d\OTHER\96반기~1\6M\PUBL"/>
      <sheetName val="9712LC"/>
      <sheetName val="LDPE"/>
      <sheetName val="Int-Invst"/>
      <sheetName val="Disclosure"/>
      <sheetName val="Select"/>
      <sheetName val="__Kmw443_d_OTHER_96___1_6M_PU_2"/>
      <sheetName val="__Kmw443_d_OTHER_96___1_6M_PU_3"/>
      <sheetName val="LONGS"/>
      <sheetName val="LOPTION"/>
      <sheetName val="SOPTION"/>
      <sheetName val="SHORTS"/>
      <sheetName val="Price_Summary_(Before_&amp;_Af_x0000__x0000_Ԁ_x0000_ "/>
      <sheetName val="Price_Summary_(Before_&amp;_Af_x0000__x0000_Ԁ_x0000_"/>
      <sheetName val="WORKING"/>
      <sheetName val="공통"/>
      <sheetName val="Gen_Assumption꜂韠"/>
      <sheetName val="Actual Mold Costs"/>
      <sheetName val="PM-TE"/>
      <sheetName val="LNG 1호선 운임"/>
    </sheetNames>
    <definedNames>
      <definedName name="Macro8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2">
          <cell r="E2">
            <v>0.2</v>
          </cell>
        </row>
      </sheetData>
      <sheetData sheetId="478">
        <row r="2">
          <cell r="E2">
            <v>0.2</v>
          </cell>
        </row>
      </sheetData>
      <sheetData sheetId="479"/>
      <sheetData sheetId="480">
        <row r="2">
          <cell r="E2">
            <v>0.2</v>
          </cell>
        </row>
      </sheetData>
      <sheetData sheetId="481">
        <row r="2">
          <cell r="E2">
            <v>0.2</v>
          </cell>
        </row>
      </sheetData>
      <sheetData sheetId="482">
        <row r="2">
          <cell r="E2">
            <v>0.2</v>
          </cell>
        </row>
      </sheetData>
      <sheetData sheetId="483">
        <row r="2">
          <cell r="E2">
            <v>0.2</v>
          </cell>
        </row>
      </sheetData>
      <sheetData sheetId="484">
        <row r="2">
          <cell r="E2">
            <v>0.2</v>
          </cell>
        </row>
      </sheetData>
      <sheetData sheetId="485"/>
      <sheetData sheetId="486"/>
      <sheetData sheetId="487">
        <row r="2">
          <cell r="E2">
            <v>0.2</v>
          </cell>
        </row>
      </sheetData>
      <sheetData sheetId="488">
        <row r="2">
          <cell r="E2">
            <v>0.2</v>
          </cell>
        </row>
      </sheetData>
      <sheetData sheetId="489">
        <row r="2">
          <cell r="E2">
            <v>0.2</v>
          </cell>
        </row>
      </sheetData>
      <sheetData sheetId="490">
        <row r="2">
          <cell r="E2">
            <v>0.2</v>
          </cell>
        </row>
      </sheetData>
      <sheetData sheetId="491">
        <row r="2">
          <cell r="E2">
            <v>0.2</v>
          </cell>
        </row>
      </sheetData>
      <sheetData sheetId="492">
        <row r="2">
          <cell r="E2">
            <v>0.2</v>
          </cell>
        </row>
      </sheetData>
      <sheetData sheetId="493">
        <row r="2">
          <cell r="E2">
            <v>0.2</v>
          </cell>
        </row>
      </sheetData>
      <sheetData sheetId="494">
        <row r="2">
          <cell r="E2">
            <v>0.2</v>
          </cell>
        </row>
      </sheetData>
      <sheetData sheetId="495">
        <row r="2">
          <cell r="E2">
            <v>0.2</v>
          </cell>
        </row>
      </sheetData>
      <sheetData sheetId="496">
        <row r="2">
          <cell r="E2">
            <v>0.2</v>
          </cell>
        </row>
      </sheetData>
      <sheetData sheetId="497"/>
      <sheetData sheetId="498">
        <row r="2">
          <cell r="E2">
            <v>0.2</v>
          </cell>
        </row>
      </sheetData>
      <sheetData sheetId="499">
        <row r="2">
          <cell r="E2">
            <v>0.2</v>
          </cell>
        </row>
      </sheetData>
      <sheetData sheetId="500"/>
      <sheetData sheetId="501">
        <row r="2">
          <cell r="E2">
            <v>0.2</v>
          </cell>
        </row>
      </sheetData>
      <sheetData sheetId="502">
        <row r="2">
          <cell r="E2">
            <v>0.2</v>
          </cell>
        </row>
      </sheetData>
      <sheetData sheetId="503">
        <row r="2">
          <cell r="E2">
            <v>0.2</v>
          </cell>
        </row>
      </sheetData>
      <sheetData sheetId="504">
        <row r="2">
          <cell r="E2">
            <v>0.2</v>
          </cell>
        </row>
      </sheetData>
      <sheetData sheetId="505">
        <row r="2">
          <cell r="E2">
            <v>0.2</v>
          </cell>
        </row>
      </sheetData>
      <sheetData sheetId="506">
        <row r="2">
          <cell r="E2">
            <v>0.2</v>
          </cell>
        </row>
      </sheetData>
      <sheetData sheetId="507"/>
      <sheetData sheetId="508">
        <row r="2">
          <cell r="E2">
            <v>0.2</v>
          </cell>
        </row>
      </sheetData>
      <sheetData sheetId="509">
        <row r="2">
          <cell r="E2">
            <v>0.2</v>
          </cell>
        </row>
      </sheetData>
      <sheetData sheetId="510">
        <row r="2">
          <cell r="E2">
            <v>0.2</v>
          </cell>
        </row>
      </sheetData>
      <sheetData sheetId="511">
        <row r="2">
          <cell r="E2">
            <v>0.2</v>
          </cell>
        </row>
      </sheetData>
      <sheetData sheetId="512">
        <row r="2">
          <cell r="E2">
            <v>0.2</v>
          </cell>
        </row>
      </sheetData>
      <sheetData sheetId="513"/>
      <sheetData sheetId="514">
        <row r="2">
          <cell r="E2">
            <v>0.2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>
        <row r="2">
          <cell r="E2">
            <v>0.2</v>
          </cell>
        </row>
      </sheetData>
      <sheetData sheetId="522"/>
      <sheetData sheetId="523"/>
      <sheetData sheetId="524"/>
      <sheetData sheetId="525">
        <row r="2">
          <cell r="E2">
            <v>0.2</v>
          </cell>
        </row>
      </sheetData>
      <sheetData sheetId="526">
        <row r="2">
          <cell r="E2">
            <v>0.2</v>
          </cell>
        </row>
      </sheetData>
      <sheetData sheetId="527"/>
      <sheetData sheetId="528">
        <row r="2">
          <cell r="E2">
            <v>0.2</v>
          </cell>
        </row>
      </sheetData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>
        <row r="2">
          <cell r="E2">
            <v>0.2</v>
          </cell>
        </row>
      </sheetData>
      <sheetData sheetId="581"/>
      <sheetData sheetId="582">
        <row r="2">
          <cell r="E2">
            <v>0.2</v>
          </cell>
        </row>
      </sheetData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>
        <row r="2">
          <cell r="E2">
            <v>0.2</v>
          </cell>
        </row>
      </sheetData>
      <sheetData sheetId="889">
        <row r="2">
          <cell r="E2">
            <v>0.2</v>
          </cell>
        </row>
      </sheetData>
      <sheetData sheetId="890"/>
      <sheetData sheetId="891">
        <row r="2">
          <cell r="E2">
            <v>0.2</v>
          </cell>
        </row>
      </sheetData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>
        <row r="13">
          <cell r="BB13">
            <v>60</v>
          </cell>
        </row>
      </sheetData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 refreshError="1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>
        <row r="13">
          <cell r="BB13">
            <v>60</v>
          </cell>
        </row>
      </sheetData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급설비"/>
      <sheetName val="건물"/>
      <sheetName val="차량"/>
      <sheetName val="공기구"/>
      <sheetName val="비품"/>
      <sheetName val="96명세"/>
      <sheetName val="첨부자료목록"/>
      <sheetName val="COBS"/>
      <sheetName val="제조경비"/>
      <sheetName val="관계회사거래내역및 채권채무잔액 99"/>
      <sheetName val="손익"/>
      <sheetName val="summary"/>
      <sheetName val="인력(정규직)"/>
      <sheetName val="지역개발"/>
      <sheetName val="해외생산"/>
      <sheetName val="생산"/>
      <sheetName val="수주단가"/>
      <sheetName val="공문"/>
      <sheetName val="경영비율 "/>
      <sheetName val="대출금"/>
      <sheetName val="외상매입금"/>
      <sheetName val="Macro2"/>
      <sheetName val="소상 &quot;1&quot;"/>
      <sheetName val="Sheet3"/>
      <sheetName val="발생집계"/>
      <sheetName val="95년간접비"/>
      <sheetName val="유통망계획"/>
      <sheetName val="차손"/>
      <sheetName val="현금및현금등가물"/>
      <sheetName val="현예금"/>
      <sheetName val="TCA"/>
      <sheetName val="GRACE"/>
      <sheetName val="수정분개"/>
      <sheetName val="Ctrl"/>
      <sheetName val="MON"/>
      <sheetName val="INCOME STATEMENT"/>
      <sheetName val="YTD"/>
      <sheetName val="CONFIG"/>
      <sheetName val="현금"/>
      <sheetName val="Macro1"/>
      <sheetName val="Data"/>
      <sheetName val="M.H"/>
      <sheetName val="--Cov--"/>
      <sheetName val="Financing"/>
      <sheetName val="Assumption"/>
      <sheetName val="Sheet1"/>
      <sheetName val="FSM"/>
      <sheetName val="가동비율"/>
      <sheetName val="Vendor"/>
      <sheetName val="mednat"/>
      <sheetName val="otmeal_spe.allow"/>
      <sheetName val="Notes "/>
      <sheetName val="COND"/>
      <sheetName val="CONTROL"/>
      <sheetName val="영업"/>
      <sheetName val="PLarp"/>
      <sheetName val="MatchCode"/>
      <sheetName val="Stop"/>
      <sheetName val="Accueil"/>
      <sheetName val="PILOT APP."/>
      <sheetName val="9703"/>
      <sheetName val="Threshold"/>
      <sheetName val="사업관리"/>
      <sheetName val="BALANCE"/>
      <sheetName val="INCOME"/>
      <sheetName val="Ship Advice"/>
      <sheetName val="MFAB"/>
      <sheetName val="MFRT"/>
      <sheetName val="MPKG"/>
      <sheetName val="MPRD"/>
      <sheetName val="INFG1198"/>
      <sheetName val="INMD1198"/>
      <sheetName val="Property"/>
      <sheetName val="TOTAL"/>
      <sheetName val="Sheet2"/>
      <sheetName val="9806-9901"/>
      <sheetName val="Cover"/>
      <sheetName val="제조원가"/>
      <sheetName val="재무가정"/>
      <sheetName val="공정별"/>
      <sheetName val="MTP options"/>
      <sheetName val="관세"/>
      <sheetName val="MT-09"/>
      <sheetName val="차량(구)"/>
      <sheetName val="Sch7a (토요일)"/>
      <sheetName val="정산표(IS)2003"/>
      <sheetName val="seisa"/>
      <sheetName val="KD율"/>
      <sheetName val="Assumptions"/>
      <sheetName val="timesheet"/>
      <sheetName val="의왕"/>
      <sheetName val="회사정보"/>
      <sheetName val="Plan_Actual"/>
      <sheetName val="원가정리"/>
      <sheetName val="원부재료"/>
      <sheetName val="제품수불표"/>
      <sheetName val="Revenue"/>
      <sheetName val="#REF"/>
      <sheetName val="Debt Service Schedule"/>
      <sheetName val="XREF"/>
      <sheetName val="MBL IV RECONS"/>
      <sheetName val="MBL IV INTERCOY"/>
      <sheetName val="Table"/>
      <sheetName val="FY05 Scorecard"/>
      <sheetName val="97IS"/>
      <sheetName val="판매기초"/>
      <sheetName val="p2-1"/>
      <sheetName val="A"/>
      <sheetName val="RATE"/>
      <sheetName val="소계정"/>
      <sheetName val="실행철강하도"/>
      <sheetName val="부가세신고자료"/>
      <sheetName val="분기별데이타"/>
      <sheetName val="월별데이타"/>
      <sheetName val="사채상각비"/>
      <sheetName val="노무비"/>
      <sheetName val="Repayment Summary"/>
      <sheetName val="보정전"/>
      <sheetName val="소상_&quot;1&quot;"/>
      <sheetName val="관계회사거래내역및_채권채무잔액_99"/>
      <sheetName val="BS(Nov)"/>
      <sheetName val="경영비율_"/>
      <sheetName val="M_H"/>
      <sheetName val="INCOME_STATEMENT"/>
      <sheetName val="PILOT_APP_"/>
      <sheetName val="Links"/>
      <sheetName val="총집계내역"/>
      <sheetName val="main_prog"/>
      <sheetName val="Market"/>
      <sheetName val="94반성(Pnck)"/>
      <sheetName val="매출단가"/>
      <sheetName val="목록"/>
      <sheetName val="piping"/>
      <sheetName val="multiple"/>
      <sheetName val="Exb II.1_Summary Taira"/>
      <sheetName val="Sch Index"/>
      <sheetName val="BACKDATA"/>
      <sheetName val="8월"/>
      <sheetName val="Depreciation"/>
      <sheetName val="Net Trans Sum"/>
      <sheetName val="nn(신입_일반)"/>
      <sheetName val="sn(삼성_일반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갑)"/>
      <sheetName val="(을)"/>
      <sheetName val="(병)"/>
      <sheetName val="(정)"/>
      <sheetName val="inform"/>
      <sheetName val="BS"/>
      <sheetName val="PL"/>
      <sheetName val="요약원가"/>
      <sheetName val="RE"/>
      <sheetName val="TB"/>
      <sheetName val="T1"/>
      <sheetName val="T1-2"/>
      <sheetName val="T2"/>
      <sheetName val="T2부표"/>
      <sheetName val="T5"/>
      <sheetName val="T6"/>
      <sheetName val="T6A"/>
      <sheetName val="T6B"/>
      <sheetName val="T6-1"/>
      <sheetName val="T6-3(2)"/>
      <sheetName val="T6-3(3)"/>
      <sheetName val="T6-3(4)"/>
      <sheetName val="T6-4A"/>
      <sheetName val="T6-4B"/>
      <sheetName val="T6-6(2)"/>
      <sheetName val="SUMMARY"/>
      <sheetName val="INMD1198"/>
      <sheetName val="INFG11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채무"/>
      <sheetName val="보증인"/>
      <sheetName val="계좌별"/>
      <sheetName val="주채무불량"/>
      <sheetName val="보증인불량"/>
      <sheetName val="원금회수명세"/>
      <sheetName val="이자회수명세"/>
      <sheetName val="PL Dow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"/>
      <sheetName val="YTD-PL"/>
      <sheetName val="Oct-BS"/>
      <sheetName val="미지급비용"/>
      <sheetName val="YOUNGSU"/>
      <sheetName val="0201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F arp"/>
      <sheetName val="H"/>
      <sheetName val="h 취득"/>
      <sheetName val="h 처분"/>
      <sheetName val="배당금수익"/>
      <sheetName val="N"/>
      <sheetName val="N ARP"/>
      <sheetName val="P"/>
      <sheetName val="u20"/>
      <sheetName val="재고recon"/>
      <sheetName val="미지급"/>
      <sheetName val="관계회사거래내역및 채권채무잔액 99"/>
      <sheetName val="Oct"/>
      <sheetName val="YOUNGS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리드"/>
      <sheetName val="계약서 요약"/>
      <sheetName val="분석적검토"/>
      <sheetName val="외상매출금(현석)"/>
      <sheetName val="외화외상매출금(현석)"/>
      <sheetName val="외화외상매출금 원장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환차손익"/>
      <sheetName val="외화환산손익(1분기)"/>
      <sheetName val="외화환산손익(2분기)"/>
      <sheetName val="XREF"/>
      <sheetName val="Tickmarks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-2000"/>
      <sheetName val="Korea Sign-Internal"/>
      <sheetName val="Adjustments-2001"/>
      <sheetName val="adjustment"/>
      <sheetName val="warrants"/>
      <sheetName val="Stock Div Accural"/>
      <sheetName val="FX"/>
      <sheetName val="외화환산손익(2분기)"/>
      <sheetName val="외환차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년 섹터별 매출"/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제품(수출)매출"/>
      <sheetName val="상품매출"/>
      <sheetName val="재고 "/>
      <sheetName val="1_當期시산표"/>
      <sheetName val="보고"/>
      <sheetName val="Sheet1"/>
      <sheetName val="Sheet2"/>
      <sheetName val="제품분류코드"/>
      <sheetName val="3250-31"/>
      <sheetName val="정산표"/>
      <sheetName val="GC2000"/>
      <sheetName val="cod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 (2)"/>
      <sheetName val="이익분석"/>
      <sheetName val="대차 (2)"/>
      <sheetName val="이익분석2"/>
      <sheetName val="매출원가"/>
      <sheetName val="제조 (2)"/>
      <sheetName val="대차"/>
      <sheetName val="손익"/>
      <sheetName val="제조"/>
      <sheetName val="요약"/>
      <sheetName val="잉여"/>
      <sheetName val="매출법인세"/>
      <sheetName val="매출액인건"/>
      <sheetName val="확정안"/>
      <sheetName val="배당가능"/>
      <sheetName val="타인현금"/>
      <sheetName val="현금등대여"/>
      <sheetName val="Module1"/>
      <sheetName val="충돌 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 Lead"/>
      <sheetName val="E 100"/>
      <sheetName val="E 200"/>
      <sheetName val="E010"/>
      <sheetName val="E020"/>
      <sheetName val="E03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분석적검토"/>
      <sheetName val="외상매출금(0312)"/>
      <sheetName val="받을어음(0312)"/>
      <sheetName val="부도어음(0312)"/>
      <sheetName val="은행별 할인어음(0312)"/>
      <sheetName val="할인어음명세서(0312)"/>
      <sheetName val="외상매출금 샘플test(0306)"/>
      <sheetName val="대손금제각(0312)"/>
      <sheetName val="대손설정(0312)"/>
      <sheetName val="외상매출(07-12)"/>
      <sheetName val="도레미실행계획서"/>
      <sheetName val="선급금(07-12)"/>
      <sheetName val="신규거래처 검토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무형"/>
      <sheetName val="연구비상각"/>
      <sheetName val="산업재산권상각"/>
      <sheetName val="TWT예수금관련"/>
      <sheetName val="XREF"/>
      <sheetName val="Tickmarks"/>
      <sheetName val="개발비상각"/>
      <sheetName val="F12"/>
      <sheetName val="F3"/>
      <sheetName val="기타유동LS"/>
      <sheetName val="매입채무"/>
      <sheetName val="2001"/>
      <sheetName val="대차"/>
      <sheetName val="Lease Details"/>
      <sheetName val="감가상각누계액"/>
      <sheetName val="1.외주공사"/>
      <sheetName val="2.직영공사"/>
      <sheetName val="감가상각"/>
      <sheetName val="lead"/>
      <sheetName val="정산표"/>
      <sheetName val="선수금(29)"/>
      <sheetName val="TOT"/>
      <sheetName val="제조원가(제조-양산)"/>
      <sheetName val="6120"/>
      <sheetName val="F4_PAJE(6월)"/>
      <sheetName val="취득 처분명세_반기"/>
      <sheetName val="SUMMARY"/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수정시산표"/>
      <sheetName val="TABLE01"/>
      <sheetName val="원본"/>
      <sheetName val="회사정보"/>
      <sheetName val="손익계산서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대환취급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시산표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정기적금"/>
      <sheetName val="변수"/>
      <sheetName val="IJABUNRI"/>
      <sheetName val="Sheet1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TOTAL"/>
      <sheetName val="BA"/>
      <sheetName val="BB"/>
      <sheetName val="BC"/>
      <sheetName val="BD"/>
      <sheetName val="BE"/>
      <sheetName val="Module"/>
      <sheetName val="회의자료"/>
      <sheetName val="P&amp;P펄프 집계"/>
      <sheetName val="변동비 분석"/>
      <sheetName val="원단위분석BOM"/>
      <sheetName val="연기"/>
      <sheetName val="생산량차이"/>
      <sheetName val="변동비_울산"/>
      <sheetName val="P"/>
      <sheetName val="data집계"/>
      <sheetName val="사업계획"/>
      <sheetName val="실적"/>
      <sheetName val="예산"/>
      <sheetName val="펄프(제조원가명세서)"/>
      <sheetName val="U"/>
      <sheetName val="한세A4PL"/>
      <sheetName val="INFO"/>
      <sheetName val="외환차손익"/>
      <sheetName val="Leadsheet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카메라"/>
      <sheetName val="집계표"/>
      <sheetName val="전체"/>
      <sheetName val="수금기일초과"/>
      <sheetName val="담보가치율50%미만"/>
      <sheetName val="전체 (2)"/>
      <sheetName val="업종별제조원가"/>
      <sheetName val="조치원제조"/>
      <sheetName val="Tickmarks "/>
      <sheetName val="감사인검토내역(PAJE)"/>
      <sheetName val="관세"/>
      <sheetName val="조회서"/>
      <sheetName val="3110-2"/>
      <sheetName val="인건비 내역서"/>
      <sheetName val="유형"/>
      <sheetName val="고정부채"/>
      <sheetName val="만기"/>
      <sheetName val="99발견사항"/>
      <sheetName val="발견사항"/>
      <sheetName val="wbs"/>
      <sheetName val="wpl"/>
      <sheetName val="대차대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만기 (2)"/>
      <sheetName val="00'미수"/>
      <sheetName val="She_x0000__x0000_2"/>
      <sheetName val="꺐윂"/>
      <sheetName val="총괄(회사)"/>
      <sheetName val="무형자산"/>
      <sheetName val="전산기기최종"/>
      <sheetName val="집기비품최종"/>
      <sheetName val="만기0701"/>
      <sheetName val="99지분법평가ﾐ쟿"/>
      <sheetName val="부외부채"/>
      <sheetName val="공사미수금"/>
      <sheetName val="유형자산증가"/>
      <sheetName val="xxxxxx"/>
      <sheetName val="시산표(매출조정전)"/>
      <sheetName val="고정자산원본"/>
      <sheetName val="감액검토_x_"/>
      <sheetName val="감가상각LS"/>
      <sheetName val="LS "/>
      <sheetName val="기타의투자자산"/>
      <sheetName val="장기대여금"/>
      <sheetName val="600-4"/>
      <sheetName val="D620"/>
      <sheetName val="매출채권"/>
      <sheetName val="기타당좌자산"/>
      <sheetName val="5300"/>
      <sheetName val="5500"/>
      <sheetName val="SS10"/>
      <sheetName val="유형자산증감"/>
      <sheetName val="RESULT"/>
      <sheetName val="보증금"/>
      <sheetName val="5400-재고자산Lead"/>
      <sheetName val="자료"/>
      <sheetName val="손익합산"/>
      <sheetName val="compare2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상품매출원가"/>
      <sheetName val="front"/>
      <sheetName val="재료비"/>
      <sheetName val="가공비"/>
      <sheetName val="판관비"/>
      <sheetName val="생판계획"/>
      <sheetName val="9월제조원가"/>
      <sheetName val="6월 내수"/>
      <sheetName val="6월 내수_편집"/>
      <sheetName val="차수"/>
      <sheetName val="Input"/>
      <sheetName val="Co"/>
      <sheetName val="123"/>
      <sheetName val="5"/>
      <sheetName val="cover"/>
      <sheetName val="content"/>
      <sheetName val="1.0 - 5.0"/>
      <sheetName val="6.Data"/>
      <sheetName val="7.Calculation"/>
      <sheetName val="HGL"/>
      <sheetName val="Sys. Curve"/>
      <sheetName val="8.Summary"/>
      <sheetName val="9.Attach"/>
      <sheetName val="DATA"/>
      <sheetName val="MCS"/>
      <sheetName val="CF"/>
      <sheetName val="RE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종합_SP"/>
      <sheetName val="종합_MP"/>
      <sheetName val="무림SP_상세"/>
      <sheetName val="무림페이퍼_상세"/>
      <sheetName val="종합"/>
      <sheetName val="Start"/>
      <sheetName val="Inputs"/>
      <sheetName val="AcqIS"/>
      <sheetName val="AcqBSCF"/>
      <sheetName val="공사손실충당금(3분기)"/>
      <sheetName val="지분법평가"/>
      <sheetName val="prov locales"/>
      <sheetName val="신기술(비상장)0412"/>
      <sheetName val="리드"/>
      <sheetName val="후순위채05.01.20"/>
      <sheetName val="비품(94이전)"/>
      <sheetName val="TEL"/>
      <sheetName val="보증금(전신전화가입권)"/>
      <sheetName val="6.STIC"/>
      <sheetName val="퇴충 LS"/>
      <sheetName val="유형자산 LS"/>
      <sheetName val="취득test"/>
      <sheetName val="F12_BS"/>
      <sheetName val="F3_PL"/>
      <sheetName val="제조경비"/>
      <sheetName val="부재료입고"/>
      <sheetName val="관계회사거래내역및 채권채무잔액 99"/>
      <sheetName val="잡이익원장"/>
      <sheetName val="영업외비용"/>
      <sheetName val="재무가정"/>
      <sheetName val="지급보증금"/>
      <sheetName val="통계자료"/>
      <sheetName val="TB(BS)"/>
      <sheetName val="TB(PL)"/>
      <sheetName val="PAJE"/>
      <sheetName val="PRJE"/>
      <sheetName val="자본금"/>
      <sheetName val="감소Test"/>
      <sheetName val="FN"/>
      <sheetName val="9811 YTD"/>
      <sheetName val="주석"/>
      <sheetName val="간이연락"/>
      <sheetName val="공통비"/>
      <sheetName val="현금&amp;현금등가(K)"/>
      <sheetName val="퇴충(K)"/>
      <sheetName val="상용_mp"/>
      <sheetName val="현금및예치금집계표"/>
      <sheetName val="현금및등가물명세서"/>
      <sheetName val="퇴직금추계ot"/>
      <sheetName val="She"/>
      <sheetName val="감가상각비재계산_08"/>
      <sheetName val="FS96"/>
      <sheetName val="8월현금흐름표"/>
      <sheetName val="매출"/>
      <sheetName val="basic_info"/>
      <sheetName val="조회총괄"/>
      <sheetName val="XLUTIL"/>
      <sheetName val="96수표어음"/>
      <sheetName val="로케션"/>
      <sheetName val="master"/>
      <sheetName val="Estrazione"/>
      <sheetName val="Links"/>
      <sheetName val="COND"/>
      <sheetName val="5600"/>
      <sheetName val="Macro2"/>
      <sheetName val="영업"/>
      <sheetName val="종합일지"/>
      <sheetName val="분당임차변경"/>
      <sheetName val="Macro4"/>
      <sheetName val="Gen Assumptions"/>
      <sheetName val="관리대장(2001장비)"/>
      <sheetName val="4b Consolidated PL"/>
      <sheetName val="전체현황"/>
      <sheetName val="1998 P &amp; L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공문"/>
      <sheetName val="Priorities"/>
      <sheetName val="Rate"/>
      <sheetName val="Date"/>
      <sheetName val="월별수입"/>
      <sheetName val="유통망계획"/>
      <sheetName val="미수수익"/>
      <sheetName val="Index"/>
      <sheetName val="폐토수익화 "/>
      <sheetName val="Com-Button"/>
      <sheetName val="총괄KD"/>
      <sheetName val="공통부대비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MetaData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#REF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2차분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1_외주공사"/>
      <sheetName val="2_직영공사"/>
      <sheetName val="Korea_Sign-Internal"/>
      <sheetName val="4b_Consolidated_PL"/>
      <sheetName val="Gen_Assumptions"/>
      <sheetName val="1998_P_&amp;_L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▶판가Trend(수정안)"/>
      <sheetName val="▶판매량Trend(수정안)"/>
      <sheetName val="집계2"/>
      <sheetName val="교정용 시트 (9)"/>
      <sheetName val="TCA"/>
      <sheetName val="3. BSC NC ratio"/>
      <sheetName val="Sheet6 (3)"/>
      <sheetName val="원본 data"/>
      <sheetName val="1차 가공"/>
      <sheetName val="다이스"/>
      <sheetName val="분석data"/>
      <sheetName val="불량집계"/>
      <sheetName val="서식 옵션"/>
      <sheetName val="대비"/>
      <sheetName val="AR"/>
      <sheetName val="due from HO"/>
      <sheetName val="AP"/>
      <sheetName val="IS"/>
      <sheetName val="Prepaid"/>
      <sheetName val="Accrued exp"/>
      <sheetName val="Head office"/>
      <sheetName val="세목별"/>
      <sheetName val="결산비용"/>
      <sheetName val="적용환율"/>
      <sheetName val="지급보증금74"/>
      <sheetName val="Controls"/>
      <sheetName val="INTRODUCTION"/>
      <sheetName val="97LGG"/>
      <sheetName val="TV법인별"/>
      <sheetName val="  한국 AMP ASP-23 판매가격  "/>
      <sheetName val="계정그룹"/>
      <sheetName val="페이퍼2010년사업계획20091107"/>
      <sheetName val="승인"/>
      <sheetName val="r1"/>
      <sheetName val="s0"/>
      <sheetName val="Sheet1 (2)"/>
      <sheetName val="Sheet1 (3)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제품별 MC"/>
      <sheetName val="営業以外 評価賞与"/>
      <sheetName val="받을어음"/>
      <sheetName val="채권(하반기)"/>
      <sheetName val="신고서.전"/>
      <sheetName val="협조전"/>
      <sheetName val="FRC"/>
      <sheetName val="950801"/>
      <sheetName val="비상각자산분류"/>
      <sheetName val="범한여행"/>
      <sheetName val="Krw"/>
      <sheetName val="ST"/>
      <sheetName val="DISTTB"/>
      <sheetName val="INOBTB"/>
      <sheetName val="입력자료"/>
      <sheetName val="수처리사업"/>
      <sheetName val="차종별"/>
      <sheetName val="반기_유가증권"/>
      <sheetName val="기초데이타"/>
      <sheetName val="분개장·원장"/>
      <sheetName val="95WBS"/>
      <sheetName val="사원명부"/>
      <sheetName val="인원계획-미화"/>
      <sheetName val="노무비"/>
      <sheetName val="울산"/>
      <sheetName val="매출매입"/>
      <sheetName val="Intro2"/>
      <sheetName val="Id"/>
      <sheetName val="Dim Lists"/>
      <sheetName val="Lists"/>
      <sheetName val="Fixed Asset 2203 (2)"/>
      <sheetName val="BAU-ITEMLIST"/>
      <sheetName val="LIST"/>
      <sheetName val="시실누(모) "/>
      <sheetName val="자본금99(수)"/>
      <sheetName val="Price Summary (Before &amp; After)"/>
      <sheetName val="Non-Statistical Sampling Master"/>
      <sheetName val="조정명세서"/>
      <sheetName val="97년추정손익계산서"/>
      <sheetName val="일일붙여라"/>
      <sheetName val="인원기초(M)"/>
      <sheetName val="95TOTREV"/>
      <sheetName val="98종합"/>
      <sheetName val="09.01퇴직"/>
      <sheetName val="Bank charge"/>
      <sheetName val="Cover sheet"/>
      <sheetName val="작업장"/>
      <sheetName val="DATE변환"/>
      <sheetName val="MEXICO-C"/>
      <sheetName val="Sheet16"/>
      <sheetName val="지분법(AK)_(2)"/>
      <sheetName val="한일자야(감액손실)_(2)"/>
      <sheetName val="Secured_Master"/>
      <sheetName val="9811_YTD"/>
      <sheetName val="폐토수익화_"/>
      <sheetName val="w't_table"/>
      <sheetName val="Inv_"/>
      <sheetName val="급여이체(농)_(2)"/>
      <sheetName val="1_MDF1공장"/>
      <sheetName val="2_대외공문"/>
      <sheetName val="BAL_(TTL)"/>
      <sheetName val="118_세금과공과"/>
      <sheetName val="Oper_Amount"/>
      <sheetName val="Data_Sheet"/>
      <sheetName val="_견적서"/>
      <sheetName val="1-KUNDE_XLS"/>
      <sheetName val="Intercompany_AR_&amp;_AP"/>
      <sheetName val="관계매출_(2)"/>
      <sheetName val="due_from_HO"/>
      <sheetName val="Accrued_exp"/>
      <sheetName val="Head_office"/>
      <sheetName val="__한국_AMP_ASP-23_판매가격__"/>
      <sheetName val="営業以外_評価賞与"/>
      <sheetName val="신고서_전"/>
      <sheetName val="제품별_MC"/>
      <sheetName val="1월--7월"/>
      <sheetName val="8월--12월"/>
      <sheetName val="p2-1"/>
      <sheetName val="생산계획"/>
      <sheetName val="G3-1"/>
      <sheetName val="data5"/>
      <sheetName val="125PIECE"/>
      <sheetName val="MOTOR"/>
      <sheetName val="ITEM"/>
      <sheetName val="5월17일"/>
      <sheetName val="받check"/>
      <sheetName val="DS-장비"/>
      <sheetName val="NW-장비"/>
      <sheetName val="원시데이타"/>
      <sheetName val="O  1.0 Leadsheet of income tax"/>
      <sheetName val="분석적검토(대차)"/>
      <sheetName val="출자한도"/>
      <sheetName val="한계원가"/>
      <sheetName val="9612서울"/>
      <sheetName val=".1 memo"/>
      <sheetName val="Summary (1)"/>
      <sheetName val="집계"/>
      <sheetName val="연료사용"/>
      <sheetName val="합계잔액시산표"/>
      <sheetName val="수출가격"/>
      <sheetName val="원가분석"/>
      <sheetName val="F-4,5"/>
      <sheetName val="LS"/>
      <sheetName val="차입금LS"/>
      <sheetName val="매출채권 lead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금융보증부채"/>
      <sheetName val="F1,2"/>
      <sheetName val="F45"/>
      <sheetName val="Page 1A - Proposal Strategy "/>
      <sheetName val="프랜트면허"/>
      <sheetName val="토목주소"/>
      <sheetName val="MYENGBU"/>
      <sheetName val="중기일위대가"/>
      <sheetName val="방배동내역(리라)"/>
      <sheetName val="현장경비"/>
      <sheetName val="건축공사집계표"/>
      <sheetName val="부대공사총괄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주식"/>
      <sheetName val="갑지(추정)"/>
      <sheetName val="투자효율분석"/>
      <sheetName val="설계명세서"/>
      <sheetName val="음료실행"/>
      <sheetName val="ELECTRIC"/>
      <sheetName val="SCHEDULE"/>
      <sheetName val="CTEMCOST"/>
      <sheetName val="매립"/>
      <sheetName val="일위대가"/>
      <sheetName val="FORM-0"/>
      <sheetName val="물량표"/>
      <sheetName val="EJ"/>
      <sheetName val="경비"/>
      <sheetName val="마감사양"/>
      <sheetName val="금액내역서"/>
      <sheetName val="실행내역"/>
      <sheetName val="갑지"/>
      <sheetName val="내역서"/>
      <sheetName val="인사자료총집계"/>
      <sheetName val="경영상태"/>
      <sheetName val="Man Hole"/>
      <sheetName val="0226"/>
      <sheetName val="갑지1"/>
      <sheetName val="1ST"/>
      <sheetName val="표준건축비"/>
      <sheetName val="환율"/>
      <sheetName val="DATA2000"/>
      <sheetName val="TEST1"/>
      <sheetName val="입출재고현황 (2)"/>
      <sheetName val="A"/>
      <sheetName val="공사내역"/>
      <sheetName val="차액보증"/>
      <sheetName val="archi(본사)"/>
      <sheetName val="금융비용"/>
      <sheetName val="연돌일위집계"/>
      <sheetName val="배명(단가)"/>
      <sheetName val="결제"/>
      <sheetName val="할증 "/>
      <sheetName val="CAL1"/>
      <sheetName val="내역"/>
      <sheetName val="변경내역대비표(2)"/>
      <sheetName val="개요"/>
      <sheetName val="부속동"/>
      <sheetName val="수량3"/>
      <sheetName val="도급"/>
      <sheetName val="지급자재"/>
      <sheetName val="ENE-CAL"/>
      <sheetName val="중기사용료"/>
      <sheetName val="실행"/>
      <sheetName val="기안"/>
      <sheetName val="개산공사비"/>
      <sheetName val="단가표 "/>
      <sheetName val="부하계산서"/>
      <sheetName val="연결임시"/>
      <sheetName val="을지 (2)"/>
      <sheetName val="을지"/>
      <sheetName val="방배동내역 (총괄)"/>
      <sheetName val="조명시설"/>
      <sheetName val="선로정수계산"/>
      <sheetName val="설산1.나"/>
      <sheetName val="본사S"/>
      <sheetName val="설계명세"/>
      <sheetName val="공통가설"/>
      <sheetName val="내역표지"/>
      <sheetName val="입고현황(전체)"/>
      <sheetName val="부하(성남)"/>
      <sheetName val="대갑기성내역"/>
      <sheetName val="설계조건"/>
      <sheetName val="00년"/>
      <sheetName val="일위_파일"/>
      <sheetName val="날개벽"/>
      <sheetName val="암거단위-1련"/>
      <sheetName val="1,2,3,4,5단위수량"/>
      <sheetName val="아파트기별"/>
      <sheetName val="공리일"/>
      <sheetName val="계수시트"/>
      <sheetName val="원가계산서"/>
      <sheetName val="SAKUB"/>
      <sheetName val="영동(D)"/>
      <sheetName val="의뢰서"/>
      <sheetName val="가격조사서"/>
      <sheetName val="TYPE-A"/>
      <sheetName val="EQT-ESTN"/>
      <sheetName val="자금흐름표_SAC_작업"/>
      <sheetName val="일위"/>
      <sheetName val="일위대가(여기까지)"/>
      <sheetName val="품셈"/>
      <sheetName val="BID"/>
      <sheetName val="화전내"/>
      <sheetName val="경비2내역"/>
      <sheetName val="찍기"/>
      <sheetName val="골조시행"/>
      <sheetName val="구체"/>
      <sheetName val="좌측날개벽"/>
      <sheetName val="우측날개벽"/>
      <sheetName val="FFU 물량"/>
      <sheetName val="대공종"/>
      <sheetName val="F4-F7"/>
      <sheetName val="cable-data"/>
      <sheetName val="산거각호표"/>
      <sheetName val="6PILE  (돌출)"/>
      <sheetName val="IW-LIST"/>
      <sheetName val="L형옹벽"/>
      <sheetName val="3.공통공사대비"/>
      <sheetName val="비교1"/>
      <sheetName val="은행"/>
      <sheetName val=" 공장동 건설공사 견적서 R5.xlsx"/>
      <sheetName val="공사예산하조서(O.K)"/>
      <sheetName val="투입집계표"/>
      <sheetName val="단가표"/>
      <sheetName val="FOB발"/>
      <sheetName val="실행(ALT1)"/>
      <sheetName val="실행철강하도"/>
      <sheetName val="견적서"/>
      <sheetName val="14.1&quot; Cst 변화"/>
      <sheetName val="98비정기소모"/>
      <sheetName val="설비2차"/>
      <sheetName val="9GNG운반"/>
      <sheetName val="포장절단"/>
      <sheetName val="토목내역"/>
      <sheetName val="1호맨홀토공"/>
      <sheetName val="Sight n M.H"/>
      <sheetName val="__"/>
      <sheetName val="신우"/>
      <sheetName val="정산내역"/>
      <sheetName val="VS P-Q"/>
      <sheetName val="G.R300경비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설계내역서"/>
      <sheetName val="예가표"/>
      <sheetName val="견적대비표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121220_14라인 분석실 개조공사_정산내역서_최종취합"/>
      <sheetName val="BA "/>
      <sheetName val="DRUM"/>
      <sheetName val="Supplement2"/>
      <sheetName val="장비명"/>
      <sheetName val="36+45-113-18+19+20I"/>
      <sheetName val="G2설비도급"/>
      <sheetName val="참조"/>
      <sheetName val="장비내역서"/>
      <sheetName val="수선계획표"/>
      <sheetName val="WORK"/>
      <sheetName val="건축공사"/>
      <sheetName val="40총괄"/>
      <sheetName val="40집계"/>
      <sheetName val="전계가"/>
      <sheetName val="공틀공사"/>
      <sheetName val="건축내역서"/>
      <sheetName val="설비내역서"/>
      <sheetName val="전기내역서"/>
      <sheetName val="건축내역"/>
      <sheetName val="Ⅴ-2.공종별내역"/>
      <sheetName val="을 2"/>
      <sheetName val="을 1"/>
      <sheetName val="dg"/>
      <sheetName val="결과조달"/>
      <sheetName val="c_balju"/>
      <sheetName val="품의"/>
      <sheetName val="공예을"/>
      <sheetName val="방배동내역(한영)"/>
      <sheetName val="SPC노임(5월)"/>
      <sheetName val="물량산출근거"/>
      <sheetName val="P.M 별"/>
      <sheetName val="수목데이타 "/>
      <sheetName val="증감분석"/>
      <sheetName val="단면 (2)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FB25JN"/>
      <sheetName val="납부서"/>
      <sheetName val="노무비단가"/>
      <sheetName val="중기조종사 단위단가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CONCRETE"/>
      <sheetName val="감가상각비"/>
      <sheetName val="계실5-1"/>
      <sheetName val="지분법평가1분기"/>
      <sheetName val="검토사항"/>
      <sheetName val="대외공문"/>
      <sheetName val="CMA"/>
      <sheetName val="TFT공정평가"/>
      <sheetName val="이연법인세6월말"/>
      <sheetName val="Menu_Link"/>
      <sheetName val="사발차"/>
      <sheetName val="Template"/>
      <sheetName val="5810-1 무형자산subleed의 워크시트"/>
      <sheetName val="현금"/>
      <sheetName val="시설이용권명세서"/>
      <sheetName val="1995년 섹터별 매출"/>
      <sheetName val="97손익계획"/>
      <sheetName val="She_x005f_x0000__x005f_x0000_2"/>
      <sheetName val="TNF Profit"/>
      <sheetName val="VFS Profit"/>
      <sheetName val="PBT Matrix"/>
      <sheetName val="EP"/>
      <sheetName val="JS"/>
      <sheetName val="TNF"/>
      <sheetName val="NAPA"/>
      <sheetName val="NAU"/>
      <sheetName val="VANS"/>
      <sheetName val="KPL"/>
      <sheetName val="REEF"/>
      <sheetName val="OUTDOOR"/>
      <sheetName val="JEANS"/>
      <sheetName val="JSW_OD"/>
      <sheetName val="Jeans copy"/>
      <sheetName val="Check"/>
      <sheetName val="Parameters"/>
      <sheetName val="iMPC"/>
      <sheetName val="Q1 X-file 033008"/>
      <sheetName val="DD30"/>
      <sheetName val="Flowchart"/>
      <sheetName val="F4.2"/>
      <sheetName val="F4.3"/>
      <sheetName val="주주명부&lt;끝&gt;"/>
      <sheetName val="2 카드채권(대출포함)"/>
      <sheetName val="매출채권 lead schedule"/>
      <sheetName val=".3 일진전기"/>
      <sheetName val=".4 일진중공업"/>
      <sheetName val=".5 일진캐피탈"/>
      <sheetName val=".7 마그마툴"/>
      <sheetName val=".8 누브인터네셔널"/>
      <sheetName val="가맹점매출"/>
      <sheetName val="ERP 다운"/>
      <sheetName val="감독원보고기준_차기배당금액"/>
      <sheetName val="She_x005f_x005f_x005f_x0000__x005f_x005f_x005f_x0000_2"/>
      <sheetName val="PAJE,PRJE"/>
      <sheetName val="무형자산 LS11"/>
      <sheetName val="PC%계산"/>
      <sheetName val="Menu"/>
      <sheetName val="Two Step Revenue Testing Master"/>
      <sheetName val="FS-Consol"/>
      <sheetName val="재고현황(Unit)"/>
      <sheetName val="Int-Invst"/>
      <sheetName val="Disclosure"/>
      <sheetName val="Select"/>
      <sheetName val="업무분장 "/>
      <sheetName val="공통"/>
      <sheetName val="RR Allocation"/>
      <sheetName val="1.일반사항"/>
      <sheetName val="14.리스"/>
      <sheetName val="32.특관자"/>
      <sheetName val="33.우발,약정"/>
      <sheetName val="HSA"/>
      <sheetName val="CA"/>
      <sheetName val="3-31"/>
      <sheetName val="3. BSC NCꊐ̽ç抰᭾"/>
      <sheetName val="0201"/>
      <sheetName val="불량집"/>
      <sheetName val="SS20"/>
      <sheetName val="재무제표"/>
      <sheetName val="F45(1Q)"/>
      <sheetName val="자본"/>
      <sheetName val="Classification"/>
      <sheetName val="controll"/>
      <sheetName val="5월경비_영업외비용"/>
      <sheetName val="외화평가"/>
      <sheetName val="CE"/>
      <sheetName val="마감장"/>
      <sheetName val="替代程序 CDE"/>
      <sheetName val="세액계산"/>
      <sheetName val="간주기안"/>
      <sheetName val="의제기안"/>
      <sheetName val="Q2"/>
      <sheetName val="이자정산계획"/>
      <sheetName val="98실적"/>
      <sheetName val="5131"/>
      <sheetName val="A1"/>
      <sheetName val="신제품지원"/>
      <sheetName val="금융리스"/>
      <sheetName val="Assumptions"/>
      <sheetName val="Breakdown"/>
      <sheetName val="FA"/>
      <sheetName val="Accrual Final"/>
      <sheetName val="2.지분법적용주식Leadsheet(회사제시)"/>
      <sheetName val="1. 매출채권리드"/>
      <sheetName val="应收账款jane"/>
      <sheetName val="预付 部件"/>
      <sheetName val="Sales_Prefinal"/>
      <sheetName val="AP_Prefinal"/>
      <sheetName val="Leasehold amortization"/>
      <sheetName val="기준정보"/>
      <sheetName val="SUP-03"/>
      <sheetName val="C.A"/>
      <sheetName val="주요재무비율"/>
      <sheetName val="2021.3Q审定前"/>
      <sheetName val="FA-LISTING"/>
      <sheetName val="FAB별"/>
      <sheetName val="월마트"/>
      <sheetName val="뒤차축소"/>
      <sheetName val="C"/>
      <sheetName val="BS(Don't Prt)"/>
      <sheetName val="미수"/>
      <sheetName val="기계"/>
      <sheetName val="금융소득종합과세"/>
      <sheetName val="근로소득세2001"/>
      <sheetName val="리드14"/>
      <sheetName val="索引"/>
      <sheetName val="기초코드"/>
      <sheetName val="2001Org"/>
      <sheetName val="maccp04"/>
      <sheetName val="비교손익계산서"/>
      <sheetName val="창원외상매출금(원)"/>
      <sheetName val="WTB"/>
      <sheetName val="연체리스료"/>
      <sheetName val="시뮬레이션정보"/>
      <sheetName val="CAUDIT"/>
      <sheetName val=""/>
      <sheetName val="용역비"/>
      <sheetName val="분양미수금"/>
      <sheetName val="p1.Lead"/>
      <sheetName val="VAT reconcile"/>
      <sheetName val="분석적검토"/>
      <sheetName val="불량집헾"/>
      <sheetName val="외화환산손익(2분기)"/>
      <sheetName val="Functional"/>
      <sheetName val="채권조회서 Roll-forward test"/>
      <sheetName val="단기차입금"/>
      <sheetName val="재공품"/>
      <sheetName val="대손검토"/>
      <sheetName val=".4 이연법인세계산"/>
      <sheetName val="P.L"/>
      <sheetName val="성적표96"/>
      <sheetName val="회사제시"/>
      <sheetName val="R(BS-PL-RE)"/>
      <sheetName val="사업부별"/>
      <sheetName val="양식3"/>
      <sheetName val="매각손실_실현schedule((신)"/>
      <sheetName val=".3 법인세부담액계산"/>
      <sheetName val="유가증권"/>
    </sheetNames>
    <sheetDataSet>
      <sheetData sheetId="0">
        <row r="7">
          <cell r="D7">
            <v>39311</v>
          </cell>
        </row>
      </sheetData>
      <sheetData sheetId="1">
        <row r="2">
          <cell r="B2" t="str">
            <v>한일산업주식회사</v>
          </cell>
        </row>
      </sheetData>
      <sheetData sheetId="2">
        <row r="6">
          <cell r="G6">
            <v>94.894984797714471</v>
          </cell>
        </row>
      </sheetData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>
            <v>38883.173000000003</v>
          </cell>
        </row>
      </sheetData>
      <sheetData sheetId="168">
        <row r="2">
          <cell r="G2">
            <v>38883.173000000003</v>
          </cell>
        </row>
      </sheetData>
      <sheetData sheetId="169">
        <row r="2">
          <cell r="G2">
            <v>38883.173000000003</v>
          </cell>
        </row>
      </sheetData>
      <sheetData sheetId="170">
        <row r="2">
          <cell r="G2">
            <v>38883.173000000003</v>
          </cell>
        </row>
      </sheetData>
      <sheetData sheetId="171">
        <row r="2">
          <cell r="G2">
            <v>38883.173000000003</v>
          </cell>
        </row>
      </sheetData>
      <sheetData sheetId="172">
        <row r="2">
          <cell r="G2">
            <v>38883.173000000003</v>
          </cell>
        </row>
      </sheetData>
      <sheetData sheetId="173">
        <row r="2">
          <cell r="G2">
            <v>38883.173000000003</v>
          </cell>
        </row>
      </sheetData>
      <sheetData sheetId="174">
        <row r="2">
          <cell r="G2">
            <v>38883.173000000003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리드"/>
      <sheetName val="대리점계약서"/>
      <sheetName val="분석적검토"/>
      <sheetName val="외상매출금명세"/>
      <sheetName val="채권채무조회 총괄표"/>
      <sheetName val="외화외상매출금"/>
      <sheetName val="외상매출금증감분석"/>
      <sheetName val="외화외상증감분석"/>
      <sheetName val="외상샘플링"/>
      <sheetName val="외화외상샘플링"/>
      <sheetName val="XREF"/>
      <sheetName val="Tickmarks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무형"/>
      <sheetName val="연구개발비상각"/>
      <sheetName val="감가상각비"/>
      <sheetName val="건설가"/>
      <sheetName val="TWT예수금"/>
      <sheetName val="XREF"/>
      <sheetName val="Tickmarks"/>
      <sheetName val="E Lead"/>
      <sheetName val="무형자산리드 (2)"/>
      <sheetName val="무형자산리드"/>
      <sheetName val="시산표(매출조정전)"/>
      <sheetName val="신기술(비상장)0412"/>
      <sheetName val="리드"/>
      <sheetName val="후순위채05.01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유형명세서"/>
      <sheetName val="건설중인자산대체현황"/>
      <sheetName val="건설중인자산명세서"/>
      <sheetName val="자산처분세부명세서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계정code"/>
      <sheetName val="시산표"/>
      <sheetName val="절대지우지말것"/>
      <sheetName val="24.보증금(전신전화가입권)"/>
      <sheetName val="정의"/>
      <sheetName val="재고현황"/>
      <sheetName val="포장재 재고"/>
      <sheetName val="생산실적"/>
      <sheetName val="9-1차이내역"/>
      <sheetName val="수입2"/>
      <sheetName val="계정분류"/>
      <sheetName val="건보식방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연락"/>
      <sheetName val="공문"/>
      <sheetName val="월별매출"/>
      <sheetName val="사업계획표지"/>
      <sheetName val="목차"/>
      <sheetName val="경영목표총괄"/>
      <sheetName val="견적제안요약"/>
      <sheetName val="온도대별월별매출요약"/>
      <sheetName val="매출수량종합(4월)"/>
      <sheetName val="센터별출고매장"/>
      <sheetName val="목표"/>
      <sheetName val="실적"/>
      <sheetName val="가마감"/>
      <sheetName val="양식1-매출계획"/>
      <sheetName val="매입원가"/>
      <sheetName val="양식＃1"/>
      <sheetName val="양식＃2"/>
      <sheetName val="양식＃3"/>
      <sheetName val="절대지우지말것"/>
      <sheetName val="본부별매출"/>
      <sheetName val="대차대조표-공시형"/>
      <sheetName val="대차대조표"/>
      <sheetName val="주간남10대순위1"/>
      <sheetName val="주간여30대순위1"/>
      <sheetName val="받check"/>
      <sheetName val="Publishing Plan(Edit)"/>
      <sheetName val=" 견적서"/>
      <sheetName val="전사"/>
      <sheetName val="Supplement2"/>
      <sheetName val="전체실적"/>
      <sheetName val="다운"/>
      <sheetName val="4.경비 5.영업외수지"/>
      <sheetName val="Input Assumptions"/>
      <sheetName val="외주현황.wq1"/>
      <sheetName val="p2-1"/>
      <sheetName val="유통망계획"/>
      <sheetName val="가수금대체"/>
      <sheetName val="Publishing_Plan(Edit)"/>
      <sheetName val="_견적서"/>
      <sheetName val="Input_Assumptions"/>
      <sheetName val="재고현황"/>
      <sheetName val="포장재 재고"/>
      <sheetName val="4월(시급반영)"/>
      <sheetName val="4월"/>
      <sheetName val="2월(시급반영)"/>
      <sheetName val="12월(시급반영)"/>
      <sheetName val="3월"/>
      <sheetName val="3월(최종)"/>
      <sheetName val="2010년1월(시급반영)"/>
      <sheetName val="5월 편성안"/>
      <sheetName val="광고판매(8월)_구미호포함"/>
      <sheetName val="연락"/>
      <sheetName val="Sheet2"/>
      <sheetName val="당좌자산명세"/>
      <sheetName val="Revenue"/>
      <sheetName val="PTR台손익"/>
      <sheetName val="일위대가표(DEEP)"/>
      <sheetName val="손익분기점 데이터"/>
      <sheetName val="소유주(원)"/>
      <sheetName val="참고(3)고정비"/>
      <sheetName val="controll"/>
      <sheetName val="ROV_Analysis"/>
      <sheetName val="Prices"/>
      <sheetName val="고정자산원본"/>
      <sheetName val="이익관리표_적자점(영업점별)"/>
      <sheetName val="중공업"/>
      <sheetName val="Code"/>
      <sheetName val="bom"/>
      <sheetName val="기초코드등록"/>
      <sheetName val="Households"/>
      <sheetName val="사업소세안분"/>
      <sheetName val="품목코드"/>
      <sheetName val="Ethylene"/>
      <sheetName val="ChlorAlkali"/>
      <sheetName val="재고"/>
      <sheetName val="Menu_Link"/>
      <sheetName val="수입2"/>
      <sheetName val="CFS"/>
      <sheetName val="자금현황표"/>
      <sheetName val="인건비기준"/>
      <sheetName val="____"/>
      <sheetName val="별제권_정리담보권"/>
      <sheetName val="적용환율"/>
      <sheetName val="별제권_정리담보권1"/>
      <sheetName val="#REF"/>
      <sheetName val="계수원본(99.2.28)"/>
      <sheetName val="NGUON"/>
      <sheetName val="전사 (2)"/>
      <sheetName val="입력손익"/>
      <sheetName val="구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ery"/>
      <sheetName val="Application Appendix"/>
      <sheetName val="Room sales plan"/>
      <sheetName val="Project Income"/>
      <sheetName val="Sales Cost"/>
      <sheetName val="Construction"/>
      <sheetName val="정보보고"/>
      <sheetName val="Report"/>
      <sheetName val="Coverage"/>
      <sheetName val="Prerequisites"/>
      <sheetName val="scale &amp; Income"/>
      <sheetName val="시산표"/>
      <sheetName val="업무연락"/>
      <sheetName val="월별매출"/>
      <sheetName val="절대지우지말것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접비 예산대비표"/>
      <sheetName val="공통가설비"/>
      <sheetName val="현장경상비"/>
      <sheetName val="품질환경관리비"/>
      <sheetName val="안전관리비"/>
      <sheetName val="투입계획"/>
      <sheetName val="대림급여기준"/>
      <sheetName val="OA&amp;비품"/>
      <sheetName val="Module1"/>
      <sheetName val="scale &amp; Income"/>
      <sheetName val="업무연락"/>
      <sheetName val="월별매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하_준비실"/>
      <sheetName val="출하_검사실"/>
      <sheetName val="출하_FHF"/>
      <sheetName val="공정중"/>
      <sheetName val="없음"/>
      <sheetName val="비교"/>
      <sheetName val="공정중자재"/>
      <sheetName val="공정중자재 (2)"/>
      <sheetName val="실사문서_Semi"/>
      <sheetName val="절대지우지말것"/>
      <sheetName val="현장경상비"/>
      <sheetName val="2001급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TABLE01"/>
      <sheetName val="원본"/>
      <sheetName val="손익계산서"/>
      <sheetName val="수정시산표"/>
      <sheetName val="108_수선비"/>
      <sheetName val="회사정보"/>
      <sheetName val="1999"/>
      <sheetName val="발생집계"/>
      <sheetName val="손익분기점 데이터"/>
      <sheetName val="총괄"/>
      <sheetName val="절대지우지말것"/>
      <sheetName val="14.광주_원가배부Ⅲ"/>
      <sheetName val="주채무"/>
      <sheetName val="Property"/>
      <sheetName val="VXXXXX"/>
      <sheetName val="2001급여"/>
      <sheetName val="WELDING"/>
      <sheetName val="대환취급"/>
      <sheetName val="시산표"/>
      <sheetName val="손익계산서 raw data"/>
      <sheetName val="손익내역전년"/>
      <sheetName val="총괄표"/>
      <sheetName val="24.보증금(전신전화가입권)"/>
      <sheetName val="수선비"/>
      <sheetName val="계정code"/>
      <sheetName val="일반정보"/>
      <sheetName val="control"/>
      <sheetName val="비교"/>
      <sheetName val="회사BS"/>
      <sheetName val="Macro1"/>
      <sheetName val="인건비예산(정규직)"/>
      <sheetName val="인건비예산(용역)"/>
      <sheetName val="9902"/>
      <sheetName val="퇴직급여02 (2)"/>
      <sheetName val="SA"/>
      <sheetName val="장기차입금"/>
      <sheetName val="선수금"/>
      <sheetName val="매입매출(입력)"/>
      <sheetName val="7.31 (2)"/>
      <sheetName val="FixedIncome"/>
      <sheetName val="VaR"/>
      <sheetName val="신규구입자산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2001-FTE-Standard"/>
      <sheetName val="코드부여방법도"/>
      <sheetName val="현장경상비"/>
      <sheetName val="데이타"/>
      <sheetName val="Sheet1"/>
      <sheetName val="기초데이타"/>
      <sheetName val="판매98"/>
      <sheetName val="재1"/>
      <sheetName val="월건별"/>
      <sheetName val="conclusion"/>
      <sheetName val="결정단가"/>
      <sheetName val="comparables"/>
      <sheetName val="Deduction"/>
      <sheetName val="other"/>
      <sheetName val="매도주식"/>
      <sheetName val="XREF"/>
      <sheetName val="RK-#1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공장"/>
      <sheetName val="J"/>
      <sheetName val="4290채권채무조회총괄표"/>
      <sheetName val="96원가"/>
      <sheetName val="A410~A420.검토정산표"/>
      <sheetName val="정기적금"/>
      <sheetName val="대차대조표"/>
      <sheetName val="IJABUNRI"/>
      <sheetName val="성적표96"/>
      <sheetName val="환율시트"/>
      <sheetName val="계정과목"/>
      <sheetName val="수선비MATRIX"/>
      <sheetName val="차량소요량-년간주행거리"/>
      <sheetName val="보조부문비배부"/>
      <sheetName val="설치공사비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상품보조수불"/>
      <sheetName val="제조원가계산서 (2)"/>
      <sheetName val="제품입고(생산)"/>
      <sheetName val="IN"/>
      <sheetName val="기초수불"/>
      <sheetName val="변수"/>
      <sheetName val="평가데이터"/>
      <sheetName val="현장관리비"/>
      <sheetName val="장비비"/>
      <sheetName val="교환국"/>
      <sheetName val="기지국"/>
      <sheetName val="기타"/>
      <sheetName val="원격국"/>
      <sheetName val="주장비"/>
      <sheetName val="중계국"/>
      <sheetName val="TABLE"/>
      <sheetName val="basic_info"/>
      <sheetName val="계좌번호"/>
      <sheetName val="급여0601"/>
      <sheetName val="급여0602"/>
      <sheetName val="급여0603"/>
      <sheetName val="상여0601"/>
      <sheetName val="0512월기준"/>
      <sheetName val="2000제조1"/>
      <sheetName val="경락률"/>
      <sheetName val="법원비용"/>
      <sheetName val="항고구분"/>
      <sheetName val="경매회차하락률"/>
      <sheetName val="01"/>
      <sheetName val="안강자재입고"/>
      <sheetName val="매출매입"/>
      <sheetName val="생산2"/>
      <sheetName val="코스모공장 (어음)"/>
      <sheetName val="구미"/>
      <sheetName val="년간데이타"/>
      <sheetName val="6 국내BW"/>
      <sheetName val="KGAAP(0912)_안성혁"/>
      <sheetName val="department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T6-6(7)"/>
      <sheetName val="페이지"/>
      <sheetName val="PLarp"/>
      <sheetName val="예산"/>
      <sheetName val="통합생산일보"/>
      <sheetName val="개인정책"/>
      <sheetName val="개인투자"/>
      <sheetName val="장기투자"/>
      <sheetName val="투자유가증권"/>
      <sheetName val="매채조회"/>
      <sheetName val="MCS"/>
      <sheetName val="개인정보"/>
      <sheetName val="급여상여"/>
      <sheetName val="연차수당계산"/>
      <sheetName val="민감도"/>
      <sheetName val="XLUTIL"/>
      <sheetName val="유가증권현황"/>
      <sheetName val="상환익(2001년도)"/>
      <sheetName val="통합건전성별분류(0201)"/>
      <sheetName val="통합지보건전성(0201)"/>
      <sheetName val="삼호중공업"/>
      <sheetName val="Cover"/>
      <sheetName val="Customer Databas"/>
      <sheetName val="00'미수"/>
      <sheetName val="진행률기표"/>
      <sheetName val="산출기준(파견전산실)"/>
      <sheetName val="자산별귀속부서"/>
      <sheetName val="업무연락"/>
      <sheetName val="월별매출"/>
      <sheetName val="감가상각"/>
      <sheetName val="CodeTable"/>
      <sheetName val="各月细目"/>
      <sheetName val="기본입력사항"/>
      <sheetName val="차량운반구"/>
      <sheetName val="소프트웨어"/>
      <sheetName val="월별수입"/>
      <sheetName val="ACAMST"/>
      <sheetName val="99계획"/>
      <sheetName val="협조전"/>
      <sheetName val="고정자산원본"/>
      <sheetName val="FRC"/>
      <sheetName val="목록"/>
      <sheetName val="Sheet2"/>
      <sheetName val="#REF"/>
      <sheetName val="25.보증금(임차보증금외)"/>
      <sheetName val="임직원 기본인사사항"/>
      <sheetName val="Korea Sign-Internal"/>
      <sheetName val="0201"/>
      <sheetName val="Analysis WR 1"/>
      <sheetName val="3. BSC NC ratio"/>
      <sheetName val="2003손익"/>
      <sheetName val="계정"/>
      <sheetName val="데이터4"/>
      <sheetName val="사원명단"/>
      <sheetName val="2"/>
      <sheetName val="지급보증금74"/>
      <sheetName val="00년 계획전망"/>
      <sheetName val="손익분기점_데이터"/>
      <sheetName val="14_광주_원가배부Ⅲ"/>
      <sheetName val="24_보증금(전신전화가입권)"/>
      <sheetName val="부대집계"/>
      <sheetName val="XXXX"/>
      <sheetName val="wbs"/>
      <sheetName val="현금흐름작성조서"/>
      <sheetName val="만기"/>
      <sheetName val="control sheet"/>
      <sheetName val="급여관련자료"/>
      <sheetName val="1.외주공사"/>
      <sheetName val="2.직영공사"/>
      <sheetName val="TaxCalc"/>
      <sheetName val="급여조견표"/>
      <sheetName val="SIMULATION"/>
      <sheetName val="기계2"/>
      <sheetName val="주조부"/>
      <sheetName val="C-S"/>
      <sheetName val="기계1"/>
      <sheetName val="중형엔진"/>
      <sheetName val="Sheet3"/>
      <sheetName val="CRUDE"/>
      <sheetName val="조회서송부 LIST"/>
      <sheetName val="F45"/>
      <sheetName val="F1,2"/>
      <sheetName val="F3"/>
      <sheetName val="생산현황"/>
      <sheetName val="노무비-TT"/>
      <sheetName val="8월--12월"/>
      <sheetName val="1월--7월"/>
      <sheetName val="시황"/>
      <sheetName val="보정전"/>
      <sheetName val="DATA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총제품수불"/>
      <sheetName val="Links"/>
      <sheetName val="Initial Input Variable"/>
      <sheetName val="8월"/>
      <sheetName val="108.수선비"/>
      <sheetName val="99선급비용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견적의뢰"/>
      <sheetName val="Sheet2 (2)"/>
      <sheetName val="세부내역"/>
      <sheetName val="C(재고)"/>
      <sheetName val="업종별제조원가"/>
      <sheetName val="수입"/>
      <sheetName val="고상실행"/>
      <sheetName val="코드목록"/>
      <sheetName val="Lead"/>
      <sheetName val="실행간접비용"/>
      <sheetName val="LoanList"/>
      <sheetName val="잔존년수"/>
      <sheetName val="성단물량"/>
      <sheetName val="지점장"/>
      <sheetName val="선급비용재계산(AK)"/>
      <sheetName val="건물"/>
      <sheetName val="개발비"/>
      <sheetName val="외화환산손익"/>
      <sheetName val="산업재산권"/>
      <sheetName val="수정'매출매입_자료"/>
      <sheetName val="언양"/>
      <sheetName val="JUYO"/>
      <sheetName val="동원인원"/>
      <sheetName val="테이블"/>
      <sheetName val="수철11월"/>
      <sheetName val="수철03년"/>
      <sheetName val="단지별수거량"/>
      <sheetName val="감가상각누계액"/>
      <sheetName val="비교원RD-S"/>
      <sheetName val="리스트"/>
      <sheetName val="폐기(자본지출)"/>
      <sheetName val="WPL"/>
      <sheetName val="원가총"/>
      <sheetName val="인력(정규직)"/>
      <sheetName val="ZY100"/>
      <sheetName val="공통속성"/>
      <sheetName val="국외점포"/>
      <sheetName val="월별관리"/>
      <sheetName val="경비예산"/>
      <sheetName val="생산성(2차)"/>
      <sheetName val="요약(1차)"/>
      <sheetName val="Ⅱ1-0타"/>
      <sheetName val="선급비용"/>
      <sheetName val="이익처분"/>
      <sheetName val="종합분석"/>
      <sheetName val="설비사양서B-1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구list"/>
      <sheetName val="이연법인세3월말"/>
      <sheetName val="이연법인세6월말"/>
      <sheetName val="지분법평가1분기"/>
      <sheetName val="검토사항"/>
      <sheetName val="공무부"/>
      <sheetName val="수입2"/>
      <sheetName val="경비"/>
      <sheetName val="일반"/>
      <sheetName val="시실누(모) "/>
      <sheetName val="ICB"/>
      <sheetName val="Reference2"/>
      <sheetName val="Ship Advice"/>
      <sheetName val="유통망계획"/>
      <sheetName val="08"/>
      <sheetName val="시장"/>
      <sheetName val="지종코드"/>
      <sheetName val="포장유형"/>
      <sheetName val="1.육계매출 Overall Test"/>
      <sheetName val="2.육가공매출 Overall Test"/>
      <sheetName val="매출분석적검토"/>
      <sheetName val="기준수익률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"/>
      <sheetName val="125PIECE"/>
      <sheetName val="본문1"/>
      <sheetName val="부외부채"/>
      <sheetName val="시장성초안camera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개정대차대조표"/>
      <sheetName val="AA"/>
      <sheetName val="계획"/>
      <sheetName val="당년실적"/>
      <sheetName val="전년실적"/>
      <sheetName val="기초사항"/>
      <sheetName val="14_광주_원가배부Ⅲ1"/>
      <sheetName val="7_31_(2)"/>
      <sheetName val="손익분기점_데이터1"/>
      <sheetName val="손익계산서_raw_data"/>
      <sheetName val="부서별손익_(부)"/>
      <sheetName val="퇴직급여02_(2)"/>
      <sheetName val="제조원가계산서_(2)"/>
      <sheetName val="24_보증금(전신전화가입권)1"/>
      <sheetName val="1차_매출원가"/>
      <sheetName val="6_국내BW"/>
      <sheetName val="2_대외공문"/>
      <sheetName val="list_prices"/>
      <sheetName val="A_(3)"/>
      <sheetName val="신고서_전"/>
      <sheetName val="E_LEAD"/>
      <sheetName val="A410~A420_검토정산표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1_외주공사"/>
      <sheetName val="2_직영공사"/>
      <sheetName val="코스모공장_(어음)"/>
      <sheetName val="Customer_Databas"/>
      <sheetName val="25_보증금(임차보증금외)"/>
      <sheetName val="임대장비현황"/>
      <sheetName val="200811(법인)"/>
      <sheetName val="200811(해외현지법인)"/>
      <sheetName val="수정재무제표-본사용"/>
      <sheetName val="Sheet1 (3)"/>
      <sheetName val="00년_계획전망"/>
      <sheetName val="Korea_Sign-Internal"/>
      <sheetName val="임직원_기본인사사항"/>
      <sheetName val="control_sheet"/>
      <sheetName val="Analysis_WR_1"/>
      <sheetName val="3__BSC_NC_ratio"/>
      <sheetName val="Initial_Input_Variable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2_대외공문1"/>
      <sheetName val="list_prices1"/>
      <sheetName val="A_(3)1"/>
      <sheetName val="신고서_전1"/>
      <sheetName val="Korea_Sign-Internal1"/>
      <sheetName val="25_보증금(임차보증금외)1"/>
      <sheetName val="임직원_기본인사사항1"/>
      <sheetName val="control_sheet1"/>
      <sheetName val="Analysis_WR_11"/>
      <sheetName val="3__BSC_NC_ratio1"/>
      <sheetName val="Initial_Input_Variable1"/>
      <sheetName val="1_외주공사1"/>
      <sheetName val="2_직영공사1"/>
      <sheetName val="조정전"/>
      <sheetName val="결-9-1"/>
      <sheetName val="비품(94이전)"/>
      <sheetName val="R&amp;D"/>
      <sheetName val="master"/>
      <sheetName val="총사업비명세"/>
      <sheetName val="요약&amp;결과"/>
      <sheetName val="FAB별"/>
      <sheetName val="본부별매출"/>
      <sheetName val="Macro2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공설코드"/>
      <sheetName val="기본사항"/>
      <sheetName val="WI"/>
      <sheetName val="code"/>
      <sheetName val="공통매입원장"/>
      <sheetName val="Macro4"/>
      <sheetName val="BSLA"/>
      <sheetName val="연결정보"/>
      <sheetName val="2002-03"/>
      <sheetName val="영화별rawdata"/>
      <sheetName val="시점수정"/>
      <sheetName val="호프"/>
      <sheetName val="내역서"/>
      <sheetName val="현장경비"/>
      <sheetName val="2호맨홀공제수량"/>
      <sheetName val="T&amp;C"/>
      <sheetName val="유형자산증가"/>
      <sheetName val="3"/>
      <sheetName val="검사표"/>
      <sheetName val="원가배분01년(등본)"/>
      <sheetName val="Back Data 1"/>
      <sheetName val="학습율"/>
      <sheetName val="수입부품-견적"/>
      <sheetName val="국내입고"/>
      <sheetName val="MSQ"/>
      <sheetName val="96갑지"/>
      <sheetName val="Köpfe"/>
      <sheetName val="인건비 내역서"/>
      <sheetName val="Sheet455"/>
      <sheetName val="월별생산"/>
      <sheetName val="가족수당"/>
      <sheetName val="상조회"/>
      <sheetName val="소득세"/>
      <sheetName val="SALTAB97"/>
      <sheetName val="의보"/>
      <sheetName val="생산직잔업"/>
      <sheetName val="10고객별 담당자"/>
      <sheetName val="07DATA"/>
      <sheetName val="11월출고"/>
      <sheetName val="1_05고객별 담당자"/>
      <sheetName val="1_05수익성대비표"/>
      <sheetName val="생산량"/>
      <sheetName val="총투자비산정"/>
      <sheetName val="본사업"/>
      <sheetName val="환율"/>
      <sheetName val="월별제조비용"/>
      <sheetName val="영업외수익비용"/>
      <sheetName val="월별판매비와일반관리비"/>
      <sheetName val="계속+종전"/>
      <sheetName val="가.인건비산출근거(관리직급여표)"/>
      <sheetName val="나.인건비산출근거(운영직급여표)"/>
      <sheetName val="구미2월"/>
      <sheetName val="안양2월"/>
      <sheetName val="부정형평가"/>
      <sheetName val="재공품평가"/>
      <sheetName val="과정별"/>
      <sheetName val="항목등록"/>
      <sheetName val="수h"/>
      <sheetName val="관계사"/>
      <sheetName val="통화코드"/>
      <sheetName val="투자자산처분손익"/>
      <sheetName val="경기남부"/>
      <sheetName val="이익잉여금"/>
      <sheetName val="기초자료"/>
      <sheetName val="각주"/>
      <sheetName val="E_B_L"/>
      <sheetName val="2-1.제품군별계획대비실적(B.A)"/>
      <sheetName val="f12"/>
      <sheetName val="06년(예)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Sheet2_(2)"/>
      <sheetName val="시실누(모)_"/>
      <sheetName val="누적"/>
      <sheetName val="덕성P"/>
      <sheetName val="견적공통"/>
      <sheetName val="제품(수출)매출"/>
      <sheetName val="연체대출"/>
      <sheetName val="입력자료"/>
      <sheetName val="97년제4기재무제표(출력).xls"/>
      <sheetName val="양식"/>
      <sheetName val="예비총괄"/>
      <sheetName val="자재및업무개선"/>
      <sheetName val="고수익"/>
      <sheetName val="BAL.(TTL)"/>
      <sheetName val="설계내역서"/>
      <sheetName val="관리대장(2001장비)"/>
      <sheetName val="이연법인세차"/>
      <sheetName val="개방형"/>
      <sheetName val="재료비"/>
      <sheetName val="손익분기점_데이터3"/>
      <sheetName val="14_광주_원가배부Ⅲ3"/>
      <sheetName val="손익계산서_raw_data2"/>
      <sheetName val="7_31_(2)2"/>
      <sheetName val="퇴직급여02_(2)2"/>
      <sheetName val="제조원가계산서_(2)2"/>
      <sheetName val="부서별손익_(부)2"/>
      <sheetName val="24_보증금(전신전화가입권)3"/>
      <sheetName val="E_LEAD2"/>
      <sheetName val="1차_매출원가2"/>
      <sheetName val="13_공제수익,_14__공제비용2"/>
      <sheetName val="4_대출금이자계산2"/>
      <sheetName val="2_부문별추정손익2"/>
      <sheetName val="9_신용기타비용2"/>
      <sheetName val="8_신용기타수익2"/>
      <sheetName val="1_연말추정사업2"/>
      <sheetName val="5_예수금이자계산2"/>
      <sheetName val="7_예치금이자계산2"/>
      <sheetName val="15__판매관리비2"/>
      <sheetName val="3_종합자금(신용-운용)2"/>
      <sheetName val="3-3_조달(일반)2"/>
      <sheetName val="17_교육지원__법인세2"/>
      <sheetName val="6_차입금이자계산2"/>
      <sheetName val="6_국내BW2"/>
      <sheetName val="A410~A420_검토정산표2"/>
      <sheetName val="코스모공장_(어음)2"/>
      <sheetName val="2_대외공문2"/>
      <sheetName val="list_prices2"/>
      <sheetName val="A_(3)2"/>
      <sheetName val="신고서_전2"/>
      <sheetName val="25_보증금(임차보증금외)2"/>
      <sheetName val="Korea_Sign-Internal2"/>
      <sheetName val="control_sheet2"/>
      <sheetName val="Customer_Databas2"/>
      <sheetName val="1_외주공사2"/>
      <sheetName val="2_직영공사2"/>
      <sheetName val="Analysis_WR_12"/>
      <sheetName val="3__BSC_NC_ratio2"/>
      <sheetName val="00년_계획전망2"/>
      <sheetName val="임직원_기본인사사항2"/>
      <sheetName val="INST_TABLECOVER"/>
      <sheetName val="양식(최종)_(2)"/>
      <sheetName val="06년예상보험료_(2)"/>
      <sheetName val="Initial_Input_Variable2"/>
      <sheetName val="17_공제수익비용"/>
      <sheetName val="20_교육지원비,법인세"/>
      <sheetName val="21_대손충당금"/>
      <sheetName val="4_매출액"/>
      <sheetName val="5_매출원가"/>
      <sheetName val="1_사업"/>
      <sheetName val="2-1_신용손익"/>
      <sheetName val="2-2_일반손익"/>
      <sheetName val="6_수탁수수료"/>
      <sheetName val="16_신용기타비용"/>
      <sheetName val="15_신용기타수익"/>
      <sheetName val="11_신용기타이자"/>
      <sheetName val="3_운용(신용)"/>
      <sheetName val="3-1_운용(일반)"/>
      <sheetName val="14_예치금유가증권이자"/>
      <sheetName val="9_일반기타비용"/>
      <sheetName val="8_일반기타수익"/>
      <sheetName val="7_일반수수료"/>
      <sheetName val="18_판관비"/>
      <sheetName val="19_판매경비"/>
      <sheetName val="108_수선비1"/>
      <sheetName val="1_육계매출_Overall_Test"/>
      <sheetName val="2_육가공매출_Overall_Test"/>
      <sheetName val="조회서송부_LIST"/>
      <sheetName val="조회서_(2)"/>
      <sheetName val="조회서_(3)"/>
      <sheetName val="조회서_(4)"/>
      <sheetName val="조회서_(5)"/>
      <sheetName val="조회서_(6)"/>
      <sheetName val="특정현금과_예금"/>
      <sheetName val="4b_Consolidated_PL"/>
      <sheetName val="Sheet1_(3)"/>
      <sheetName val="Back_Data_1"/>
      <sheetName val="기업평가"/>
      <sheetName val="118.세금과공과"/>
      <sheetName val="ttt"/>
      <sheetName val="미수이자"/>
      <sheetName val="Area"/>
      <sheetName val="Template"/>
      <sheetName val="급여대장(관리)"/>
      <sheetName val="g. Rent Roll"/>
      <sheetName val="Parameters"/>
      <sheetName val="계정분류"/>
      <sheetName val="단가산출"/>
      <sheetName val="사월"/>
      <sheetName val="삼월"/>
      <sheetName val="오월"/>
      <sheetName val="이월"/>
      <sheetName val="일월"/>
      <sheetName val="MM"/>
      <sheetName val="2-2.매출분석"/>
      <sheetName val="99판매상세"/>
      <sheetName val="설계예산서"/>
      <sheetName val="BOQ.vts"/>
      <sheetName val="당좌차월"/>
      <sheetName val="其他应收款明细及帐龄分析(表5)"/>
      <sheetName val="txt(손익)"/>
      <sheetName val="fxrate"/>
      <sheetName val="갑(전기)"/>
      <sheetName val="Tickmarks"/>
      <sheetName val="종합_SP"/>
      <sheetName val="종합_MP"/>
      <sheetName val="무림SP_상세"/>
      <sheetName val="무림페이퍼_상세"/>
      <sheetName val="종합"/>
      <sheetName val="매출채권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받을어음 합계표(조회서 refer)"/>
      <sheetName val="받을어음(S)"/>
      <sheetName val="받을어음(P)"/>
      <sheetName val="받을어음(B)"/>
      <sheetName val="구매카드"/>
      <sheetName val="memo"/>
      <sheetName val="9월제조원가"/>
      <sheetName val="리드"/>
      <sheetName val="감사인검토내역(PAJE)"/>
      <sheetName val="팀별"/>
      <sheetName val="1월"/>
      <sheetName val="2월"/>
      <sheetName val="3월"/>
      <sheetName val="4월"/>
      <sheetName val="5월"/>
      <sheetName val="6월"/>
      <sheetName val="7월"/>
      <sheetName val="9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채권9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입금9월"/>
      <sheetName val="수금조건"/>
      <sheetName val="한도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현금및현금등가물 (총괄)"/>
      <sheetName val="현금및현금등가물 (서울)"/>
      <sheetName val="현금및현금등가물 (부산)"/>
      <sheetName val="유형자산총괄"/>
      <sheetName val="유형자산(서울)"/>
      <sheetName val="유형자산(부산)"/>
      <sheetName val="퇴충"/>
      <sheetName val="퇴충overall"/>
      <sheetName val="퇴충배부"/>
      <sheetName val="자본"/>
      <sheetName val="판관비"/>
      <sheetName val="TUL"/>
      <sheetName val="발행TEST"/>
      <sheetName val="발행TEST (2)"/>
      <sheetName val="발행TEST(부산)"/>
      <sheetName val="기타당좌자산(총괄)"/>
      <sheetName val="기타당좌자산(서울)"/>
      <sheetName val="기타당좌자산(부산)"/>
      <sheetName val="기타유동부채-총괄"/>
      <sheetName val="기타유동부채-서울"/>
      <sheetName val="기타유동부채-부산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99발견사항"/>
      <sheetName val="발견사항"/>
      <sheetName val="만기 (2)"/>
      <sheetName val="She_x0000__x0000_2"/>
      <sheetName val="꺐윂"/>
      <sheetName val="총괄(회사)"/>
      <sheetName val="전산기기최종"/>
      <sheetName val="집기비품최종"/>
      <sheetName val="만기0701"/>
      <sheetName val="99지분법평가ﾐ쟿"/>
      <sheetName val="COMBINED"/>
      <sheetName val="VALSTAT"/>
      <sheetName val="부재료입고집계"/>
      <sheetName val="7 _2_"/>
      <sheetName val="7 (2)"/>
      <sheetName val="P50.subsequent"/>
      <sheetName val="손익합산"/>
      <sheetName val="지분법적용투자주식"/>
      <sheetName val="연결분개(거래.Ʉ_x0000_₎㔀"/>
      <sheetName val="ʉ_x0000_䀀"/>
      <sheetName val="(참고)개인별 임금인상안"/>
      <sheetName val="(참고)DC형 선택자 퇴직금 추계"/>
      <sheetName val="제품별원가분석"/>
      <sheetName val="안산기계장치"/>
      <sheetName val="할증 "/>
      <sheetName val="原价计算表"/>
      <sheetName val="Significant Processes"/>
      <sheetName val="참고"/>
      <sheetName val="A"/>
      <sheetName val="0814_5만이하"/>
      <sheetName val="실사"/>
      <sheetName val="상품원가피벗"/>
      <sheetName val="She"/>
      <sheetName val="She??2"/>
      <sheetName val="연결분개(거래_채권채무)_(2)"/>
      <sheetName val="연결분개(거래_채권채무)"/>
      <sheetName val="만기_(2)"/>
      <sheetName val="재료수율"/>
      <sheetName val="원가분석"/>
      <sheetName val="원재료"/>
      <sheetName val="npv"/>
      <sheetName val="Sheet12"/>
      <sheetName val="Margins"/>
      <sheetName val="2.2"/>
      <sheetName val="2.2 Yrly Comparison"/>
      <sheetName val="5. BSC Developmt"/>
      <sheetName val="외화"/>
      <sheetName val="자금동향"/>
      <sheetName val="Configuration"/>
      <sheetName val="기본"/>
      <sheetName val="은행"/>
      <sheetName val="PL(일반)"/>
      <sheetName val="CAJE.CRJE"/>
      <sheetName val="Tickmarks "/>
      <sheetName val="관세"/>
      <sheetName val="취득 처분명세_반기"/>
      <sheetName val="SUMMARY"/>
      <sheetName val="한세A4PL"/>
      <sheetName val="3110-2"/>
      <sheetName val="유형"/>
      <sheetName val="고정부채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재무제표검토"/>
      <sheetName val="주요경영지표계산"/>
      <sheetName val="최종분석"/>
      <sheetName val="ASM"/>
      <sheetName val="최종재무제표분석"/>
      <sheetName val="Analytical(대차)"/>
      <sheetName val="Analytical(손익)"/>
      <sheetName val="주요계정(대차)"/>
      <sheetName val="주요계정(손익)"/>
      <sheetName val="주요대차"/>
      <sheetName val="주요손익"/>
      <sheetName val="대차대조표 (2)"/>
      <sheetName val="손익계산서 (2)"/>
      <sheetName val="제표최종"/>
      <sheetName val="주요경영지표계산 (2)"/>
      <sheetName val="잉여금, 현금흐름"/>
      <sheetName val="IS정산표"/>
      <sheetName val="대차분석"/>
      <sheetName val="손익분석"/>
      <sheetName val="손익계산서 (3)"/>
      <sheetName val="폐토수익화 "/>
      <sheetName val="BA"/>
      <sheetName val="보고"/>
      <sheetName val="수처리사업"/>
      <sheetName val="1995년 섹터별 매출"/>
      <sheetName val="대출금"/>
      <sheetName val="2311 재무제표검토 Worksheet의 워크시트"/>
      <sheetName val="Inputs"/>
      <sheetName val="단기차입금"/>
      <sheetName val="StandAlne"/>
      <sheetName val="Update"/>
      <sheetName val="P&amp;L"/>
      <sheetName val="백암비스타내역"/>
      <sheetName val="대차대조표-공시형"/>
      <sheetName val="Excess Calc"/>
      <sheetName val="경수97.02"/>
      <sheetName val="0-Basics"/>
      <sheetName val="수익증권명세서(매도가능)"/>
      <sheetName val="COMPS"/>
      <sheetName val="분석mast"/>
      <sheetName val="Cust"/>
      <sheetName val="적용환율"/>
      <sheetName val="C-Lead"/>
      <sheetName val="WACC"/>
      <sheetName val="8220"/>
      <sheetName val="97년추정손익계산서"/>
      <sheetName val="Assumption"/>
      <sheetName val="Balance Sheet"/>
      <sheetName val="Income Statement"/>
      <sheetName val="확인서"/>
      <sheetName val="SALE&amp;COST"/>
      <sheetName val="FTE"/>
      <sheetName val="손익1월"/>
      <sheetName val="공통비"/>
      <sheetName val="원자재수불(최종)"/>
      <sheetName val="Asset9809CAK"/>
      <sheetName val="C100 LEAD"/>
      <sheetName val="39기"/>
      <sheetName val="Variables"/>
      <sheetName val="월 Capa"/>
      <sheetName val="00.08계정"/>
      <sheetName val="forecasted_BS"/>
      <sheetName val="forecasted_IS"/>
      <sheetName val="pre-anal손익계산서"/>
      <sheetName val="pre-anal대차대조표"/>
      <sheetName val="krsec08"/>
      <sheetName val="Customer"/>
      <sheetName val="10월 급여"/>
      <sheetName val="소매_신용"/>
      <sheetName val="특정상품(비소매)"/>
      <sheetName val="비소매신용"/>
      <sheetName val="직공비"/>
      <sheetName val="신전산소항목시산표(5월)"/>
      <sheetName val="관세구분시트"/>
      <sheetName val="노무비"/>
      <sheetName val="종합일지"/>
      <sheetName val="6월 내수"/>
      <sheetName val="6월 내수_편집"/>
      <sheetName val="체불임금"/>
      <sheetName val="평균임금"/>
      <sheetName val="체불금품내역"/>
      <sheetName val="공정자료"/>
      <sheetName val="STALL회전율"/>
      <sheetName val="보증MH"/>
      <sheetName val="유형자료"/>
      <sheetName val="가격비"/>
      <sheetName val="Admin"/>
      <sheetName val="01Q4 RATE"/>
      <sheetName val="자료"/>
      <sheetName val="원료돈정산(거세)"/>
      <sheetName val="유림골조"/>
      <sheetName val="계수시트"/>
      <sheetName val="TOTAL"/>
      <sheetName val="BB"/>
      <sheetName val="BC"/>
      <sheetName val="BD"/>
      <sheetName val="BE"/>
      <sheetName val="Module"/>
      <sheetName val="미국"/>
      <sheetName val="14_광주_원가배부Ⅲ4"/>
      <sheetName val="손익분기점_데이터4"/>
      <sheetName val="7_31_(2)3"/>
      <sheetName val="손익계산서_raw_data3"/>
      <sheetName val="퇴직급여02_(2)3"/>
      <sheetName val="제조원가계산서_(2)3"/>
      <sheetName val="부서별손익_(부)3"/>
      <sheetName val="24_보증금(전신전화가입권)4"/>
      <sheetName val="E_LEAD3"/>
      <sheetName val="1차_매출원가3"/>
      <sheetName val="13_공제수익,_14__공제비용3"/>
      <sheetName val="4_대출금이자계산3"/>
      <sheetName val="2_부문별추정손익3"/>
      <sheetName val="9_신용기타비용3"/>
      <sheetName val="8_신용기타수익3"/>
      <sheetName val="1_연말추정사업3"/>
      <sheetName val="5_예수금이자계산3"/>
      <sheetName val="7_예치금이자계산3"/>
      <sheetName val="15__판매관리비3"/>
      <sheetName val="3_종합자금(신용-운용)3"/>
      <sheetName val="3-3_조달(일반)3"/>
      <sheetName val="17_교육지원__법인세3"/>
      <sheetName val="6_차입금이자계산3"/>
      <sheetName val="A410~A420_검토정산표3"/>
      <sheetName val="6_국내BW3"/>
      <sheetName val="코스모공장_(어음)3"/>
      <sheetName val="2_대외공문3"/>
      <sheetName val="list_prices3"/>
      <sheetName val="A_(3)3"/>
      <sheetName val="신고서_전3"/>
      <sheetName val="25_보증금(임차보증금외)3"/>
      <sheetName val="Korea_Sign-Internal3"/>
      <sheetName val="control_sheet3"/>
      <sheetName val="Customer_Databas3"/>
      <sheetName val="1_외주공사3"/>
      <sheetName val="2_직영공사3"/>
      <sheetName val="Analysis_WR_13"/>
      <sheetName val="3__BSC_NC_ratio3"/>
      <sheetName val="00년_계획전망3"/>
      <sheetName val="Sheet2_(2)1"/>
      <sheetName val="INST_TABLECOVER1"/>
      <sheetName val="양식(최종)_(2)1"/>
      <sheetName val="06년예상보험료_(2)1"/>
      <sheetName val="1_육계매출_Overall_Test1"/>
      <sheetName val="2_육가공매출_Overall_Test1"/>
      <sheetName val="조회서_(2)1"/>
      <sheetName val="조회서_(3)1"/>
      <sheetName val="조회서_(4)1"/>
      <sheetName val="조회서_(5)1"/>
      <sheetName val="조회서_(6)1"/>
      <sheetName val="특정현금과_예금1"/>
      <sheetName val="임직원_기본인사사항3"/>
      <sheetName val="Initial_Input_Variable3"/>
      <sheetName val="17_공제수익비용1"/>
      <sheetName val="20_교육지원비,법인세1"/>
      <sheetName val="21_대손충당금1"/>
      <sheetName val="4_매출액1"/>
      <sheetName val="5_매출원가1"/>
      <sheetName val="1_사업1"/>
      <sheetName val="2-1_신용손익1"/>
      <sheetName val="2-2_일반손익1"/>
      <sheetName val="6_수탁수수료1"/>
      <sheetName val="16_신용기타비용1"/>
      <sheetName val="15_신용기타수익1"/>
      <sheetName val="11_신용기타이자1"/>
      <sheetName val="3_운용(신용)1"/>
      <sheetName val="3-1_운용(일반)1"/>
      <sheetName val="14_예치금유가증권이자1"/>
      <sheetName val="9_일반기타비용1"/>
      <sheetName val="8_일반기타수익1"/>
      <sheetName val="7_일반수수료1"/>
      <sheetName val="18_판관비1"/>
      <sheetName val="19_판매경비1"/>
      <sheetName val="시실누(모)_1"/>
      <sheetName val="108_수선비2"/>
      <sheetName val="조회서송부_LIST1"/>
      <sheetName val="4b_Consolidated_PL1"/>
      <sheetName val="Sheet1_(3)1"/>
      <sheetName val="Back_Data_11"/>
      <sheetName val="Ship_Advice"/>
      <sheetName val="2-1_제품군별계획대비실적(B_A)"/>
      <sheetName val="Bs__de_Uso_2002"/>
      <sheetName val="prov_locales"/>
      <sheetName val="10고객별_담당자"/>
      <sheetName val="g__Rent_Roll"/>
      <sheetName val="118_세금과공과"/>
      <sheetName val="인건비_내역서"/>
      <sheetName val="기감액자산"/>
      <sheetName val="설비-자산"/>
      <sheetName val="불용자산list"/>
      <sheetName val="과정코드용"/>
      <sheetName val="실시계획"/>
      <sheetName val="퍼라이트"/>
      <sheetName val="파라셀"/>
      <sheetName val="scale &amp; Income"/>
      <sheetName val="5600"/>
      <sheetName val="외상매출금_합계표(조회서_refer)_"/>
      <sheetName val="대체적인_절차_refer(외상매출금)"/>
      <sheetName val="받을어음_합계표(조회서_refer)"/>
      <sheetName val="현금및현금등가물_(총괄)"/>
      <sheetName val="현금및현금등가물_(서울)"/>
      <sheetName val="현금및현금등가물_(부산)"/>
      <sheetName val="발행TEST_(2)"/>
      <sheetName val="연결분개(거래_채권채무)_(2)1"/>
      <sheetName val="연결분개(거래_채권채무)1"/>
      <sheetName val="만기_(2)1"/>
      <sheetName val="7__2_"/>
      <sheetName val="7_(2)"/>
      <sheetName val="P50_subsequent"/>
      <sheetName val="연결분개(거래_Ʉ₎㔀"/>
      <sheetName val="(참고)개인별_임금인상안"/>
      <sheetName val="(참고)DC형_선택자_퇴직금_추계"/>
      <sheetName val="할증_"/>
      <sheetName val="Significant_Processes"/>
      <sheetName val="2_2"/>
      <sheetName val="2_2_Yrly_Comparison"/>
      <sheetName val="5__BSC_Developmt"/>
      <sheetName val="CAJE_CRJE"/>
      <sheetName val="Tickmarks_"/>
      <sheetName val="취득_처분명세_반기"/>
      <sheetName val="대차대조표_(2)"/>
      <sheetName val="손익계산서_(2)"/>
      <sheetName val="주요경영지표계산_(2)"/>
      <sheetName val="잉여금,_현금흐름"/>
      <sheetName val="손익계산서_(3)"/>
      <sheetName val="폐토수익화_"/>
      <sheetName val="1995년_섹터별_매출"/>
      <sheetName val="2311_재무제표검토_Worksheet의_워크시트"/>
      <sheetName val="Excess_Calc"/>
      <sheetName val="경수97_02"/>
      <sheetName val="Balance_Sheet"/>
      <sheetName val="Income_Statement"/>
      <sheetName val="C100_LEAD"/>
      <sheetName val="월_Capa"/>
      <sheetName val="00_08계정"/>
      <sheetName val="10월_급여"/>
      <sheetName val="6월_내수"/>
      <sheetName val="6월_내수_편집"/>
      <sheetName val="01Q4_RATE"/>
      <sheetName val="97년제4기재무제표(출력)_xls"/>
      <sheetName val="가_인건비산출근거(관리직급여표)"/>
      <sheetName val="나_인건비산출근거(운영직급여표)"/>
      <sheetName val="1_05고객별_담당자"/>
      <sheetName val="명세서"/>
      <sheetName val="보증금"/>
      <sheetName val="현금"/>
      <sheetName val="TB(PL)"/>
      <sheetName val="TB(BS)"/>
      <sheetName val="주간계획"/>
      <sheetName val="產能"/>
      <sheetName val="料費2"/>
      <sheetName val="分攤2"/>
      <sheetName val="比較2"/>
      <sheetName val="계DATA"/>
      <sheetName val="실DATA "/>
      <sheetName val="신선데이터"/>
      <sheetName val="B-III"/>
      <sheetName val="제조원가"/>
      <sheetName val="2-2_매출분석"/>
      <sheetName val="용연"/>
      <sheetName val="경놡"/>
      <sheetName val="매출"/>
      <sheetName val="UNDELIVERED-FR WH-HK"/>
      <sheetName val="ThFilmRental"/>
      <sheetName val="Instructions"/>
      <sheetName val="07월"/>
      <sheetName val="03"/>
      <sheetName val="05"/>
      <sheetName val="외화금융(97-03)"/>
      <sheetName val="Local Purchase"/>
      <sheetName val="CaratPrévisions "/>
      <sheetName val="CaratRM99Division "/>
      <sheetName val="CaratRMDivision"/>
      <sheetName val="CaratRSBDivision"/>
      <sheetName val="pplay load"/>
      <sheetName val="GUDV- Aug"/>
      <sheetName val="NI"/>
      <sheetName val="ROI"/>
      <sheetName val="Budget"/>
      <sheetName val="NAMES by Mgr"/>
      <sheetName val="투자비"/>
      <sheetName val="조성원가DATA"/>
      <sheetName val="사업비"/>
      <sheetName val="과목코드"/>
      <sheetName val="부서코드"/>
      <sheetName val="입력자"/>
      <sheetName val="특정예금"/>
      <sheetName val="시험연구비상각"/>
      <sheetName val="관련부서"/>
      <sheetName val="재무가정및요약"/>
      <sheetName val="투찰금액"/>
      <sheetName val="공통"/>
      <sheetName val="실행철강하도"/>
      <sheetName val="은행조회서"/>
      <sheetName val="2공구하도급내역서"/>
      <sheetName val="기타의투자자산"/>
      <sheetName val="장기대여금"/>
      <sheetName val="배치1"/>
      <sheetName val="당기추가완료"/>
      <sheetName val="출금실적"/>
      <sheetName val="손익추정(관리기준)"/>
      <sheetName val="용수량(생활용수)"/>
      <sheetName val="1"/>
      <sheetName val="BOM"/>
      <sheetName val="기초데이터"/>
      <sheetName val="승격기준참조"/>
      <sheetName val="Comp01"/>
      <sheetName val="조명시설"/>
      <sheetName val="설계내역2"/>
      <sheetName val="노임이"/>
      <sheetName val="금액"/>
      <sheetName val="기초입력 DATA"/>
      <sheetName val="요율"/>
      <sheetName val="연결분개(거래.Ʉ"/>
      <sheetName val="ʉ"/>
      <sheetName val="LOOKUP"/>
      <sheetName val="일일실적"/>
      <sheetName val="대구은행"/>
      <sheetName val="97KJIST"/>
      <sheetName val="토목주소"/>
      <sheetName val="데이터유효성목록"/>
      <sheetName val="ﾘｽﾄ"/>
      <sheetName val="재무가정"/>
      <sheetName val="계획시간"/>
      <sheetName val="정보"/>
      <sheetName val="부서별공수"/>
      <sheetName val="투입공수"/>
      <sheetName val="생산"/>
      <sheetName val="자재재고"/>
      <sheetName val="재공재고"/>
      <sheetName val="품질현황-보류"/>
      <sheetName val="BOQ_vts"/>
      <sheetName val="갑지"/>
      <sheetName val="실행"/>
      <sheetName val="시흥면세"/>
      <sheetName val="연차현황"/>
      <sheetName val="지성학원"/>
      <sheetName val="ILBAN"/>
      <sheetName val="Stock Div Accural"/>
      <sheetName val="K - FA Tax"/>
      <sheetName val="1500-000-00"/>
      <sheetName val="1000"/>
      <sheetName val="Pile径1m･27"/>
      <sheetName val="공종단가"/>
      <sheetName val="관계회사거래내역및 채권채무잔액 99"/>
      <sheetName val="CAL"/>
      <sheetName val="기본자료"/>
      <sheetName val="국내조달(통합-1)"/>
      <sheetName val="연결임시"/>
      <sheetName val="일산실행내역"/>
      <sheetName val="내역_FILE"/>
      <sheetName val="2. 공원조도"/>
      <sheetName val="carryover"/>
      <sheetName val="T진도"/>
      <sheetName val="GRAPH"/>
      <sheetName val="INFORM"/>
      <sheetName val="수_x0000__x0000_"/>
      <sheetName val="수밀뵀"/>
      <sheetName val="Data Input"/>
      <sheetName val="관급_File"/>
      <sheetName val="유형자산증감"/>
      <sheetName val="TOT"/>
      <sheetName val="Ⅰ-1"/>
      <sheetName val="주요비율-낙관"/>
      <sheetName val="6.STIC"/>
      <sheetName val="hmsim"/>
      <sheetName val="Tech Expense Original"/>
      <sheetName val="지급어음(일별)"/>
      <sheetName val="US Codes"/>
      <sheetName val="제안서입력"/>
      <sheetName val="자산"/>
      <sheetName val="RAW"/>
      <sheetName val="재무제표"/>
      <sheetName val="원가"/>
      <sheetName val="기본데이타"/>
      <sheetName val="2.상각보정명세"/>
      <sheetName val="국외감가상각내역0103"/>
      <sheetName val="FINAL"/>
      <sheetName val="Id"/>
      <sheetName val="Intro2"/>
      <sheetName val="공정분류"/>
      <sheetName val="보험금"/>
      <sheetName val="계수원본(99.2.28)"/>
      <sheetName val="채권조회서 Roll-forward test"/>
      <sheetName val="개산공사비"/>
      <sheetName val="일보.확정"/>
      <sheetName val="월보.확정"/>
      <sheetName val="여신"/>
      <sheetName val="수신"/>
      <sheetName val="8_1_2_소스"/>
      <sheetName val="13_소스"/>
      <sheetName val="13_1소스"/>
      <sheetName val="固产04 old"/>
      <sheetName val="索引"/>
      <sheetName val="NYS"/>
      <sheetName val="배서어음명세서"/>
      <sheetName val="Inc. St. A"/>
      <sheetName val="Balance Sheet(2005)"/>
      <sheetName val="Net Profit"/>
      <sheetName val="2004 SAD#13 Supporting"/>
      <sheetName val="손익계산서_raw_data4"/>
      <sheetName val="14_광주_원가배부Ⅲ5"/>
      <sheetName val="7_31_(2)4"/>
      <sheetName val="손익분기점_데이터5"/>
      <sheetName val="제조원가계산서_(2)4"/>
      <sheetName val="퇴직급여02_(2)4"/>
      <sheetName val="부서별손익_(부)4"/>
      <sheetName val="24_보증금(전신전화가입권)5"/>
      <sheetName val="E_LEAD4"/>
      <sheetName val="1차_매출원가4"/>
      <sheetName val="13_공제수익,_14__공제비용4"/>
      <sheetName val="4_대출금이자계산4"/>
      <sheetName val="2_부문별추정손익4"/>
      <sheetName val="9_신용기타비용4"/>
      <sheetName val="8_신용기타수익4"/>
      <sheetName val="1_연말추정사업4"/>
      <sheetName val="5_예수금이자계산4"/>
      <sheetName val="7_예치금이자계산4"/>
      <sheetName val="15__판매관리비4"/>
      <sheetName val="3_종합자금(신용-운용)4"/>
      <sheetName val="3-3_조달(일반)4"/>
      <sheetName val="17_교육지원__법인세4"/>
      <sheetName val="6_차입금이자계산4"/>
      <sheetName val="코스모공장_(어음)4"/>
      <sheetName val="2_대외공문4"/>
      <sheetName val="list_prices4"/>
      <sheetName val="A_(3)4"/>
      <sheetName val="신고서_전4"/>
      <sheetName val="25_보증금(임차보증금외)4"/>
      <sheetName val="A410~A420_검토정산표4"/>
      <sheetName val="6_국내BW4"/>
      <sheetName val="Korea_Sign-Internal4"/>
      <sheetName val="control_sheet4"/>
      <sheetName val="Customer_Databas4"/>
      <sheetName val="1_외주공사4"/>
      <sheetName val="2_직영공사4"/>
      <sheetName val="Analysis_WR_14"/>
      <sheetName val="3__BSC_NC_ratio4"/>
      <sheetName val="00년_계획전망4"/>
      <sheetName val="Initial_Input_Variable4"/>
      <sheetName val="Sheet2_(2)2"/>
      <sheetName val="INST_TABLECOVER2"/>
      <sheetName val="양식(최종)_(2)2"/>
      <sheetName val="임직원_기본인사사항4"/>
      <sheetName val="06년예상보험료_(2)2"/>
      <sheetName val="17_공제수익비용2"/>
      <sheetName val="20_교육지원비,법인세2"/>
      <sheetName val="21_대손충당금2"/>
      <sheetName val="4_매출액2"/>
      <sheetName val="5_매출원가2"/>
      <sheetName val="1_사업2"/>
      <sheetName val="2-1_신용손익2"/>
      <sheetName val="2-2_일반손익2"/>
      <sheetName val="6_수탁수수료2"/>
      <sheetName val="16_신용기타비용2"/>
      <sheetName val="15_신용기타수익2"/>
      <sheetName val="11_신용기타이자2"/>
      <sheetName val="3_운용(신용)2"/>
      <sheetName val="3-1_운용(일반)2"/>
      <sheetName val="14_예치금유가증권이자2"/>
      <sheetName val="9_일반기타비용2"/>
      <sheetName val="8_일반기타수익2"/>
      <sheetName val="7_일반수수료2"/>
      <sheetName val="18_판관비2"/>
      <sheetName val="19_판매경비2"/>
      <sheetName val="108_수선비3"/>
      <sheetName val="시실누(모)_2"/>
      <sheetName val="1_육계매출_Overall_Test2"/>
      <sheetName val="2_육가공매출_Overall_Test2"/>
      <sheetName val="조회서송부_LIST2"/>
      <sheetName val="조회서_(2)2"/>
      <sheetName val="조회서_(3)2"/>
      <sheetName val="조회서_(4)2"/>
      <sheetName val="조회서_(5)2"/>
      <sheetName val="조회서_(6)2"/>
      <sheetName val="특정현금과_예금2"/>
      <sheetName val="4b_Consolidated_PL2"/>
      <sheetName val="Sheet1_(3)2"/>
      <sheetName val="Back_Data_12"/>
      <sheetName val="Ship_Advice1"/>
      <sheetName val="2-1_제품군별계획대비실적(B_A)1"/>
      <sheetName val="Bs__de_Uso_20021"/>
      <sheetName val="prov_locales1"/>
      <sheetName val="118_세금과공과1"/>
      <sheetName val="인건비_내역서1"/>
      <sheetName val="10고객별_담당자1"/>
      <sheetName val="g__Rent_Roll1"/>
      <sheetName val="97년제4기재무제표(출력)_xls1"/>
      <sheetName val="외상매출금_합계표(조회서_refer)_1"/>
      <sheetName val="대체적인_절차_refer(외상매출금)1"/>
      <sheetName val="받을어음_합계표(조회서_refer)1"/>
      <sheetName val="현금및현금등가물_(총괄)1"/>
      <sheetName val="현금및현금등가물_(서울)1"/>
      <sheetName val="현금및현금등가물_(부산)1"/>
      <sheetName val="발행TEST_(2)1"/>
      <sheetName val="연결분개(거래_채권채무)_(2)2"/>
      <sheetName val="연결분개(거래_채권채무)2"/>
      <sheetName val="만기_(2)2"/>
      <sheetName val="7__2_1"/>
      <sheetName val="7_(2)1"/>
      <sheetName val="P50_subsequent1"/>
      <sheetName val="(참고)개인별_임금인상안1"/>
      <sheetName val="(참고)DC형_선택자_퇴직금_추계1"/>
      <sheetName val="할증_1"/>
      <sheetName val="Significant_Processes1"/>
      <sheetName val="2_21"/>
      <sheetName val="2_2_Yrly_Comparison1"/>
      <sheetName val="5__BSC_Developmt1"/>
      <sheetName val="CAJE_CRJE1"/>
      <sheetName val="Tickmarks_1"/>
      <sheetName val="취득_처분명세_반기1"/>
      <sheetName val="대차대조표_(2)1"/>
      <sheetName val="손익계산서_(2)1"/>
      <sheetName val="주요경영지표계산_(2)1"/>
      <sheetName val="잉여금,_현금흐름1"/>
      <sheetName val="손익계산서_(3)1"/>
      <sheetName val="폐토수익화_1"/>
      <sheetName val="1995년_섹터별_매출1"/>
      <sheetName val="2311_재무제표검토_Worksheet의_워크시트1"/>
      <sheetName val="Excess_Calc1"/>
      <sheetName val="경수97_021"/>
      <sheetName val="Balance_Sheet1"/>
      <sheetName val="Income_Statement1"/>
      <sheetName val="C100_LEAD1"/>
      <sheetName val="월_Capa1"/>
      <sheetName val="00_08계정1"/>
      <sheetName val="10월_급여1"/>
      <sheetName val="6월_내수1"/>
      <sheetName val="6월_내수_편집1"/>
      <sheetName val="scale_&amp;_Income"/>
      <sheetName val="1_05고객별_담당자1"/>
      <sheetName val="01Q4_RATE1"/>
      <sheetName val="가_인건비산출근거(관리직급여표)1"/>
      <sheetName val="나_인건비산출근거(운영직급여표)1"/>
      <sheetName val="2-2_매출분석1"/>
      <sheetName val="BAL_(TTL)"/>
      <sheetName val="UNDELIVERED-FR_WH-HK"/>
      <sheetName val="Local_Purchase"/>
      <sheetName val="CaratPrévisions_"/>
      <sheetName val="CaratRM99Division_"/>
      <sheetName val="pplay_load"/>
      <sheetName val="GUDV-_Aug"/>
      <sheetName val="NAMES_by_Mgr"/>
      <sheetName val="실DATA_"/>
      <sheetName val="어음교부신청누적"/>
      <sheetName val="Initial_Input_V_x0000__x0000__x0005__x0000_ꌠ⦃ŋ"/>
      <sheetName val="Initial_Input_V_x0000__x0000__x0005__x0000_㣰㎑ŋ"/>
      <sheetName val="대상(22)"/>
      <sheetName val="양식3"/>
      <sheetName val="조경"/>
      <sheetName val="광고"/>
      <sheetName val="공통사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>
        <row r="2">
          <cell r="B2" t="str">
            <v>한일산업주식회사</v>
          </cell>
        </row>
      </sheetData>
      <sheetData sheetId="1073"/>
      <sheetData sheetId="1074"/>
      <sheetData sheetId="1075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>
        <row r="2">
          <cell r="B2" t="str">
            <v>한일산업주식회사</v>
          </cell>
        </row>
      </sheetData>
      <sheetData sheetId="1218"/>
      <sheetData sheetId="1219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RE"/>
      <sheetName val="SCF"/>
      <sheetName val="경영분석지표1"/>
      <sheetName val="경영분석지표2"/>
      <sheetName val="회사개황최종"/>
      <sheetName val="AHOME"/>
      <sheetName val="결재조서"/>
      <sheetName val="A1"/>
      <sheetName val="A2"/>
      <sheetName val="A5(통합)"/>
      <sheetName val="A5(본점)"/>
      <sheetName val="A5(지점)"/>
      <sheetName val="A6"/>
      <sheetName val="A14-2(통합)"/>
      <sheetName val="A14-2(본점)"/>
      <sheetName val="A14-2(지점)"/>
      <sheetName val="A14-3(통합)"/>
      <sheetName val="A14-3(본점)"/>
      <sheetName val="A14-3(지점)"/>
      <sheetName val="A1.7"/>
      <sheetName val="주석HOME"/>
      <sheetName val="주석1"/>
      <sheetName val="주석2"/>
      <sheetName val="C"/>
      <sheetName val="C(1)"/>
      <sheetName val="D"/>
      <sheetName val="E1"/>
      <sheetName val="E2"/>
      <sheetName val="F"/>
      <sheetName val="G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레이젠주식회사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타유형자산최종"/>
      <sheetName val="기타유형자산최종(사무용)"/>
      <sheetName val="기타유형자산최종(사무용20040715)"/>
      <sheetName val="기타유형자산최종 (전산)"/>
      <sheetName val="원장"/>
      <sheetName val="Ctrl"/>
      <sheetName val="절대지우지말것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현금및예금"/>
      <sheetName val="미수수수료"/>
      <sheetName val="미수금"/>
      <sheetName val="미수수익"/>
      <sheetName val="선급금"/>
      <sheetName val="선급비용"/>
      <sheetName val="투자유가증권"/>
      <sheetName val="투작유가증권처분이익"/>
      <sheetName val="투작유가증권처분손실"/>
      <sheetName val="보증금"/>
      <sheetName val="기타투자,영업권"/>
      <sheetName val="기타유형자산"/>
      <sheetName val="유형자산처분손실"/>
      <sheetName val="PC &amp; Software 1"/>
      <sheetName val="Off. Equip"/>
      <sheetName val="Vehicle."/>
      <sheetName val="기타무형자산"/>
      <sheetName val="미지급금"/>
      <sheetName val="선수금"/>
      <sheetName val="예수금"/>
      <sheetName val="미지급비용"/>
      <sheetName val="퇴직충당금"/>
      <sheetName val="이자수익"/>
      <sheetName val="배당금수익"/>
      <sheetName val="외환차익"/>
      <sheetName val="잡이익 "/>
      <sheetName val="기타유형자산처분이익"/>
      <sheetName val="외환차손"/>
      <sheetName val="원장"/>
      <sheetName val="C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선급비용"/>
      <sheetName val="원장"/>
      <sheetName val="절대지우지말것"/>
      <sheetName val="대전"/>
      <sheetName val="WPL"/>
      <sheetName val="24.보증금(전신전화가입권)"/>
      <sheetName val="10월급여"/>
      <sheetName val="9월 급여"/>
      <sheetName val="금융"/>
      <sheetName val="은행"/>
      <sheetName val="리스"/>
      <sheetName val="보험"/>
      <sheetName val="거래처전산코드"/>
      <sheetName val="종기실공문"/>
      <sheetName val="기초수불"/>
      <sheetName val="부산"/>
      <sheetName val="4b Consolidated PL"/>
      <sheetName val="OP COST"/>
      <sheetName val="보험금"/>
      <sheetName val="자재(원원+원대)"/>
      <sheetName val="95년실적"/>
      <sheetName val="Assumptions"/>
      <sheetName val="원재료이름표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매출총괄"/>
      <sheetName val="임테블"/>
      <sheetName val="매출현황(월별)  (2)"/>
      <sheetName val="원가기준정보"/>
      <sheetName val="원가배부작업시간"/>
      <sheetName val="유가증권미수"/>
      <sheetName val="Sheet1"/>
      <sheetName val="수정사항집계표"/>
      <sheetName val="지점장"/>
      <sheetName val="총괄표"/>
      <sheetName val="회사정보"/>
      <sheetName val="참고(3)고정비"/>
      <sheetName val="Sheet6"/>
      <sheetName val="국산화"/>
      <sheetName val="제조부문배부"/>
      <sheetName val="1-11조직표"/>
      <sheetName val="영업소실적"/>
      <sheetName val="#REF"/>
      <sheetName val="입찰"/>
      <sheetName val="현경"/>
      <sheetName val="2000년1차"/>
      <sheetName val="공통"/>
      <sheetName val="연불채권"/>
      <sheetName val="첨"/>
      <sheetName val="시장성초안camera"/>
      <sheetName val="목차"/>
      <sheetName val="금액순"/>
      <sheetName val="변수"/>
      <sheetName val="데리네이타현황"/>
      <sheetName val="안산기계장치"/>
      <sheetName val="4.명세표"/>
      <sheetName val="Data&amp;Result"/>
      <sheetName val="Sensitivity"/>
      <sheetName val="토지(열람)"/>
      <sheetName val="화해(함평)"/>
      <sheetName val="화해(장성)"/>
      <sheetName val="대차대조표"/>
      <sheetName val="식재인부"/>
      <sheetName val="DATE"/>
      <sheetName val="개별지가"/>
      <sheetName val="양식3"/>
      <sheetName val="임대장비현황"/>
      <sheetName val="지우면3년재수없슴"/>
      <sheetName val="기초일위"/>
      <sheetName val="시설일위"/>
      <sheetName val="조명일위"/>
      <sheetName val="계정code"/>
      <sheetName val="정의"/>
      <sheetName val="재고현황"/>
      <sheetName val="포장재 재고"/>
      <sheetName val="매출"/>
      <sheetName val="전월매출"/>
      <sheetName val="96년매출"/>
      <sheetName val="96년매출(상반기)"/>
      <sheetName val="95년매출"/>
      <sheetName val="계정과목"/>
      <sheetName val="년간데이타"/>
      <sheetName val="수입2"/>
      <sheetName val="회사BS"/>
      <sheetName val="Assumption"/>
      <sheetName val="manpower"/>
      <sheetName val="공항,제주 판매율 분석"/>
      <sheetName val="POS (2)"/>
      <sheetName val="2호"/>
      <sheetName val="제품수불(대체)"/>
      <sheetName val="원재료입력"/>
      <sheetName val="총제품수불"/>
      <sheetName val="제품입력"/>
      <sheetName val="상불"/>
      <sheetName val="수정시산표"/>
      <sheetName val="MH_생산"/>
      <sheetName val="fnc"/>
      <sheetName val="Ctrl"/>
      <sheetName val="98상품수불(기초)"/>
      <sheetName val="제품수불 (기초)"/>
      <sheetName val="98제품수불부"/>
      <sheetName val="Disclosure"/>
      <sheetName val="Int-Invst"/>
      <sheetName val="장기차입금"/>
      <sheetName val="hmsim"/>
      <sheetName val="재고자산미실현이익제거"/>
      <sheetName val="비품(94이전)"/>
      <sheetName val="XREF"/>
      <sheetName val="기초데이타"/>
      <sheetName val="뒤차축소"/>
      <sheetName val="zz"/>
      <sheetName val="출금실적"/>
      <sheetName val="업무연락"/>
      <sheetName val="7월급여"/>
      <sheetName val="업장현황"/>
      <sheetName val="지급액"/>
      <sheetName val="인원(0205)"/>
      <sheetName val="수수료산출용"/>
      <sheetName val="지장물조서"/>
      <sheetName val="토지조서"/>
      <sheetName val="상가매매0115"/>
      <sheetName val="상가임대0115"/>
      <sheetName val="99선급비용"/>
      <sheetName val="강원리스트"/>
      <sheetName val="전문직"/>
      <sheetName val="인턴사원"/>
      <sheetName val="Sheet2"/>
      <sheetName val="장할생활 (2)"/>
      <sheetName val="개발담당자 "/>
      <sheetName val="종합2"/>
      <sheetName val="May."/>
      <sheetName val="생산실적"/>
      <sheetName val="9-1차이내역"/>
      <sheetName val="계정분류"/>
      <sheetName val="건보식방판"/>
      <sheetName val="Receipt Class,Method"/>
      <sheetName val="Inputs"/>
      <sheetName val="민감도"/>
      <sheetName val="7-2.고정비 세부편성근거"/>
      <sheetName val="Sheet4"/>
      <sheetName val="계정잔액"/>
      <sheetName val="월별수입"/>
      <sheetName val="월간인력"/>
      <sheetName val="인력소요계획"/>
      <sheetName val="AA ROUT "/>
      <sheetName val="HH ROUT"/>
      <sheetName val="WP"/>
      <sheetName val="경영재무 (입력)"/>
      <sheetName val="생산현황 (입력)"/>
      <sheetName val="연구개발 (입력)"/>
      <sheetName val="일반현황 (입력)"/>
      <sheetName val="품질관리 (입력)"/>
      <sheetName val="투자자본상계"/>
      <sheetName val="1 자원총괄"/>
      <sheetName val="조회서"/>
      <sheetName val="BM_NEW2"/>
      <sheetName val="P3"/>
      <sheetName val="제조원가명세서"/>
      <sheetName val="배합표"/>
      <sheetName val="부문손익"/>
      <sheetName val="Prices"/>
      <sheetName val="VOL1"/>
      <sheetName val="경영목표총괄"/>
      <sheetName val="호봉표"/>
      <sheetName val="2주방판"/>
      <sheetName val="구분"/>
      <sheetName val="ABUT수량-A1"/>
      <sheetName val="산출기초표"/>
      <sheetName val="비준표"/>
      <sheetName val="표지"/>
      <sheetName val="교대시점"/>
      <sheetName val="이름표"/>
      <sheetName val="부구"/>
      <sheetName val="이매"/>
      <sheetName val="입력장표"/>
      <sheetName val="전체아이디어현황"/>
      <sheetName val="주요이슈"/>
      <sheetName val="1"/>
      <sheetName val="PV"/>
      <sheetName val="商品Ｍ"/>
      <sheetName val="標準原価計"/>
      <sheetName val="제품정보"/>
      <sheetName val="월보.확정"/>
      <sheetName val="그림모음"/>
      <sheetName val="매입매출(입력)"/>
      <sheetName val="인원현황총괄"/>
      <sheetName val="품의양식"/>
      <sheetName val="세금자료"/>
      <sheetName val="지성학원"/>
      <sheetName val="ILBAN"/>
      <sheetName val="CSP원자재"/>
      <sheetName val="참고"/>
      <sheetName val="2000제조1"/>
      <sheetName val="급여"/>
      <sheetName val="00퇴직급여충당금"/>
      <sheetName val="213"/>
      <sheetName val="Inv. LS"/>
      <sheetName val="관리대장"/>
      <sheetName val="원시데이타"/>
      <sheetName val="TB"/>
      <sheetName val="Tickmarks"/>
      <sheetName val="controll"/>
      <sheetName val="현금"/>
      <sheetName val="설계내역서"/>
      <sheetName val="기본가정"/>
      <sheetName val="Mutasi Final"/>
      <sheetName val="Depresiasi"/>
      <sheetName val="Additional"/>
      <sheetName val="25.보증금(임차보증금외)"/>
      <sheetName val="이익계획 요약1"/>
      <sheetName val="재조달원가"/>
      <sheetName val="사입율"/>
      <sheetName val="1월"/>
      <sheetName val="base"/>
      <sheetName val="Sheet5"/>
      <sheetName val="성과급지급기준"/>
      <sheetName val="경비예산"/>
      <sheetName val="생산성(2차)"/>
      <sheetName val="요약(1차)"/>
      <sheetName val="인원"/>
      <sheetName val="기초코드"/>
      <sheetName val="법인유형코드"/>
      <sheetName val="지급율"/>
      <sheetName val="2.대외공문"/>
      <sheetName val="최근결산기준"/>
      <sheetName val="대여현황"/>
      <sheetName val="자료"/>
      <sheetName val="인원계획-미화"/>
      <sheetName val="G.R300경비"/>
      <sheetName val="기계경비(시간당)"/>
      <sheetName val="램머"/>
      <sheetName val="실행내역"/>
      <sheetName val="내역서"/>
      <sheetName val="시점교대"/>
      <sheetName val="DATA 입력부"/>
      <sheetName val="상반기손익차2총괄"/>
      <sheetName val="분양설계데이타"/>
      <sheetName val="기초목"/>
      <sheetName val="DATA"/>
      <sheetName val="대조1"/>
      <sheetName val="작업명부"/>
      <sheetName val="산출의견"/>
      <sheetName val="포장재료집계표"/>
      <sheetName val="포장면적산출"/>
      <sheetName val="포장수량집계"/>
      <sheetName val="설치비"/>
      <sheetName val="필지별"/>
      <sheetName val="말뚝지지력산정"/>
      <sheetName val="표"/>
      <sheetName val="이식비품셈"/>
      <sheetName val="5131"/>
      <sheetName val="생산일보 (수)"/>
      <sheetName val="퇴직충당금(3.31)(국문)"/>
      <sheetName val="원가명세"/>
      <sheetName val="◀-▶"/>
      <sheetName val="Learning"/>
      <sheetName val="자산가치"/>
      <sheetName val="Macro1"/>
      <sheetName val="SA"/>
      <sheetName val="4.경비 5.영업외수지"/>
      <sheetName val="종가"/>
      <sheetName val="01반기조정감"/>
      <sheetName val="01반기조정증"/>
      <sheetName val="03년3Q누계급여"/>
      <sheetName val="KA021901"/>
      <sheetName val="환율시트"/>
      <sheetName val="제품코드"/>
      <sheetName val="청구내역서지급5"/>
      <sheetName val="검색"/>
      <sheetName val="노임이"/>
      <sheetName val="손익계산서"/>
      <sheetName val="지급어음(일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매출"/>
      <sheetName val="전월매출"/>
      <sheetName val="96년매출"/>
      <sheetName val="96년매출(상반기)"/>
      <sheetName val="95년매출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년령분석표(02년)"/>
      <sheetName val="지역별"/>
      <sheetName val="Condition"/>
      <sheetName val="LAN HW"/>
      <sheetName val="절대지우지말것"/>
      <sheetName val="기준 Factor"/>
      <sheetName val="5131"/>
      <sheetName val="분개장"/>
      <sheetName val="제조1과일일경영"/>
      <sheetName val="매출채권"/>
      <sheetName val="재고자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집단"/>
      <sheetName val="차이파악&amp;중요성"/>
      <sheetName val="조회거래처"/>
      <sheetName val="조회거래처연락처"/>
      <sheetName val="EE Lead"/>
      <sheetName val="Roll"/>
      <sheetName val="투자유가증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력메뉴"/>
      <sheetName val="입력메뉴"/>
      <sheetName val="입력창"/>
      <sheetName val="입력_채권위험기초(개별)"/>
      <sheetName val="입력_채권위험기초(일반)"/>
      <sheetName val="입력_주식전체"/>
      <sheetName val="입력_주식담배인삼SK증권"/>
      <sheetName val="입력_주식종기출자"/>
      <sheetName val="입력_주식벤쳐"/>
      <sheetName val="입력_DOTM산정자료"/>
      <sheetName val="결과_DOTM위험액"/>
      <sheetName val="입력_거래상대방위험중기일경과분"/>
      <sheetName val="입력_RP위험계산"/>
      <sheetName val="입력_증권매매자료"/>
      <sheetName val="입력_부동산종합"/>
      <sheetName val="입력_부동산장부가액"/>
      <sheetName val="입력_부동산임차보증금"/>
      <sheetName val="입력_합숙소임차보증금"/>
      <sheetName val="입력_신용집중차감금액"/>
      <sheetName val="입력_금월PL"/>
      <sheetName val="입력_기초위험자료"/>
      <sheetName val="입력_기초위험자료(신탁형)"/>
      <sheetName val="입력_신탁형계정원장(90009)"/>
      <sheetName val="입력_신탁형계정원장(90000)"/>
      <sheetName val="입력_채권매매미수금"/>
      <sheetName val="결과_영업용대차대조표"/>
      <sheetName val="입력_금월BS"/>
      <sheetName val="자금회계_장기주식"/>
      <sheetName val="자금회계_회사채"/>
      <sheetName val="자금회계_cp"/>
      <sheetName val="미매각구성"/>
      <sheetName val="산출_1순자본비율"/>
      <sheetName val="산출_2순자본"/>
      <sheetName val="산출_3총위험"/>
      <sheetName val="산출_4산정방식"/>
      <sheetName val="부속_1순자본차감항목"/>
      <sheetName val="부속_2순자본가산항목"/>
      <sheetName val="부속_3채권포지션위험"/>
      <sheetName val="부속_4주식포지션위험"/>
      <sheetName val="부속_5수익증권포지션위험"/>
      <sheetName val="부속_5_1_수익증권자산분해(단독펀드)"/>
      <sheetName val="부속_6인수위험"/>
      <sheetName val="부속_7외환위험"/>
      <sheetName val="부속_8옵션위험"/>
      <sheetName val="부속_9거래상대방위험세부내역"/>
      <sheetName val="부속_10거래상대방위험(보증)"/>
      <sheetName val="부속_11기초위험"/>
      <sheetName val="부속_12주식보유집중위험"/>
      <sheetName val="부속_13신용공여집중위험액"/>
      <sheetName val="시트명"/>
      <sheetName val="Sheet1"/>
      <sheetName val="bscode"/>
      <sheetName val="plcode"/>
      <sheetName val="Module1"/>
      <sheetName val="2담배인삼"/>
      <sheetName val="3종기팀출자주식"/>
      <sheetName val="부동산입력"/>
      <sheetName val="조회거래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급"/>
      <sheetName val="입금"/>
      <sheetName val="당좌"/>
      <sheetName val="보통"/>
      <sheetName val="11월간자금"/>
      <sheetName val="현황"/>
      <sheetName val="현황 (2)"/>
      <sheetName val="시재"/>
      <sheetName val="수익증권포지션위험"/>
      <sheetName val="채권포지션위험"/>
      <sheetName val="4담보주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월 원료수송비-최종"/>
      <sheetName val="4월 원료수송비"/>
      <sheetName val="검사병원 입고현황"/>
      <sheetName val="월별입고현황"/>
      <sheetName val="일일입고내역"/>
      <sheetName val="업체현황"/>
      <sheetName val="병원현황"/>
      <sheetName val="구분목록"/>
      <sheetName val="검사병원 현황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업체명</v>
          </cell>
        </row>
      </sheetData>
      <sheetData sheetId="6"/>
      <sheetData sheetId="7"/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1995년 섹터별 매출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31"/>
      <sheetName val="03.31"/>
      <sheetName val="04.30"/>
      <sheetName val="05.31"/>
      <sheetName val="06.30"/>
      <sheetName val="07.31"/>
      <sheetName val="08.30"/>
      <sheetName val="09.30"/>
      <sheetName val="10.31"/>
      <sheetName val="11.30"/>
      <sheetName val="Sheet2"/>
      <sheetName val="회계감사2000말"/>
      <sheetName val="00.12.31"/>
      <sheetName val="01.01.31"/>
      <sheetName val="구분목록"/>
      <sheetName val="회사정보"/>
      <sheetName val="maccp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초화면"/>
      <sheetName val="총괄원장"/>
      <sheetName val="관리카드"/>
      <sheetName val="연관서류"/>
      <sheetName val="기일관리"/>
      <sheetName val="민원신청기록부"/>
      <sheetName val="기일관리장"/>
      <sheetName val="주민등록신청"/>
      <sheetName val="주민등록신청(2)"/>
      <sheetName val="민원신청(대물)"/>
      <sheetName val="호적등본"/>
      <sheetName val="변제최고서"/>
      <sheetName val="Sheet2"/>
      <sheetName val="Sheet1"/>
      <sheetName val="대위최고서"/>
      <sheetName val="상속최고서"/>
      <sheetName val="어음금최고서"/>
      <sheetName val="변제최고서(일괄)"/>
      <sheetName val="대위최고서(일괄)"/>
      <sheetName val="상속최고서(일괄)"/>
      <sheetName val="어음금최고서(일괄)"/>
      <sheetName val="팩스신청"/>
      <sheetName val="민원신청(대인)"/>
      <sheetName val="회수위임증서"/>
      <sheetName val="예비자료"/>
      <sheetName val="잔액대사장"/>
      <sheetName val="완제명세"/>
      <sheetName val="전문직"/>
      <sheetName val="인턴사원"/>
      <sheetName val="매출현황(월별)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화재보험가입내역(2006년도) 전체"/>
      <sheetName val="피벗"/>
      <sheetName val="화재보험가입내역(종류별)"/>
      <sheetName val="가스"/>
      <sheetName val="보험 가입 제외"/>
      <sheetName val="총괄원장"/>
      <sheetName val="전문직"/>
      <sheetName val="인턴사원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년 섹터별 매출"/>
      <sheetName val="10대maker영업실적(91-94)"/>
      <sheetName val="95년도 신제품"/>
      <sheetName val="1996-2000년 판매계획"/>
      <sheetName val="1996-2000년 영업본부 계획"/>
      <sheetName val="1996-2000년 영업계획 + 70억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wbs"/>
      <sheetName val="대차"/>
      <sheetName val="손익"/>
      <sheetName val="잉여금"/>
      <sheetName val="현금흐름표"/>
      <sheetName val="현금흐름작성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정보"/>
      <sheetName val="fnc"/>
      <sheetName val="본부별매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정보"/>
    </sheetNames>
    <sheetDataSet>
      <sheetData sheetId="0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비율 "/>
      <sheetName val="수정시산표"/>
    </sheetNames>
    <sheetDataSet>
      <sheetData sheetId="0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연락"/>
      <sheetName val="경영비율 "/>
      <sheetName val="수정시산표"/>
      <sheetName val="본부별매출"/>
      <sheetName val="대차대조표"/>
      <sheetName val="손익계산서"/>
      <sheetName val="뒤차축소"/>
      <sheetName val="제품분류코드"/>
      <sheetName val="Sheet2"/>
      <sheetName val="FC-101"/>
      <sheetName val="서식지정"/>
      <sheetName val="Config"/>
      <sheetName val="주요재무비율"/>
      <sheetName val="이익잉여금처분계산서"/>
      <sheetName val="현금흐름표"/>
      <sheetName val="연락"/>
      <sheetName val="계정과목"/>
      <sheetName val="환율시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수담장"/>
      <sheetName val="업무연락"/>
      <sheetName val="경영비율 "/>
      <sheetName val="정보"/>
    </sheetNames>
    <definedNames>
      <definedName name="산식을값으로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1995년 섹터별 매출"/>
      <sheetName val="자산가치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01재무제표"/>
      <sheetName val="시효"/>
      <sheetName val="시나리오"/>
      <sheetName val="일위대가(가설)"/>
      <sheetName val="부채계정"/>
      <sheetName val=""/>
      <sheetName val="단기차입금"/>
      <sheetName val="지점분석00"/>
      <sheetName val="7.3 DY팀"/>
      <sheetName val="출자한도"/>
      <sheetName val="조견표"/>
      <sheetName val="10월"/>
      <sheetName val="본부별매출"/>
      <sheetName val="절대지우지말것"/>
    </sheetNames>
    <definedNames>
      <definedName name="실적지우기"/>
      <definedName name="실적지우기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목차"/>
      <sheetName val="1.일반현황"/>
      <sheetName val="2.환가총괄"/>
      <sheetName val="3.파산채권"/>
      <sheetName val="4.요약BS"/>
      <sheetName val="5.자산회수"/>
      <sheetName val="6.수지상황"/>
      <sheetName val="7.현금예치"/>
      <sheetName val="8.법적절차"/>
      <sheetName val="9.매각추진"/>
      <sheetName val="10.기타자산"/>
      <sheetName val="11.재산조사"/>
      <sheetName val="12.특별채권"/>
      <sheetName val="13.건의제안"/>
      <sheetName val="추가붙임보고"/>
      <sheetName val="본부집계시트"/>
      <sheetName val="TABLE DB"/>
      <sheetName val="쌍용 data base"/>
      <sheetName val="2004.2(신한종금월보)-다시작성"/>
      <sheetName val="받을어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DLG"/>
      <sheetName val="TmpSet1"/>
      <sheetName val="logoDlg"/>
      <sheetName val="Module1"/>
      <sheetName val="COMMONMO"/>
      <sheetName val="5.자산회수"/>
      <sheetName val="TABLE DB"/>
      <sheetName val="쌍용 data base"/>
    </sheetNames>
    <definedNames>
      <definedName name="InsertLogo"/>
      <definedName name="insertLt"/>
      <definedName name="sheetbutton1"/>
      <definedName name="SignDLG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3"/>
      <sheetName val="월출납"/>
      <sheetName val="當期시산표(결재)"/>
      <sheetName val="예적금"/>
      <sheetName val="9612-D2"/>
      <sheetName val="발생집계"/>
      <sheetName val="96수표어음"/>
      <sheetName val="언양"/>
      <sheetName val="어음수표추가테스트"/>
      <sheetName val="양산이동"/>
      <sheetName val="차입금현황(2)"/>
      <sheetName val="9703-1"/>
      <sheetName val="수정시산표"/>
      <sheetName val="외출포항"/>
      <sheetName val="1"/>
      <sheetName val="Comments"/>
      <sheetName val="매출(총액)"/>
      <sheetName val="판관비"/>
      <sheetName val="현금흐름표"/>
      <sheetName val="Receive Data"/>
      <sheetName val="미지급이자1"/>
      <sheetName val="입력자료"/>
      <sheetName val="5.자산회수"/>
      <sheetName val="9-1차이내역"/>
      <sheetName val="주간"/>
      <sheetName val="주간매출"/>
      <sheetName val="주간수주"/>
      <sheetName val="nr030112"/>
      <sheetName val="95년간접비"/>
      <sheetName val="월별생산"/>
      <sheetName val="시나리오"/>
      <sheetName val="기계"/>
      <sheetName val="Parms"/>
      <sheetName val="Sum"/>
      <sheetName val="고정자산원본"/>
      <sheetName val="2.대외공문"/>
      <sheetName val="외화계약"/>
      <sheetName val="TEMP1"/>
      <sheetName val="품종별월계"/>
      <sheetName val="요청자료"/>
      <sheetName val="TEMP2"/>
      <sheetName val="수입"/>
      <sheetName val="손익계산서"/>
      <sheetName val="대차대조표"/>
      <sheetName val="불일치회선"/>
      <sheetName val="일위대가(1)"/>
      <sheetName val="신공항A-9(원가수정)"/>
      <sheetName val="감가상각"/>
      <sheetName val="특외대"/>
      <sheetName val="control sheet"/>
      <sheetName val="미비용95"/>
      <sheetName val="ADM. Detail"/>
      <sheetName val="Request Letter"/>
      <sheetName val="22.보증금(전신전화가입권)"/>
      <sheetName val="39.미지급법인세"/>
      <sheetName val="0312상"/>
      <sheetName val="합병BS"/>
      <sheetName val="공통"/>
      <sheetName val="95WBS"/>
      <sheetName val="A1"/>
      <sheetName val="Assumptions"/>
      <sheetName val="외화금융(97-03)"/>
      <sheetName val="기초코드"/>
      <sheetName val="COBS"/>
      <sheetName val="2_대외공문"/>
      <sheetName val="Receive_Data"/>
      <sheetName val="control_sheet"/>
      <sheetName val="ADM__Detail"/>
      <sheetName val="5_자산회수"/>
      <sheetName val="22_보증금(전신전화가입권)"/>
      <sheetName val="39_미지급법인세"/>
      <sheetName val="Request_Letter"/>
      <sheetName val="구로분양원가명세서0"/>
      <sheetName val="기초자료"/>
      <sheetName val="총괄"/>
      <sheetName val="본사"/>
      <sheetName val="회사정보"/>
      <sheetName val="Sheet1"/>
      <sheetName val="한일자야(감액손실) (2)"/>
      <sheetName val="setup"/>
      <sheetName val="조회총괄"/>
      <sheetName val="108.수선비"/>
      <sheetName val="98상품수불(기초)"/>
      <sheetName val="제품수불 (기초)"/>
      <sheetName val="98제품수불부"/>
      <sheetName val="상품입고집계"/>
      <sheetName val="자산_종합"/>
      <sheetName val="비품"/>
      <sheetName val="대외공문"/>
      <sheetName val="전체현황(확정)"/>
      <sheetName val="공급설비"/>
      <sheetName val="1.능률현황"/>
      <sheetName val="2.호선별예상실적"/>
      <sheetName val="상세내역"/>
      <sheetName val="대환취급"/>
      <sheetName val="부재료입고집계"/>
      <sheetName val="1998 P &amp; L"/>
      <sheetName val="PS종합"/>
      <sheetName val="부품"/>
      <sheetName val="지역개발"/>
      <sheetName val="Ctrl"/>
      <sheetName val="잉여금"/>
      <sheetName val="4.경비 5.영업외수지"/>
      <sheetName val="전체"/>
      <sheetName val="유상증자"/>
      <sheetName val="한강운반비"/>
      <sheetName val="식음료"/>
      <sheetName val="f_BS"/>
      <sheetName val="99.7월 당월회수 실적"/>
      <sheetName val="안분-본사"/>
      <sheetName val="익월작업계힉"/>
      <sheetName val="BS"/>
      <sheetName val="PL"/>
      <sheetName val="구축물-0467"/>
      <sheetName val="비품-0450"/>
      <sheetName val="차량운반구-0457"/>
      <sheetName val="2006년"/>
      <sheetName val="담보명세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  <sheetName val="CalModule"/>
      <sheetName val="CALCMOD"/>
      <sheetName val="유가증권"/>
      <sheetName val="KA021901"/>
      <sheetName val="1.외주공사"/>
      <sheetName val="2.직영공사"/>
    </sheetNames>
    <definedNames>
      <definedName name="Dlog_Show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준공내역서(갑)"/>
      <sheetName val="교통대책내역"/>
    </sheetNames>
    <sheetDataSet>
      <sheetData sheetId="0" refreshError="1"/>
      <sheetData sheetId="1" refreshError="1"/>
      <sheetData sheetId="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목차"/>
      <sheetName val="1.일반현황"/>
      <sheetName val="2.환가총괄"/>
      <sheetName val="3.파산채권"/>
      <sheetName val="4.요약BS"/>
      <sheetName val="5.자산회수"/>
      <sheetName val="6.수지상황"/>
      <sheetName val="7.현금예치"/>
      <sheetName val="8.법적절차"/>
      <sheetName val="9.매각추진"/>
      <sheetName val="10.기타자산"/>
      <sheetName val="11.재산조사"/>
      <sheetName val="12.특별채권"/>
      <sheetName val="13.건의제안"/>
      <sheetName val="추가붙임보고"/>
      <sheetName val="본부집계시트"/>
      <sheetName val="교통대책내역"/>
      <sheetName val="임테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ncr유예설명"/>
      <sheetName val="2.ncr150%"/>
      <sheetName val="3.과거3년간NCR"/>
      <sheetName val="중간표지"/>
      <sheetName val="1순자본비율"/>
      <sheetName val="2산정내역"/>
      <sheetName val="3총위험산정"/>
      <sheetName val="4산정방식"/>
      <sheetName val="영업용순자본차감항목"/>
      <sheetName val="영업용순자본가산항목"/>
      <sheetName val="채권포지션위험"/>
      <sheetName val="채권위험기초(개별)"/>
      <sheetName val="채권위험기초(일반)"/>
      <sheetName val="주식포지션위험"/>
      <sheetName val="1주식기초"/>
      <sheetName val="2담배인삼"/>
      <sheetName val="3종기팀출자주식"/>
      <sheetName val="4벤쳐주식"/>
      <sheetName val="수익증권포지션위험"/>
      <sheetName val="인수위험"/>
      <sheetName val="외환위험"/>
      <sheetName val="DOTM(1231)"/>
      <sheetName val="옵션위험"/>
      <sheetName val="거래상대방위험(보증)"/>
      <sheetName val="거래상대방위험세부내역"/>
      <sheetName val="신용공여집중위험액"/>
      <sheetName val="신용집중차감금액"/>
      <sheetName val="집중위험"/>
      <sheetName val="기초위험"/>
      <sheetName val="당사기초위험자료"/>
      <sheetName val="부동산입력"/>
      <sheetName val="합숙소입차보증금"/>
      <sheetName val="부동산장부가액"/>
      <sheetName val="부동산임차보증금"/>
      <sheetName val="증권자료"/>
      <sheetName val="영업용대차대조표"/>
      <sheetName val="금월PL"/>
      <sheetName val="금월BS"/>
      <sheetName val="거래상대방위험(과거)"/>
      <sheetName val="RP위험계산(과거)"/>
      <sheetName val="거래상대방위험중기일경과분산정(과거)"/>
      <sheetName val="Sheet1"/>
      <sheetName val="Deepotm(과거)"/>
      <sheetName val="Module1"/>
      <sheetName val="5.자산회수"/>
      <sheetName val="교통대책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3.29)_TTSA"/>
      <sheetName val="BS(3.29)_고유"/>
      <sheetName val="Sheet7_PwC"/>
      <sheetName val="Sheet6_PwC"/>
      <sheetName val="Sheet5_PwC"/>
      <sheetName val="Sheet4_PwC"/>
      <sheetName val="Sheet3_PwC"/>
      <sheetName val="Sheet2_PwC"/>
      <sheetName val="Sheet1_Head"/>
      <sheetName val="거래상대방위험치재계산"/>
      <sheetName val="Summary (Senario)"/>
      <sheetName val="Scenario (Detail)"/>
      <sheetName val="Summary(PwC)"/>
      <sheetName val="증권고유계정"/>
      <sheetName val="증권고유수정사항"/>
      <sheetName val="TTSA"/>
      <sheetName val="TTSA_수정"/>
      <sheetName val="BS(3.29)_합산"/>
      <sheetName val="종합 (2)"/>
      <sheetName val="종합"/>
      <sheetName val="Issue"/>
      <sheetName val="검토"/>
      <sheetName val="시장"/>
      <sheetName val="거래상대방"/>
      <sheetName val="주식포지션위험"/>
      <sheetName val="1주식기초"/>
      <sheetName val="PL(3.29)_TTSA"/>
      <sheetName val="PL(3.29)_고유"/>
      <sheetName val="순자산가액차감_1"/>
      <sheetName val="차감채권"/>
      <sheetName val="Assumption"/>
      <sheetName val="채권포지션위험"/>
      <sheetName val="채권위험기초(개별)"/>
      <sheetName val="채권위험기초(일반)"/>
      <sheetName val="수익증권포지션위험"/>
      <sheetName val="기초"/>
      <sheetName val="신용집중"/>
      <sheetName val="Sheet1"/>
      <sheetName val="영업용순자본비율_SAC"/>
      <sheetName val="BS"/>
      <sheetName val="2003.12.31 PL"/>
      <sheetName val="NOCR"/>
      <sheetName val="총위험"/>
      <sheetName val="영업용순자본비율"/>
      <sheetName val="future &amp; option risk amt"/>
      <sheetName val="option risk amt"/>
      <sheetName val="DOTM(1231)"/>
      <sheetName val="파생검토"/>
      <sheetName val="4담보주식"/>
      <sheetName val="부속_8옵션위험"/>
      <sheetName val="부속_2순자본가산항목"/>
      <sheetName val="부속_4주식포지션위험"/>
      <sheetName val="부속_3채권포지션위험"/>
      <sheetName val="부속_12주식보유집중위험"/>
      <sheetName val="부속_5_1_수익증권자산분해(단독펀드)"/>
      <sheetName val="산출_2순자본"/>
      <sheetName val="부속_5수익증권포지션위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>
        <row r="12">
          <cell r="N12">
            <v>5137.152</v>
          </cell>
        </row>
      </sheetData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보고"/>
      <sheetName val="억원단위"/>
      <sheetName val="하나중충청"/>
      <sheetName val="은감제출 (PBO행사)"/>
      <sheetName val="은감제출"/>
      <sheetName val="가계포함"/>
      <sheetName val="보고양식 원단위"/>
      <sheetName val="신탁분리원단위"/>
      <sheetName val="주요분류"/>
      <sheetName val="전체요주의"/>
      <sheetName val="전체고정"/>
      <sheetName val="전체의문"/>
      <sheetName val="전체추손"/>
      <sheetName val="전체합계"/>
      <sheetName val="요주의사유"/>
      <sheetName val="요주의분류"/>
      <sheetName val="고정분류"/>
      <sheetName val="고정이하"/>
      <sheetName val="고정증감"/>
      <sheetName val="법정"/>
      <sheetName val="화의"/>
      <sheetName val="고정이하비율"/>
      <sheetName val="여신성가지급금"/>
      <sheetName val="x"/>
      <sheetName val="Sheet1"/>
      <sheetName val="Sheet2"/>
      <sheetName val="Module1"/>
      <sheetName val="Module2"/>
      <sheetName val="Module3"/>
      <sheetName val="Module5"/>
      <sheetName val="Module6"/>
      <sheetName val="Module4"/>
      <sheetName val="Module7"/>
      <sheetName val="Module8"/>
      <sheetName val="2산정내역"/>
      <sheetName val="기초위험"/>
      <sheetName val="3총위험산정"/>
      <sheetName val="수익증권포지션위험"/>
      <sheetName val="주식포지션위험"/>
      <sheetName val="인수위험"/>
      <sheetName val="옵션위험"/>
      <sheetName val="외환위험"/>
      <sheetName val="집중위험"/>
      <sheetName val="5.자산회수"/>
      <sheetName val="연체 ()"/>
      <sheetName val="MACRO2"/>
      <sheetName val="Ⅱ1-0타"/>
      <sheetName val="평화"/>
      <sheetName val="1"/>
      <sheetName val="계정과목"/>
      <sheetName val="환율시트"/>
      <sheetName val="건물"/>
      <sheetName val="한세A4PL"/>
      <sheetName val="_9년자재매각"/>
      <sheetName val="월별데이타"/>
      <sheetName val="분기별데이타"/>
      <sheetName val="대손인정신청명세"/>
      <sheetName val="Table"/>
      <sheetName val="96 하반기 전시회 경비"/>
      <sheetName val="재료비"/>
      <sheetName val="신탁0106-가사"/>
      <sheetName val="신탁0106-기사"/>
      <sheetName val="은행0106-가사"/>
      <sheetName val="은행0106-기사"/>
      <sheetName val="전체"/>
      <sheetName val="출금실적"/>
      <sheetName val="재무현황"/>
      <sheetName val="현금"/>
      <sheetName val="시나리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목차"/>
      <sheetName val="1.일반현황"/>
      <sheetName val="2.환가총괄"/>
      <sheetName val="3.파산채권"/>
      <sheetName val="4.요약BS"/>
      <sheetName val="5.자산회수"/>
      <sheetName val="6.수지상황"/>
      <sheetName val="7.현금예치"/>
      <sheetName val="8.법적절차"/>
      <sheetName val="9.매각추진"/>
      <sheetName val="10.기타자산"/>
      <sheetName val="11.재산조사"/>
      <sheetName val="12.특별채권"/>
      <sheetName val="13.건의제안"/>
      <sheetName val="추가붙임보고"/>
      <sheetName val="본부집계시트"/>
      <sheetName val="전체요주의"/>
      <sheetName val="2산정내역"/>
      <sheetName val="기초위험"/>
      <sheetName val="3총위험산정"/>
      <sheetName val="수익증권포지션위험"/>
      <sheetName val="주식포지션위험"/>
      <sheetName val="인수위험"/>
      <sheetName val="옵션위험"/>
      <sheetName val="외환위험"/>
      <sheetName val="집중위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1995년 섹터별 매출"/>
      <sheetName val="자산가치"/>
      <sheetName val="연불"/>
      <sheetName val="원가"/>
      <sheetName val="_9년자재매각"/>
      <sheetName val="97입고현황(사내)"/>
      <sheetName val="97출고현황(SEC)"/>
      <sheetName val="97출고현황(매출분)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1995년 섹터별 매출"/>
      <sheetName val="KA021901"/>
      <sheetName val="controll"/>
      <sheetName val="세율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총괄"/>
      <sheetName val="매출목표"/>
      <sheetName val="손익계획"/>
      <sheetName val="인원계획1"/>
      <sheetName val="인원계획2"/>
      <sheetName val="투자계획1"/>
      <sheetName val="투자계획2"/>
      <sheetName val="중점추진과제"/>
      <sheetName val="매출달성방안"/>
      <sheetName val="신제품계획"/>
      <sheetName val="생산성향상방안 "/>
      <sheetName val="수율향상방안"/>
      <sheetName val="수율향상방안 (2)"/>
      <sheetName val="참고(1)매출"/>
      <sheetName val="참고(2)변동비"/>
      <sheetName val="참고(3)고정비"/>
      <sheetName val="업무연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사감가상각대장(비품)"/>
      <sheetName val="FADO list"/>
      <sheetName val="Sheet2"/>
      <sheetName val="대손판정"/>
      <sheetName val="당기추가완료"/>
      <sheetName val="상정안건"/>
      <sheetName val="예산M11A"/>
      <sheetName val="대차"/>
      <sheetName val="완성차 미수금"/>
      <sheetName val="상여 (2)"/>
      <sheetName val="선급비용"/>
      <sheetName val="표지"/>
      <sheetName val="KA011205"/>
      <sheetName val="본사99감가상각대장"/>
      <sheetName val="1-1-1-1"/>
      <sheetName val="Sheet3"/>
      <sheetName val="2월수불부"/>
      <sheetName val="관계주식"/>
      <sheetName val="투자예산"/>
      <sheetName val="23을"/>
      <sheetName val="평가결과_사본"/>
      <sheetName val="Sheet1"/>
      <sheetName val="기본사항"/>
      <sheetName val="코드표"/>
      <sheetName val="労働型表"/>
      <sheetName val="하수급견적대비"/>
      <sheetName val="손익계산서"/>
      <sheetName val="SMXEXPS"/>
      <sheetName val="급여"/>
      <sheetName val="991231"/>
      <sheetName val="Intro2"/>
      <sheetName val="MAIN"/>
      <sheetName val="소속별"/>
      <sheetName val="2.대외공문"/>
      <sheetName val="DATA"/>
      <sheetName val="조정전"/>
      <sheetName val="산업은행 경영지표"/>
      <sheetName val="제조원가"/>
      <sheetName val="집연95"/>
      <sheetName val="참고(3)고정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이익잉여금처분계산서"/>
      <sheetName val="재무상태변동표"/>
      <sheetName val="제조원가명세서"/>
      <sheetName val="현금흐름표"/>
      <sheetName val="temp"/>
      <sheetName val="meta"/>
      <sheetName val="highlight"/>
      <sheetName val="Sheet1"/>
      <sheetName val="재무제표3년"/>
      <sheetName val="반기손익 3년"/>
      <sheetName val="pl"/>
      <sheetName val="지랄"/>
      <sheetName val="재무제표3년_bs_휴론"/>
      <sheetName val="재무제표3년_pl_휴론"/>
      <sheetName val="본사감가상각대장(비품)"/>
      <sheetName val="FADO list"/>
      <sheetName val="비교99-00"/>
      <sheetName val="회계감사"/>
      <sheetName val="CRS_01-4"/>
      <sheetName val="연체 ()"/>
      <sheetName val="BS(5월-경리과)"/>
      <sheetName val="curency swap00-2"/>
      <sheetName val="적격심사표"/>
      <sheetName val="전환대상"/>
      <sheetName val="영외수지"/>
      <sheetName val="이자율"/>
      <sheetName val="관계주식"/>
      <sheetName val="93상각비"/>
      <sheetName val="상정안건"/>
      <sheetName val="Intro2"/>
      <sheetName val="Id"/>
      <sheetName val="목록"/>
      <sheetName val="ÀÌÀÍÀ×¿©±ÝÃ³ºÐ°è»ê¼­"/>
      <sheetName val="Àç¹«»óÅÂº¯µ¿Ç¥"/>
      <sheetName val="Á¦Á¶¿ø°¡¸í¼¼¼­"/>
      <sheetName val="Çö±ÝÈå¸§Ç¥"/>
      <sheetName val="집연95"/>
      <sheetName val="1Month+Sheet2!"/>
      <sheetName val="조흥은행"/>
      <sheetName val="대차대조표5년"/>
      <sheetName val="admin"/>
      <sheetName val="환율시트"/>
      <sheetName val="상환익(2001년도)"/>
      <sheetName val="제조원가"/>
      <sheetName val="MAIN"/>
      <sheetName val="평가금액"/>
      <sheetName val="408005_기본급"/>
      <sheetName val="Data"/>
      <sheetName val="Valuation(new)"/>
      <sheetName val="98실적"/>
      <sheetName val="매입현황"/>
      <sheetName val="장려금"/>
      <sheetName val="투자자산명세서"/>
      <sheetName val="일반관리비(선급보험료)-총무"/>
      <sheetName val="대미환산율"/>
      <sheetName val="인스탄스 정의"/>
      <sheetName val="결과분석  "/>
      <sheetName val="평가예상(200308)"/>
      <sheetName val="총수신_속보"/>
      <sheetName val="지원예상신협126"/>
      <sheetName val="전체수종단가표"/>
      <sheetName val="LG캐피탈BS"/>
      <sheetName val="투자예산"/>
      <sheetName val="Ⅱ1-0타"/>
      <sheetName val="수입"/>
      <sheetName val="지역개발"/>
      <sheetName val="WorldQuest"/>
      <sheetName val="보고"/>
      <sheetName val="5.자산회수"/>
      <sheetName val="LU"/>
      <sheetName val="pab302i311"/>
      <sheetName val="97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계산서(管理)"/>
      <sheetName val="대차대조표(管理)"/>
      <sheetName val="손익계산서(管理) (2)"/>
      <sheetName val="법인세비용 (2)"/>
      <sheetName val="감가상각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감가상각(원본)"/>
      <sheetName val="경영비율 "/>
      <sheetName val="일위대가(계측기설치)"/>
      <sheetName val="#2 BSPL"/>
      <sheetName val="96수표어음"/>
      <sheetName val="대차대조"/>
      <sheetName val="품종별월계"/>
      <sheetName val="해당월"/>
      <sheetName val="재공품"/>
      <sheetName val="이자율"/>
      <sheetName val="정산표"/>
      <sheetName val="공정가치"/>
      <sheetName val="기안"/>
      <sheetName val="재무제표"/>
      <sheetName val="작업일보"/>
      <sheetName val="주식적수"/>
      <sheetName val="마감분석"/>
      <sheetName val="업체별재고금액"/>
      <sheetName val="분개장·원장"/>
      <sheetName val="제조원가"/>
      <sheetName val="재고자산명세"/>
      <sheetName val="완성차 미수금"/>
      <sheetName val="Assumption"/>
      <sheetName val="보험금"/>
      <sheetName val="1월"/>
      <sheetName val="투자자산"/>
      <sheetName val="대손상각"/>
      <sheetName val="외상매출금"/>
      <sheetName val="받을어음"/>
      <sheetName val="산업은행 경영지표"/>
      <sheetName val="본사재고"/>
      <sheetName val="제품구분"/>
      <sheetName val="요약"/>
      <sheetName val="일반(본사)"/>
      <sheetName val="일반(의성)"/>
      <sheetName val="미수금(공동공사비)"/>
      <sheetName val="회사정보"/>
      <sheetName val="본사감가상각대장(비품)"/>
      <sheetName val="손익계산서(管理)"/>
      <sheetName val="표2"/>
      <sheetName val="조흥은행"/>
      <sheetName val="확인서"/>
      <sheetName val="건설가"/>
      <sheetName val="치약_v011223"/>
      <sheetName val="data"/>
      <sheetName val="기타"/>
      <sheetName val="총괄표"/>
      <sheetName val="S1.1총괄"/>
      <sheetName val="수입"/>
      <sheetName val="품질현황-보류"/>
      <sheetName val="외화금융(97-03)"/>
      <sheetName val="주요비율-낙관"/>
      <sheetName val="Ⅰ-1"/>
      <sheetName val="대차,손익"/>
      <sheetName val="대차대조표"/>
      <sheetName val="F-1,2"/>
      <sheetName val="평가제외"/>
      <sheetName val="수선비"/>
      <sheetName val="현지법인 대손설정"/>
      <sheetName val="Packaging cost Back Data"/>
      <sheetName val="COVER-P"/>
      <sheetName val="관계주식"/>
      <sheetName val="재공품(3)"/>
      <sheetName val="표준원가표(2)"/>
      <sheetName val="ls"/>
      <sheetName val="퇴직충당금(3.31)(국문)"/>
      <sheetName val="대차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민감도"/>
      <sheetName val="평가예상(200308)"/>
      <sheetName val="XREF"/>
      <sheetName val="명세"/>
      <sheetName val="XXXXXX"/>
      <sheetName val="목차본문"/>
      <sheetName val="확정BS"/>
      <sheetName val="확정IS"/>
      <sheetName val="결손금(안)"/>
      <sheetName val="현금흐름"/>
      <sheetName val="현금흐름표"/>
      <sheetName val="주석"/>
      <sheetName val="부속명세서"/>
      <sheetName val="매출액(명) "/>
      <sheetName val="매출원가(명)"/>
      <sheetName val="경영표지"/>
      <sheetName val="영업사항"/>
      <sheetName val="대주주"/>
      <sheetName val="작업통제용"/>
      <sheetName val="매출.물동명세"/>
      <sheetName val="코드"/>
      <sheetName val="총괄"/>
      <sheetName val="본사"/>
      <sheetName val="개인법인구분"/>
      <sheetName val="지점장"/>
      <sheetName val="Sheet1"/>
      <sheetName val="호봉표"/>
      <sheetName val="13.보증금(전신전화가입권)"/>
      <sheetName val="삼화95"/>
      <sheetName val="담당자"/>
      <sheetName val="95WBS"/>
      <sheetName val="시작"/>
      <sheetName val="현금"/>
      <sheetName val="이름표"/>
      <sheetName val="손익계산서"/>
      <sheetName val="이익잉여금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경영분석"/>
      <sheetName val="총괄원가"/>
      <sheetName val="경영분석산식(참고)"/>
      <sheetName val="DB"/>
      <sheetName val="TAL"/>
      <sheetName val="주관사업"/>
      <sheetName val="용역원가명세서"/>
      <sheetName val="추가예산"/>
      <sheetName val="구동"/>
      <sheetName val="경비공통"/>
      <sheetName val="이익잉여금처분계산서"/>
      <sheetName val="sap`04.7.14"/>
      <sheetName val="발생집계"/>
      <sheetName val="97년"/>
      <sheetName val="현장"/>
      <sheetName val="9706"/>
      <sheetName val="성적표96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AR"/>
      <sheetName val="총괄분석적검토"/>
      <sheetName val="Sheet2"/>
      <sheetName val="주요ISSUE 사항"/>
      <sheetName val="무형자산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보빈규격"/>
      <sheetName val="출입자명단"/>
      <sheetName val="보증금(전신전화가입권)"/>
      <sheetName val="보정후BS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수익성분석"/>
      <sheetName val="제조원가명세서"/>
      <sheetName val="외상매출금현황-수정분 A2"/>
      <sheetName val="PAN"/>
      <sheetName val="보정전BS(세분류)"/>
      <sheetName val="입력자료"/>
      <sheetName val="Code"/>
      <sheetName val="Menu_Link"/>
      <sheetName val="basic_info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Net PL(세분류)"/>
      <sheetName val="지역개발"/>
      <sheetName val="Voucher"/>
      <sheetName val="213"/>
      <sheetName val="5사남"/>
      <sheetName val="공통비(전체)"/>
      <sheetName val="산출기준(파견전산실)"/>
      <sheetName val="99매출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주주명부&lt;끝&gt;"/>
      <sheetName val="cfanal"/>
      <sheetName val="profit"/>
      <sheetName val="부산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금액집계(리포트)"/>
      <sheetName val="입고단가기준"/>
      <sheetName val="의뢰건 (2)"/>
      <sheetName val="유통망계획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T6-6(7)"/>
      <sheetName val="수율"/>
      <sheetName val="1.MDF1공장"/>
      <sheetName val="Dólar Observado"/>
      <sheetName val="입고12"/>
      <sheetName val="출고12"/>
      <sheetName val="대비"/>
      <sheetName val="Rate"/>
      <sheetName val="작업불가"/>
      <sheetName val="CAUDIT"/>
      <sheetName val="입력.판매"/>
      <sheetName val="입력.인원"/>
      <sheetName val="듀레이션"/>
      <sheetName val="3-4현"/>
      <sheetName val="3-3현"/>
      <sheetName val="수불표"/>
      <sheetName val="4.2유효폭의 계산"/>
      <sheetName val="FRDS9805"/>
      <sheetName val="대구은행"/>
      <sheetName val="기준봉급표"/>
      <sheetName val="직급별인적"/>
      <sheetName val="A1"/>
      <sheetName val="외상매입금점별현황"/>
      <sheetName val="0"/>
      <sheetName val="기초작업"/>
      <sheetName val="상세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비용 배부후"/>
      <sheetName val="Farmtrac(Long)"/>
      <sheetName val="Table"/>
      <sheetName val="공수"/>
      <sheetName val="Class-Char"/>
      <sheetName val="부재료입고집계"/>
      <sheetName val="0701"/>
      <sheetName val="RECIMAKE"/>
      <sheetName val="LEASE4"/>
      <sheetName val="지급보증금74"/>
      <sheetName val="분개종합(01)"/>
      <sheetName val="투자자본상계"/>
      <sheetName val="全社経費"/>
      <sheetName val="実績集計"/>
      <sheetName val="実績連絡"/>
      <sheetName val="Customer"/>
      <sheetName val="버스업체(57개사)"/>
      <sheetName val="우리종금예상재무제표"/>
      <sheetName val="대차정산"/>
      <sheetName val="별첨1(임금)"/>
      <sheetName val="주주명부-가나다"/>
      <sheetName val="위험보험료표"/>
      <sheetName val="본부별매출"/>
      <sheetName val="작성요령"/>
      <sheetName val="118.세금과공과"/>
      <sheetName val="절감항목"/>
      <sheetName val="회사제시"/>
      <sheetName val="선급비용"/>
      <sheetName val="YOEMAGUM"/>
      <sheetName val="BOJUNGGM"/>
      <sheetName val="건설가계정"/>
      <sheetName val="5월"/>
      <sheetName val="도급비정산"/>
      <sheetName val="별제권_정리담보권1"/>
      <sheetName val="POS (2)"/>
      <sheetName val="뒤차축소"/>
      <sheetName val="2월특별상여"/>
      <sheetName val="9월상여"/>
      <sheetName val="05.1Q"/>
      <sheetName val="상표권"/>
      <sheetName val="기간"/>
      <sheetName val="법인정보"/>
      <sheetName val="Config"/>
      <sheetName val="연장수당"/>
      <sheetName val="누계매출"/>
      <sheetName val="고객지원무상출하"/>
      <sheetName val="연구소예외출고"/>
      <sheetName val="권리분석"/>
      <sheetName val="Scoresheet"/>
      <sheetName val="지급이자와할인료(직매각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급여명세서"/>
      <sheetName val="급여등록"/>
      <sheetName val="unit 4"/>
      <sheetName val="단가"/>
      <sheetName val="부정형평가"/>
      <sheetName val="재공품평가"/>
      <sheetName val="99판매"/>
      <sheetName val="데이터유효성목록"/>
      <sheetName val="불량"/>
      <sheetName val="보고서"/>
      <sheetName val="노임단가"/>
      <sheetName val="원자재상수"/>
      <sheetName val="원자재운송비"/>
      <sheetName val="BOM"/>
      <sheetName val="대환취급"/>
      <sheetName val="산출내역서집계표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계획"/>
      <sheetName val="교각1"/>
      <sheetName val="편입토지조서"/>
      <sheetName val="Tiburon"/>
      <sheetName val="PL"/>
      <sheetName val="재무누계"/>
      <sheetName val="TDTKP"/>
      <sheetName val="DK-KH"/>
      <sheetName val="T6-6(2)"/>
      <sheetName val="comm"/>
      <sheetName val="Template"/>
      <sheetName val="기초해지2"/>
      <sheetName val="기초해지"/>
      <sheetName val="control sheet"/>
      <sheetName val="R&amp;D"/>
      <sheetName val="부서코드"/>
      <sheetName val="CT 재공품생산현황"/>
      <sheetName val="RES"/>
      <sheetName val="BACKDATA"/>
      <sheetName val="(실사조정)총괄"/>
      <sheetName val="부서CODE"/>
      <sheetName val="호봉CODE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당월손익계산서★"/>
      <sheetName val="회수율"/>
      <sheetName val="#REF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2009BS_감사전"/>
      <sheetName val="scosht"/>
      <sheetName val="2009PL_감사전"/>
      <sheetName val="Sheet7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인원계획-미화"/>
      <sheetName val="108.수선비"/>
      <sheetName val="General Inputs"/>
      <sheetName val="CGC Inputs"/>
      <sheetName val="송전기본"/>
      <sheetName val="유가증권미수"/>
      <sheetName val="VB "/>
      <sheetName val="보증어음분류"/>
      <sheetName val="사모사채분류"/>
      <sheetName val="SA"/>
      <sheetName val="중장기 외화자금 보정명세(PBC)"/>
      <sheetName val="Macro1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매출(총액)"/>
      <sheetName val="판관비"/>
      <sheetName val="에뛰드 내부관리가"/>
      <sheetName val="均等割DB"/>
      <sheetName val="보조재료비"/>
      <sheetName val="재료비"/>
      <sheetName val="2005원가집계표(합계)"/>
      <sheetName val="원가집계표(월별)"/>
      <sheetName val="RV미수수익보정"/>
      <sheetName val="불균등-거치외(미수)"/>
      <sheetName val="불균등-TOP(선수)"/>
      <sheetName val="Lead"/>
      <sheetName val="생산직"/>
      <sheetName val="부서별"/>
      <sheetName val="부서실적"/>
      <sheetName val="TUL30"/>
      <sheetName val="ST"/>
      <sheetName val="T48a"/>
      <sheetName val="상불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업체손실공수.xls"/>
      <sheetName val="서식지정"/>
      <sheetName val="기계장치"/>
      <sheetName val="의왕"/>
      <sheetName val="result0927"/>
      <sheetName val="대우자동차용역비"/>
      <sheetName val="ORIGIN"/>
      <sheetName val="처별전산"/>
      <sheetName val="품의양"/>
      <sheetName val="종기실공문"/>
      <sheetName val="T02"/>
      <sheetName val="f3"/>
      <sheetName val="일위_파일"/>
      <sheetName val="법인별요약"/>
      <sheetName val="admin"/>
      <sheetName val="원가계산 (2)"/>
      <sheetName val="도근좌표"/>
      <sheetName val="부분품"/>
      <sheetName val="생산부대통지서"/>
      <sheetName val="정리"/>
      <sheetName val="직급별인원계획"/>
      <sheetName val="사업별인원계획"/>
      <sheetName val="유첨3.적용기준"/>
      <sheetName val="매출및매출채권"/>
      <sheetName val="Main"/>
      <sheetName val="96"/>
      <sheetName val="제조공정"/>
      <sheetName val="MA"/>
      <sheetName val="차입금상환표"/>
      <sheetName val="3사분기계획"/>
      <sheetName val="토목주소"/>
      <sheetName val="프랜트면허"/>
      <sheetName val="투자자산명세서"/>
      <sheetName val="년간 자금계획(90일 적용)"/>
      <sheetName val="CC Down load 0716"/>
      <sheetName val="월급제"/>
      <sheetName val="신공항A-9(원가수정)"/>
      <sheetName val="집연95"/>
      <sheetName val="비교재무제표"/>
      <sheetName val="하우투_집계"/>
      <sheetName val="F-4,5"/>
      <sheetName val="제품수불(대체)"/>
      <sheetName val="원재료입력"/>
      <sheetName val="총제품수불"/>
      <sheetName val="제품입력"/>
      <sheetName val="경영비율_"/>
      <sheetName val="#2_BSPL"/>
      <sheetName val="현지법인_대손설정"/>
      <sheetName val="산업은행_경영지표"/>
      <sheetName val="퇴직충당금(3_31)(국문)"/>
      <sheetName val="입력_판매"/>
      <sheetName val="입력_인원"/>
      <sheetName val="POS_(2)"/>
      <sheetName val="05_1Q"/>
      <sheetName val="매출액(명)_"/>
      <sheetName val="unit_4"/>
      <sheetName val="118_세금과공과"/>
      <sheetName val="내역서_(2)"/>
      <sheetName val="INCOME_STATEMENT"/>
      <sheetName val="control_sheet"/>
      <sheetName val="관계회사거래내역및_채권채무잔액_99"/>
      <sheetName val="Team_종합"/>
      <sheetName val="아울렛_농산벤더"/>
      <sheetName val="현금_및_예치금Lead"/>
      <sheetName val="현금및예치금_명세서"/>
      <sheetName val="2_Critical_Component_Estimation"/>
      <sheetName val="급상여기초정보_08"/>
      <sheetName val="본사_08"/>
      <sheetName val="세무서코드"/>
      <sheetName val="취득"/>
      <sheetName val="조정전"/>
      <sheetName val="표시트"/>
      <sheetName val="서비스별 매출추이"/>
      <sheetName val="9703"/>
      <sheetName val="고정자산원본"/>
      <sheetName val="투자현황"/>
      <sheetName val="기본정보"/>
      <sheetName val="1부생산계획"/>
      <sheetName val="EE"/>
      <sheetName val="Office only Letup"/>
      <sheetName val="과8"/>
      <sheetName val="손익분석"/>
      <sheetName val="호프"/>
      <sheetName val="Data&amp;Result"/>
      <sheetName val="직급실적"/>
      <sheetName val="UTCA"/>
      <sheetName val="1주"/>
      <sheetName val="2주"/>
      <sheetName val="3주"/>
      <sheetName val="4주"/>
      <sheetName val="관세구분시트"/>
      <sheetName val="99.7월 당월회수 실적"/>
      <sheetName val="YM98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중부사업담당_1-11월_원가1"/>
      <sheetName val="지점월추이"/>
      <sheetName val="형틀공사"/>
      <sheetName val="월말마감"/>
      <sheetName val="SMCB9617145"/>
      <sheetName val="잉여금"/>
      <sheetName val="붙임2-1  지급조서명세서(2001년분)"/>
      <sheetName val="支払明細"/>
      <sheetName val="영업단위-8월"/>
      <sheetName val="WH"/>
      <sheetName val="MANAGER"/>
      <sheetName val="108_수선비"/>
      <sheetName val="95D"/>
      <sheetName val="94D"/>
      <sheetName val="93상각비"/>
      <sheetName val="보통예금"/>
      <sheetName val="96시"/>
      <sheetName val="Index"/>
      <sheetName val="제작실적"/>
      <sheetName val="PUR-12K"/>
      <sheetName val="CF_Assumption"/>
      <sheetName val="7 _2_"/>
      <sheetName val="결산비용"/>
      <sheetName val="1_현금흐름표"/>
      <sheetName val="공항,제주 판매율 분석"/>
      <sheetName val="부산물"/>
      <sheetName val="상품원가"/>
      <sheetName val="전부인쇄"/>
      <sheetName val="Bank charge"/>
      <sheetName val="은행조회서"/>
      <sheetName val="산근"/>
      <sheetName val="PR제조"/>
      <sheetName val="费率"/>
      <sheetName val="추가강의료내역"/>
      <sheetName val="UTMBPL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LeadSchedule"/>
      <sheetName val="요약PL"/>
      <sheetName val="참고_주임대리승진안(2013下)"/>
      <sheetName val="97년추정손익계산서"/>
      <sheetName val="0.0ControlSheet"/>
      <sheetName val="기본일위"/>
      <sheetName val="EQT-ESTN"/>
      <sheetName val="VB_"/>
      <sheetName val="원가계산_(2)"/>
      <sheetName val="충당금"/>
      <sheetName val="BOX명칭"/>
      <sheetName val="가중치_사용자본회전율"/>
      <sheetName val="5131"/>
      <sheetName val="경영계획"/>
      <sheetName val="Re1"/>
      <sheetName val="原材料单价分析"/>
      <sheetName val="KA021901"/>
      <sheetName val="5客诉对比 (2)"/>
      <sheetName val="比较 (2)"/>
      <sheetName val="입장료"/>
      <sheetName val="첨부1"/>
      <sheetName val="99년하반기"/>
      <sheetName val="실적관리"/>
      <sheetName val="합천내역"/>
      <sheetName val="참조"/>
      <sheetName val="주소록"/>
      <sheetName val="갑지"/>
      <sheetName val="전체"/>
      <sheetName val="도면번호"/>
      <sheetName val="조건식"/>
      <sheetName val="산업잠재수요현황"/>
      <sheetName val="산업체판매량세부내역"/>
      <sheetName val="합계db"/>
      <sheetName val="3월연장근무"/>
      <sheetName val="영업보증금"/>
      <sheetName val="표준대차대조표(갑)"/>
      <sheetName val="STAND20"/>
      <sheetName val="조회서"/>
      <sheetName val="05현금등가"/>
      <sheetName val="매출96(장항)"/>
      <sheetName val="입찰안"/>
      <sheetName val="계산기초율"/>
      <sheetName val="KCN"/>
      <sheetName val="SPT"/>
      <sheetName val="품의서"/>
      <sheetName val="배수통관(좌)"/>
      <sheetName val="원료 CODE"/>
      <sheetName val="인건-측정"/>
      <sheetName val="기기분석"/>
      <sheetName val="참고_ 카본단가 비교"/>
      <sheetName val="년판01"/>
      <sheetName val="예산내역서"/>
      <sheetName val="지역별수출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시산"/>
      <sheetName val="매입매출(입력)"/>
      <sheetName val="이연"/>
      <sheetName val="비교"/>
      <sheetName val="Dec-02"/>
      <sheetName val="Jun-04"/>
      <sheetName val="Oct-02"/>
      <sheetName val="9710"/>
      <sheetName val="23기-3분기결산PL"/>
      <sheetName val="FC-101"/>
      <sheetName val="작성양식"/>
      <sheetName val="차입"/>
      <sheetName val="미수"/>
      <sheetName val="시설이용권명세서"/>
      <sheetName val="EXPENSE"/>
      <sheetName val="BS(5월-경리과)"/>
      <sheetName val="상품입고집계"/>
      <sheetName val="전환원본"/>
      <sheetName val="생산계획"/>
      <sheetName val="미반영량"/>
      <sheetName val="현우실적"/>
      <sheetName val="0000"/>
      <sheetName val="진도현황"/>
      <sheetName val="원가배분01년(등본)"/>
      <sheetName val="◀Chart_Data"/>
      <sheetName val="매출채권등리드"/>
      <sheetName val="PC실적"/>
      <sheetName val="신부서코드"/>
      <sheetName val="본사_09"/>
      <sheetName val="GEN Inputs"/>
      <sheetName val="WACC_BUILDUP"/>
      <sheetName val="IRR"/>
      <sheetName val="반포2차"/>
      <sheetName val="현금흐름표 근거자료"/>
      <sheetName val="黄做原材料进销存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노방제,촉진제 단가추이"/>
      <sheetName val="23을"/>
      <sheetName val="2담당0113"/>
      <sheetName val="1담당0113"/>
      <sheetName val="US Revenue (2)"/>
      <sheetName val="Act-NCI"/>
      <sheetName val="Act-NCE"/>
      <sheetName val="Control"/>
      <sheetName val="일위대가표"/>
      <sheetName val="관리1"/>
      <sheetName val="2.지분법적용주식Leadsheet(회사제시)"/>
      <sheetName val="Assumptions"/>
      <sheetName val="추진전략"/>
      <sheetName val="수정사항집계표"/>
      <sheetName val="부실채권"/>
      <sheetName val="요율표"/>
      <sheetName val="출고상차료"/>
      <sheetName val="5600"/>
      <sheetName val="정기적금"/>
      <sheetName val="인사자료총집계"/>
      <sheetName val="당기추가완료"/>
      <sheetName val="지구단위계획"/>
      <sheetName val="KUBYEA"/>
      <sheetName val="목차"/>
      <sheetName val="82150-39000"/>
      <sheetName val="3528"/>
      <sheetName val="재고관련흐름"/>
      <sheetName val="fnc"/>
      <sheetName val="SE_Output"/>
      <sheetName val="지급자재"/>
      <sheetName val="마산월령동골조물량변경"/>
      <sheetName val="미지금(01)"/>
      <sheetName val="XL4Poppy"/>
      <sheetName val="환율표"/>
      <sheetName val="WEIGHT"/>
      <sheetName val="CASE1"/>
      <sheetName val="98상품수불(기초)"/>
      <sheetName val="98제품수불부"/>
      <sheetName val="대차대조표(수정)"/>
      <sheetName val="공구기구"/>
      <sheetName val="연평잔"/>
      <sheetName val="허들조견표"/>
      <sheetName val="N賃率-職"/>
      <sheetName val="Item LIST"/>
      <sheetName val="Volume LIST"/>
      <sheetName val="score_sheet3"/>
      <sheetName val="공제사업score_sheet3"/>
      <sheetName val="법인세비용_계산3"/>
      <sheetName val="정관_및_회계규정3"/>
      <sheetName val="주요ISSUE_사항3"/>
      <sheetName val="완성차_미수금3"/>
      <sheetName val="2006_과표및세액조정계산서3"/>
      <sheetName val="매출_물동명세3"/>
      <sheetName val="증감분석_및_연결조정2"/>
      <sheetName val="장할생활_(2)2"/>
      <sheetName val="YTD_Sales(0411)3"/>
      <sheetName val="계수원본(99_2_28)3"/>
      <sheetName val="10_313"/>
      <sheetName val="외상매출금현황-수정분_A23"/>
      <sheetName val="Cash_Flow2"/>
      <sheetName val="Net_PL(세분류)2"/>
      <sheetName val="3_판관비명세서2"/>
      <sheetName val="업무분장_2"/>
      <sheetName val="2_대외공문2"/>
      <sheetName val="아파트_기성내역서2"/>
      <sheetName val="1월실적_(2)2"/>
      <sheetName val="받을어음할인및_융통어음2"/>
      <sheetName val="11_17-11_232"/>
      <sheetName val="11_24-11_302"/>
      <sheetName val="2_상각보정명세2"/>
      <sheetName val="1공장_재공품생산현황2"/>
      <sheetName val="매출채권_및_담보비율_변동2"/>
      <sheetName val="대차대조표12_012"/>
      <sheetName val="의뢰건_(2)2"/>
      <sheetName val="화섬_MDP2"/>
      <sheetName val="비교원가제출_고2"/>
      <sheetName val="퇴직급여충당금12_312"/>
      <sheetName val="4-1__매출원가_손익계획_집계표2"/>
      <sheetName val="5_소재2"/>
      <sheetName val="Dólar_Observado2"/>
      <sheetName val="4_2유효폭의_계산2"/>
      <sheetName val="1_MDF1공장2"/>
      <sheetName val="25_보증금(임차보증금외)2"/>
      <sheetName val="24_보증금(전신전화가입권)2"/>
      <sheetName val="CT_재공품생산현황2"/>
      <sheetName val="비용_배부후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중장기_외화자금_보정명세(PBC)"/>
      <sheetName val="00_08계정"/>
      <sheetName val="에뛰드_내부관리가"/>
      <sheetName val="Office_only_Letup"/>
      <sheetName val="Packaging_cost_Back_Data"/>
      <sheetName val="업체손실공수_xls"/>
      <sheetName val="General_Inputs"/>
      <sheetName val="CGC_Inputs"/>
      <sheetName val="유첨3_적용기준"/>
      <sheetName val="99입장목표"/>
      <sheetName val="금액"/>
      <sheetName val="아울렛_농산벤더1"/>
      <sheetName val="중부사업담당_1-11월_원가2"/>
      <sheetName val="sap`04_7_14"/>
      <sheetName val="13_보증금(전신전화가입권)"/>
      <sheetName val="붙임2-1__지급조서명세서(2001년분)"/>
      <sheetName val="0_0ControlSheet"/>
      <sheetName val="流资汇总"/>
      <sheetName val="관재"/>
      <sheetName val="값목록(Do not touch)"/>
      <sheetName val="건설중인자산(기타)"/>
      <sheetName val="현금등가물"/>
      <sheetName val="매립"/>
      <sheetName val="제품분류코드"/>
      <sheetName val="매입계산서"/>
      <sheetName val="원가배부작업시간"/>
      <sheetName val="LEAD SHEET (K상각후회수율)"/>
      <sheetName val="981-4분기"/>
      <sheetName val="ST제품"/>
      <sheetName val="년월차수당"/>
      <sheetName val="상여금"/>
      <sheetName val="대항목"/>
      <sheetName val="질의(금액)참조"/>
      <sheetName val="손익항목표"/>
      <sheetName val="치약_v011㤂ᖄ됁"/>
      <sheetName val="치약_v011_x0000_츀"/>
      <sheetName val="Sheet1 (2)"/>
      <sheetName val="DATA 입력란"/>
      <sheetName val="1. 설계조건 2.단면가정 3. 하중계산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주거"/>
      <sheetName val="자산"/>
      <sheetName val="내역서"/>
      <sheetName val="JP_GP_UP통합"/>
      <sheetName val="수입검사현황 Rev1"/>
      <sheetName val="7.3 DY팀"/>
      <sheetName val="특별경비"/>
      <sheetName val="긴급근무"/>
      <sheetName val="월별보고표"/>
      <sheetName val="집계표"/>
      <sheetName val="책임준비금"/>
      <sheetName val="잡급"/>
      <sheetName val="급여"/>
      <sheetName val="회원수&amp;결제&amp;매출"/>
      <sheetName val="지급수수료"/>
      <sheetName val="고급필터"/>
      <sheetName val="기구표"/>
      <sheetName val="장기차입금"/>
      <sheetName val="MIJIBI"/>
      <sheetName val="6D257"/>
      <sheetName val="주당순이익1분기"/>
      <sheetName val="8월차잔"/>
      <sheetName val="일반부표"/>
      <sheetName val="AQL(0.65)"/>
      <sheetName val="compare2"/>
      <sheetName val="재정비직인"/>
      <sheetName val="재정비내역"/>
      <sheetName val="지적고시내역"/>
      <sheetName val="김종록2"/>
      <sheetName val="원본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평가금액"/>
      <sheetName val="상환익(2001년도)"/>
      <sheetName val="유가증권현황"/>
      <sheetName val="개발비자산성검토"/>
      <sheetName val="TB2005"/>
      <sheetName val="구매차입"/>
      <sheetName val="부문별손익안분명세서4-6월"/>
      <sheetName val="연구인원내역"/>
      <sheetName val="이자"/>
      <sheetName val="수정사항"/>
      <sheetName val="현금및현금등가물1"/>
      <sheetName val="수량산출"/>
      <sheetName val="경영비율_1"/>
      <sheetName val="현지법인_대손설정1"/>
      <sheetName val="산업은행_경영지표1"/>
      <sheetName val="#2_BSPL1"/>
      <sheetName val="CC_Down_load_0716"/>
      <sheetName val="퇴직충당금(3_31)(국문)1"/>
      <sheetName val="매출액(명)_1"/>
      <sheetName val="원료_CODE"/>
      <sheetName val="참고__카본단가_비교"/>
      <sheetName val="년간_자금계획(90일_적용)"/>
      <sheetName val="입력_판매1"/>
      <sheetName val="입력_인원1"/>
      <sheetName val="118_세금과공과1"/>
      <sheetName val="POS_(2)1"/>
      <sheetName val="05_1Q1"/>
      <sheetName val="unit_41"/>
      <sheetName val="내역서_(2)1"/>
      <sheetName val="control_sheet1"/>
      <sheetName val="INCOME_STATEMENT1"/>
      <sheetName val="관계회사거래내역및_채권채무잔액_991"/>
      <sheetName val="Team_종합1"/>
      <sheetName val="2_Critical_Component_Estimatio1"/>
      <sheetName val="현금_및_예치금Lead1"/>
      <sheetName val="현금및예치금_명세서1"/>
      <sheetName val="노방제,촉진제_단가추이"/>
      <sheetName val="선수금반제"/>
      <sheetName val="2팀"/>
      <sheetName val="ML"/>
      <sheetName val="사회보험료세액공제"/>
      <sheetName val="고용증대세액공제"/>
      <sheetName val="2019년_세부자료_(입력할 시트)"/>
      <sheetName val="2019년보험요율_(입력할 시트)"/>
      <sheetName val="LOT 이상품 조치 이력"/>
      <sheetName val="견적서"/>
      <sheetName val="토목을"/>
      <sheetName val="1-1-1-1"/>
      <sheetName val="토목공사일반"/>
      <sheetName val="외화평가"/>
      <sheetName val="방산생산"/>
      <sheetName val="108_수선비1"/>
      <sheetName val="서비스별_매출추이"/>
      <sheetName val="S1_1총괄"/>
      <sheetName val="옥분수불"/>
      <sheetName val="출자한도"/>
      <sheetName val="7월 생산,자공정 불량 현황"/>
      <sheetName val="월별데이타"/>
      <sheetName val="분기별데이타"/>
      <sheetName val="OTHER_INFO"/>
      <sheetName val="7 (2)"/>
      <sheetName val="8월 매출수주"/>
      <sheetName val="1.능률현황"/>
      <sheetName val="2.호선별예상실적"/>
      <sheetName val="교육계획"/>
      <sheetName val="기본입력사항"/>
      <sheetName val="96원가"/>
      <sheetName val="제품(수출)매출"/>
      <sheetName val="상품매출"/>
      <sheetName val="재고 "/>
      <sheetName val="명단"/>
      <sheetName val="3.부점발견재산"/>
      <sheetName val="6.공사부점손익"/>
      <sheetName val="5.공사손익실적"/>
      <sheetName val="조건"/>
      <sheetName val="영업권"/>
      <sheetName val="4월2일"/>
      <sheetName val="to do"/>
      <sheetName val="0404급여"/>
      <sheetName val="0312상"/>
      <sheetName val="0405급여"/>
      <sheetName val="0406급여"/>
      <sheetName val="0406상"/>
      <sheetName val="Sch9"/>
      <sheetName val="시산표12월(수정후)"/>
      <sheetName val="외화가수금"/>
      <sheetName val="치약_v011"/>
      <sheetName val="이자정산계획"/>
      <sheetName val=""/>
      <sheetName val="9GNG운반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RD제품개발투자비(매가)"/>
      <sheetName val="1300"/>
      <sheetName val="1공장_재공품생쩀ᯨ_x0000_"/>
      <sheetName val="제품L.D."/>
      <sheetName val="Korea Sign-Internal"/>
      <sheetName val="ld-극동"/>
      <sheetName val="5층 건축물대장 등기 예정"/>
      <sheetName val="층별면적표-060411-5층 통합"/>
      <sheetName val="서피070607"/>
      <sheetName val="개인별집계"/>
      <sheetName val="차체부품 INS REPORT(갑)"/>
      <sheetName val="양식"/>
      <sheetName val="98지급계획"/>
      <sheetName val="배치1"/>
      <sheetName val="날개수량1.5"/>
      <sheetName val="DI1"/>
      <sheetName val="FLA"/>
      <sheetName val="1월실적_x0000_jĨ˒"/>
      <sheetName val="1월실적_x0000__x0000__x0005__x0000_"/>
      <sheetName val="설 계"/>
      <sheetName val="소송대라상 현장"/>
      <sheetName val="경영비율_2"/>
      <sheetName val="현지법인_대손설정2"/>
      <sheetName val="완성차_미수금4"/>
      <sheetName val="산업은행_경영지표2"/>
      <sheetName val="#2_BSPL2"/>
      <sheetName val="CC_Down_load_07161"/>
      <sheetName val="퇴직충당금(3_31)(국문)2"/>
      <sheetName val="Packaging_cost_Back_Data1"/>
      <sheetName val="sap`04_7_141"/>
      <sheetName val="매출액(명)_2"/>
      <sheetName val="매출_물동명세4"/>
      <sheetName val="13_보증금(전신전화가입권)1"/>
      <sheetName val="원료_CODE1"/>
      <sheetName val="참고__카본단가_비교1"/>
      <sheetName val="년간_자금계획(90일_적용)1"/>
      <sheetName val="score_sheet4"/>
      <sheetName val="공제사업score_sheet4"/>
      <sheetName val="법인세비용_계산4"/>
      <sheetName val="정관_및_회계규정4"/>
      <sheetName val="주요ISSUE_사항4"/>
      <sheetName val="2006_과표및세액조정계산서4"/>
      <sheetName val="10_314"/>
      <sheetName val="업무분장_3"/>
      <sheetName val="YTD_Sales(0411)4"/>
      <sheetName val="3_판관비명세서3"/>
      <sheetName val="외상매출금현황-수정분_A24"/>
      <sheetName val="계수원본(99_2_28)4"/>
      <sheetName val="Net_PL(세분류)3"/>
      <sheetName val="받을어음할인및_융통어음3"/>
      <sheetName val="Cash_Flow3"/>
      <sheetName val="아파트_기성내역서3"/>
      <sheetName val="11_17-11_233"/>
      <sheetName val="11_24-11_303"/>
      <sheetName val="2_상각보정명세3"/>
      <sheetName val="2_대외공문3"/>
      <sheetName val="1공장_재공품생산현황3"/>
      <sheetName val="장할생활_(2)3"/>
      <sheetName val="증감분석_및_연결조정3"/>
      <sheetName val="비교원가제출_고3"/>
      <sheetName val="의뢰건_(2)3"/>
      <sheetName val="5_소재3"/>
      <sheetName val="매출채권_및_담보비율_변동3"/>
      <sheetName val="1월실적_(2)3"/>
      <sheetName val="화섬_MDP3"/>
      <sheetName val="25_보증금(임차보증금외)3"/>
      <sheetName val="24_보증금(전신전화가입권)3"/>
      <sheetName val="퇴직급여충당금12_313"/>
      <sheetName val="대차대조표12_013"/>
      <sheetName val="4-1__매출원가_손익계획_집계표3"/>
      <sheetName val="1_MDF1공장3"/>
      <sheetName val="Dólar_Observado3"/>
      <sheetName val="입력_판매2"/>
      <sheetName val="입력_인원2"/>
      <sheetName val="4_2유효폭의_계산3"/>
      <sheetName val="비용_배부후3"/>
      <sheetName val="118_세금과공과2"/>
      <sheetName val="POS_(2)2"/>
      <sheetName val="05_1Q2"/>
      <sheetName val="아울렛_농산벤더2"/>
      <sheetName val="Reference_(변경)3"/>
      <sheetName val="unit_42"/>
      <sheetName val="내역서_(2)2"/>
      <sheetName val="control_sheet2"/>
      <sheetName val="CT_재공품생산현황3"/>
      <sheetName val="INCOME_STATEMENT2"/>
      <sheetName val="관계회사거래내역및_채권채무잔액_992"/>
      <sheetName val="Team_종합2"/>
      <sheetName val="2_Critical_Component_Estimatio2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현금_및_예치금Lead2"/>
      <sheetName val="현금및예치금_명세서2"/>
      <sheetName val="General_Inputs1"/>
      <sheetName val="CGC_Inputs1"/>
      <sheetName val="VB_1"/>
      <sheetName val="중장기_외화자금_보정명세(PBC)1"/>
      <sheetName val="00_08계정1"/>
      <sheetName val="에뛰드_내부관리가1"/>
      <sheetName val="업체손실공수_xls1"/>
      <sheetName val="원가계산_(2)1"/>
      <sheetName val="유첨3_적용기준1"/>
      <sheetName val="노방제,촉진제_단가추이1"/>
      <sheetName val="LOT_이상품_조치_이력"/>
      <sheetName val="공항,제주_판매율_분석"/>
      <sheetName val="차체부품_INS_REPORT(갑)"/>
      <sheetName val="날개수량1_5"/>
      <sheetName val="GEN_Inputs"/>
      <sheetName val="현금흐름표_근거자료"/>
      <sheetName val="01_12月_Lot별_판매실적_xls"/>
      <sheetName val="Industry_Indices"/>
      <sheetName val="99_7월_당월회수_실적"/>
      <sheetName val="7__2_"/>
      <sheetName val="Bank_charge"/>
      <sheetName val="US_Revenue_(2)"/>
      <sheetName val="2_지분법적용주식Leadsheet(회사제시)"/>
      <sheetName val="FY00_OP3rdPrty"/>
      <sheetName val="Q3_actuals"/>
      <sheetName val="0307_Q3Update"/>
      <sheetName val="설_계"/>
      <sheetName val="소송대라상_현장"/>
      <sheetName val="사업계획(97년)"/>
      <sheetName val="0226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0412BS보고서"/>
      <sheetName val="TOEIC기준점수"/>
      <sheetName val="FAB4생산"/>
      <sheetName val="FAB별"/>
      <sheetName val="상제품매출(원가)1~10월"/>
      <sheetName val="5층_건축물대장_등기_예정"/>
      <sheetName val="층별면적표-060411-5층_통합"/>
      <sheetName val="부서"/>
      <sheetName val="PJT"/>
      <sheetName val="2월"/>
      <sheetName val="기존처_식"/>
      <sheetName val="AU"/>
      <sheetName val="12월급여"/>
      <sheetName val="11월급여"/>
      <sheetName val="2009년6월부터"/>
      <sheetName val="매출액(제품)"/>
      <sheetName val="고합"/>
      <sheetName val="220 (2)"/>
      <sheetName val="1급갑"/>
      <sheetName val="3.일반사상"/>
      <sheetName val="CF_RE type"/>
      <sheetName val="CASH"/>
      <sheetName val="0103"/>
      <sheetName val="TOWER 12TON"/>
      <sheetName val="TOWER 10TON"/>
      <sheetName val="JIB CRANE,HOIST"/>
      <sheetName val="개산공사비"/>
      <sheetName val="과장"/>
      <sheetName val="외출포항"/>
      <sheetName val="FA-LISTING"/>
      <sheetName val="Ref Filed"/>
      <sheetName val="Setup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SUB (N)"/>
      <sheetName val="절감항_x0000_"/>
      <sheetName val="절감항밀"/>
      <sheetName val="1안98Billing"/>
      <sheetName val="Purchasing"/>
      <sheetName val="Business Plan"/>
      <sheetName val="첨부5"/>
      <sheetName val="Voreinstellungen"/>
      <sheetName val="2181.91(Ex-pat)"/>
      <sheetName val="2150.2(Equip-oth)"/>
      <sheetName val="원가"/>
      <sheetName val="보유어음"/>
      <sheetName val="정산내역"/>
      <sheetName val="CCC"/>
      <sheetName val="원가투입계획('15.06~12)_봉"/>
      <sheetName val="商品"/>
      <sheetName val="PI"/>
      <sheetName val="1-6(반품내역)"/>
      <sheetName val="자금실적(신발)"/>
      <sheetName val="Ctrl"/>
      <sheetName val="기간부서"/>
      <sheetName val="JT3.0견적-구1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IM0711"/>
      <sheetName val="아파트진행률"/>
      <sheetName val="경영지표"/>
      <sheetName val="표지"/>
      <sheetName val="실사"/>
      <sheetName val="저속"/>
      <sheetName val="현금및현금등가물"/>
      <sheetName val="Drop down 참고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계"/>
      <sheetName val="hierarchy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참고"/>
      <sheetName val="8.월별판관비"/>
      <sheetName val="0.1keyAssumption"/>
      <sheetName val="손익합산"/>
      <sheetName val="치약_v011؃栳蠀"/>
      <sheetName val="판가반영"/>
      <sheetName val="예금현황"/>
      <sheetName val="Margins"/>
      <sheetName val="2000년 충당금자료"/>
      <sheetName val="OtherKPI"/>
      <sheetName val="매  출"/>
      <sheetName val="채권 현황"/>
      <sheetName val="U"/>
      <sheetName val="금관"/>
      <sheetName val="경주"/>
      <sheetName val="백화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99계획대비실적"/>
      <sheetName val="갈현동"/>
      <sheetName val="구미2월"/>
      <sheetName val="안양2월"/>
      <sheetName val="경비"/>
      <sheetName val="2001Org"/>
      <sheetName val="BS(4)"/>
      <sheetName val="경제성분석"/>
      <sheetName val="文字"/>
      <sheetName val="Summary - Budget"/>
      <sheetName val="Chi tiet"/>
      <sheetName val="1월실적"/>
      <sheetName val="잉여금처분"/>
      <sheetName val="CFS"/>
      <sheetName val="C1551-1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식음료"/>
      <sheetName val="INDIA-ML"/>
      <sheetName val="YOUNGSU"/>
      <sheetName val="제조경비"/>
      <sheetName val="총"/>
      <sheetName val="윤영환"/>
      <sheetName val="경비분류(1)"/>
      <sheetName val="Revised PEGS98"/>
      <sheetName val="3_부점발견재산"/>
      <sheetName val="6_공사부점손익"/>
      <sheetName val="5_공사손익실적"/>
      <sheetName val="to_do"/>
      <sheetName val="식초"/>
      <sheetName val="년도별매출손익"/>
      <sheetName val="97품목별"/>
      <sheetName val="카라멜"/>
      <sheetName val="물엿"/>
      <sheetName val="쌀엿"/>
      <sheetName val="당면"/>
      <sheetName val="장비가동"/>
      <sheetName val="5"/>
      <sheetName val="Set-up"/>
      <sheetName val="전용선 (2)"/>
      <sheetName val="기준"/>
      <sheetName val="参数表"/>
      <sheetName val="MNT 개발계획_최종"/>
      <sheetName val="master"/>
      <sheetName val="short term loan"/>
      <sheetName val="Tax Category"/>
      <sheetName val="Acct Group"/>
      <sheetName val="기본정보입력"/>
      <sheetName val="1월실적屨ʨ§"/>
      <sheetName val="고정희"/>
      <sheetName val="가격합의서"/>
      <sheetName val="2013년12월~2014년4월 수불내역"/>
      <sheetName val="Input"/>
      <sheetName val="Comps"/>
      <sheetName val="1. Exercised"/>
      <sheetName val="Pref B"/>
      <sheetName val="Rollforward to Final"/>
      <sheetName val="Tickmarks"/>
      <sheetName val="VB_2"/>
      <sheetName val="108_수선비2"/>
      <sheetName val="원가계산_(2)2"/>
      <sheetName val="붙임2-1__지급조서명세서(2001년분)1"/>
      <sheetName val="중부사업담당_1-11월_원가3"/>
      <sheetName val="Office_only_Letup1"/>
      <sheetName val="0_0ControlSheet1"/>
      <sheetName val="공항,제주_판매율_분석1"/>
      <sheetName val="2_지분법적용주식Leadsheet(회사제시)1"/>
      <sheetName val="US_Revenue_(2)1"/>
      <sheetName val="01_12月_Lot별_판매실적_xls1"/>
      <sheetName val="Industry_Indices1"/>
      <sheetName val="현금흐름표_근거자료1"/>
      <sheetName val="Sheet1_(2)"/>
      <sheetName val="Item_LIST"/>
      <sheetName val="Volume_LIST"/>
      <sheetName val="값목록(Do_not_touch)"/>
      <sheetName val="5층_건축물대장_등기_예정1"/>
      <sheetName val="층별면적표-060411-5층_통합1"/>
      <sheetName val="45,46"/>
      <sheetName val="보험료"/>
      <sheetName val="상반기손익차2총괄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수원공사비"/>
      <sheetName val="세부"/>
      <sheetName val="종합판"/>
      <sheetName val="제조원가종합"/>
      <sheetName val="분당연립분양원가A"/>
      <sheetName val="95하U$가격"/>
      <sheetName val="코드정보"/>
      <sheetName val="결재용"/>
      <sheetName val="회수내역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판매파열품비"/>
      <sheetName val="Forecast"/>
      <sheetName val="GADJETGURU"/>
      <sheetName val="Feeds"/>
      <sheetName val="PetaSite"/>
      <sheetName val="Hardware"/>
      <sheetName val="Controls"/>
      <sheetName val="업무연락"/>
      <sheetName val="오음명부"/>
      <sheetName val="모델별"/>
      <sheetName val="주소작성"/>
      <sheetName val="기본"/>
      <sheetName val="ASALTOTA"/>
      <sheetName val="수불명세서"/>
      <sheetName val="재무상태변동표"/>
      <sheetName val="調整"/>
      <sheetName val="火災保険契約明細"/>
      <sheetName val="Index(변경금지)"/>
      <sheetName val="입력값(공통)"/>
      <sheetName val="datasht"/>
      <sheetName val="0.Data"/>
      <sheetName val="13역무손익"/>
      <sheetName val="적시입고율"/>
      <sheetName val="부재료Aging"/>
      <sheetName val="0408물류수불부"/>
      <sheetName val="SSMITM"/>
      <sheetName val="General"/>
      <sheetName val="Target3_1912"/>
      <sheetName val="RECON"/>
      <sheetName val="주요재무비율"/>
      <sheetName val="전산품의"/>
      <sheetName val="비교대차(완)"/>
      <sheetName val="144"/>
      <sheetName val="시산표(창원)"/>
      <sheetName val="dc"/>
      <sheetName val="보증금_전신전화가입권_"/>
      <sheetName val="1-7(재가공내역)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Исходная база сентябрь"/>
      <sheetName val="5- МЫ"/>
      <sheetName val="10매출"/>
      <sheetName val="입장객세부추정,계획안"/>
      <sheetName val="1월실적Ř⒠_x0000__x0000_"/>
      <sheetName val="구분정보"/>
      <sheetName val="LEAD_SHEET_(K상각후회수율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Business_Plan"/>
      <sheetName val="Cons_Total_company"/>
      <sheetName val="FL'G_WT_"/>
      <sheetName val="수금_"/>
      <sheetName val="1_능률현황"/>
      <sheetName val="2_호선별예상실적"/>
      <sheetName val="Korea_Sign-Internal"/>
      <sheetName val="IS"/>
      <sheetName val="97사업"/>
      <sheetName val="리드14"/>
      <sheetName val="95감가상각"/>
      <sheetName val="사할차금"/>
      <sheetName val="10월일보"/>
      <sheetName val="SIMULATION"/>
      <sheetName val="할인율"/>
      <sheetName val="支社"/>
      <sheetName val="検針結果"/>
      <sheetName val="자금동향"/>
      <sheetName val="Validation"/>
      <sheetName val="装"/>
      <sheetName val="TB_R3"/>
      <sheetName val="예수금"/>
      <sheetName val="Site Expenses"/>
      <sheetName val="PD-기여도"/>
      <sheetName val="for 회수"/>
      <sheetName val="调整分录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[_x0000__x0000__x0000__x0000__x0000__x0000__x0000__x0000__x0000__x0000__x0000__x0000__x0000__x0000_"/>
      <sheetName val="(9차)(본드합포)"/>
      <sheetName val="주요품목수불(반기)"/>
      <sheetName val="매출원가"/>
      <sheetName val="반도체요약"/>
      <sheetName val="품셈표"/>
      <sheetName val="손익계산서(SJ)"/>
      <sheetName val="선비명세2"/>
      <sheetName val="등록정보"/>
      <sheetName val="A 8-7-1 중요계정파악"/>
      <sheetName val="품목별 판매량"/>
      <sheetName val="시산9812"/>
      <sheetName val="카테고리별 상세"/>
      <sheetName val="1월 1주차 PV"/>
      <sheetName val="Raw"/>
      <sheetName val="2019년_세부자료_(입력할_시트)"/>
      <sheetName val="2019년보험요율_(입력할_시트)"/>
      <sheetName val="별표 "/>
      <sheetName val="mwo원자재"/>
      <sheetName val="분당임차변경"/>
      <sheetName val="기본사항"/>
      <sheetName val="제품코드"/>
      <sheetName val="병"/>
      <sheetName val="분석적검토 BS"/>
      <sheetName val="dev"/>
      <sheetName val="인상안"/>
      <sheetName val="參數-勿刪除"/>
      <sheetName val="公債轉出帳戶"/>
      <sheetName val="會計師姓名"/>
      <sheetName val="품목별LOT"/>
      <sheetName val="정비활동_수선비 절감"/>
      <sheetName val="3.5 Inch 가동 효율"/>
      <sheetName val="2.5 Inch 가동 효율"/>
      <sheetName val="문제점"/>
      <sheetName val="미비용95"/>
      <sheetName val="선급법인세"/>
      <sheetName val="부문99-2"/>
      <sheetName val="비교99-00"/>
      <sheetName val="장부"/>
      <sheetName val="지불방법"/>
      <sheetName val="BPCARD"/>
      <sheetName val="Sheet1 (11)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설계명세"/>
      <sheetName val="미생뭘(전의)-11월"/>
      <sheetName val="1차 내역서"/>
      <sheetName val="도급FORM"/>
      <sheetName val="을지"/>
      <sheetName val="APT"/>
      <sheetName val="총괄갑 "/>
      <sheetName val="해외출자현황(원본틀)"/>
      <sheetName val="LUK."/>
      <sheetName val="정비활동_수선비_절감"/>
      <sheetName val="3_5_Inch_가동_효율"/>
      <sheetName val="2_5_Inch_가동_효율"/>
      <sheetName val="Allo"/>
      <sheetName val="정산내역서"/>
      <sheetName val="계통도"/>
      <sheetName val="자재"/>
      <sheetName val="개선안2"/>
      <sheetName val="개선안4"/>
      <sheetName val="배경"/>
      <sheetName val="목적"/>
      <sheetName val="시실누(모) "/>
      <sheetName val="기말참고사항"/>
      <sheetName val="Dialog1"/>
      <sheetName val="Module1"/>
      <sheetName val="作成年月指定"/>
      <sheetName val="【OBIC7】運用費用配分内訳"/>
      <sheetName val="3.운반"/>
      <sheetName val="0. 간접공사비"/>
      <sheetName val="3.공통공사대비"/>
      <sheetName val="ROYALTY"/>
      <sheetName val="업체별"/>
      <sheetName val="Æo°¡±aAØ"/>
      <sheetName val="구성비"/>
      <sheetName val="980731"/>
      <sheetName val="부서매칭(210809)"/>
      <sheetName val="토목본부"/>
      <sheetName val="타본부토목직"/>
      <sheetName val="토목직서열순"/>
      <sheetName val="M1master"/>
      <sheetName val="AGR070총누계"/>
      <sheetName val="사업소득자세수추계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1공장_재공품생_x0000_ˣ렠"/>
      <sheetName val="(주)LG화학_99교보회신"/>
      <sheetName val="DropDownList"/>
      <sheetName val="(주)한국메티슨특수가스"/>
      <sheetName val="Dropdown"/>
      <sheetName val="금액내역서"/>
      <sheetName val="조직별 인원현황"/>
      <sheetName val="부서_계정"/>
      <sheetName val="기초정보"/>
      <sheetName val="절대지우지말것"/>
      <sheetName val="F456"/>
      <sheetName val="처분TEST"/>
      <sheetName val="1.외주공사"/>
      <sheetName val="2.직영공사"/>
      <sheetName val="캡쳐2"/>
      <sheetName val="성과급"/>
      <sheetName val="선급비용내역서"/>
      <sheetName val="공용"/>
      <sheetName val="안산기계장치"/>
      <sheetName val="Drop_down_참고"/>
      <sheetName val="JT3_0견적-구1"/>
      <sheetName val="기타선비"/>
      <sheetName val="치적유지비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보관문서목록표_기획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Parameter"/>
      <sheetName val="1)101-E"/>
      <sheetName val="원본(약정외-비율외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정비활동_수선비_절감3"/>
      <sheetName val="3_5_Inch_가동_효율3"/>
      <sheetName val="2_5_Inch_가동_효율3"/>
      <sheetName val="00_08계정2"/>
      <sheetName val="중장기_외화자금_보정명세(PBC)2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완성차_미수금5"/>
      <sheetName val="10_315"/>
      <sheetName val="정비활동_수선비_절감4"/>
      <sheetName val="3_5_Inch_가동_효율4"/>
      <sheetName val="2_5_Inch_가동_효율4"/>
      <sheetName val="외상매출금현황-수정분_A25"/>
      <sheetName val="계수원본(99_2_28)5"/>
      <sheetName val="YTD_Sales(0411)5"/>
      <sheetName val="매출_물동명세5"/>
      <sheetName val="Net_PL(세분류)4"/>
      <sheetName val="Cash_Flow4"/>
      <sheetName val="3_판관비명세서4"/>
      <sheetName val="1월실적_(2)4"/>
      <sheetName val="장할생활_(2)4"/>
      <sheetName val="아파트_기성내역서4"/>
      <sheetName val="증감분석_및_연결조정4"/>
      <sheetName val="2_대외공문4"/>
      <sheetName val="업무분장_4"/>
      <sheetName val="매출채권_및_담보비율_변동4"/>
      <sheetName val="1공장_재공품생산현황4"/>
      <sheetName val="11_17-11_234"/>
      <sheetName val="11_24-11_304"/>
      <sheetName val="2_상각보정명세4"/>
      <sheetName val="받을어음할인및_융통어음4"/>
      <sheetName val="비교원가제출_고4"/>
      <sheetName val="퇴직급여충당금12_314"/>
      <sheetName val="화섬_MDP4"/>
      <sheetName val="입력_판매3"/>
      <sheetName val="입력_인원3"/>
      <sheetName val="2_Critical_Component_Estimatio3"/>
      <sheetName val="아울렛_농산벤더3"/>
      <sheetName val="00_08계정3"/>
      <sheetName val="경영비율_3"/>
      <sheetName val="#2_BSPL3"/>
      <sheetName val="퇴직충당금(3_31)(국문)3"/>
      <sheetName val="매출액(명)_3"/>
      <sheetName val="118_세금과공과3"/>
      <sheetName val="control_sheet3"/>
      <sheetName val="VB_3"/>
      <sheetName val="중장기_외화자금_보정명세(PBC)3"/>
      <sheetName val="POS_(2)3"/>
      <sheetName val="05_1Q3"/>
      <sheetName val="산업은행_경영지표3"/>
      <sheetName val="unit_43"/>
      <sheetName val="내역서_(2)3"/>
      <sheetName val="INCOME_STATEMENT3"/>
      <sheetName val="Ref_Filed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의뢰건_(2)5"/>
      <sheetName val="5_소재5"/>
      <sheetName val="Dólar_Observado5"/>
      <sheetName val="대차대조표12_015"/>
      <sheetName val="4-1__매출원가_손익계획_집계표5"/>
      <sheetName val="퇴직급여충당금12_316"/>
      <sheetName val="4_2유효폭의_계산5"/>
      <sheetName val="1_MDF1공장5"/>
      <sheetName val="CT_재공품생산현황5"/>
      <sheetName val="화섬_MDP6"/>
      <sheetName val="25_보증금(임차보증금외)5"/>
      <sheetName val="24_보증금(전신전화가입권)5"/>
      <sheetName val="비용_배부후5"/>
      <sheetName val="입력_판매5"/>
      <sheetName val="입력_인원5"/>
      <sheetName val="2_Critical_Component_Estimatio5"/>
      <sheetName val="Reference_(변경)5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관계회사거래내역및_채권채무잔액_993"/>
      <sheetName val="Team_종합3"/>
      <sheetName val="에뛰드_내부관리가3"/>
      <sheetName val="Packaging_cost_Back_Data3"/>
      <sheetName val="현지법인_대손설정3"/>
      <sheetName val="원가계산_(2)4"/>
      <sheetName val="현금_및_예치금Lead3"/>
      <sheetName val="현금및예치금_명세서3"/>
      <sheetName val="유첨3_적용기준3"/>
      <sheetName val="업체손실공수_xls3"/>
      <sheetName val="108_수선비4"/>
      <sheetName val="General_Inputs3"/>
      <sheetName val="CGC_Inputs3"/>
      <sheetName val="Office_only_Letup3"/>
      <sheetName val="sap`04_7_143"/>
      <sheetName val="13_보증금(전신전화가입권)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99_7월_당월회수_실적2"/>
      <sheetName val="US_Revenue_(2)3"/>
      <sheetName val="LEAD_SHEET_(K상각후회수율)2"/>
      <sheetName val="2_지분법적용주식Leadsheet(회사제시)2"/>
      <sheetName val="년간_자금계획(90일_적용)2"/>
      <sheetName val="서비스별_매출추이2"/>
      <sheetName val="참고__카본단가_비교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7__2_2"/>
      <sheetName val="Bank_charge2"/>
      <sheetName val="AQL(0_65)2"/>
      <sheetName val="U3_12"/>
      <sheetName val="GEN_Inputs2"/>
      <sheetName val="表03_2"/>
      <sheetName val="DIVP_L_19982"/>
      <sheetName val="제품L_D_2"/>
      <sheetName val="TO_DO2"/>
      <sheetName val="CC_Down_load_07162"/>
      <sheetName val="CF_RE_type2"/>
      <sheetName val="Ref_Filed2"/>
      <sheetName val="220_(2)2"/>
      <sheetName val="3_일반사상2"/>
      <sheetName val="S1_1총괄2"/>
      <sheetName val="1_능률현황2"/>
      <sheetName val="2_호선별예상실적2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완성차_미수금6"/>
      <sheetName val="10_316"/>
      <sheetName val="정비활동_수선비_절감5"/>
      <sheetName val="3_5_Inch_가동_효율5"/>
      <sheetName val="2_5_Inch_가동_효율5"/>
      <sheetName val="외상매출금현황-수정분_A26"/>
      <sheetName val="계수원본(99_2_28)6"/>
      <sheetName val="YTD_Sales(0411)6"/>
      <sheetName val="매출_물동명세6"/>
      <sheetName val="Net_PL(세분류)5"/>
      <sheetName val="Cash_Flow5"/>
      <sheetName val="3_판관비명세서5"/>
      <sheetName val="1월실적_(2)5"/>
      <sheetName val="장할생활_(2)5"/>
      <sheetName val="아파트_기성내역서5"/>
      <sheetName val="증감분석_및_연결조정5"/>
      <sheetName val="2_대외공문5"/>
      <sheetName val="업무분장_5"/>
      <sheetName val="매출채권_및_담보비율_변동5"/>
      <sheetName val="1공장_재공품생산현황5"/>
      <sheetName val="11_17-11_235"/>
      <sheetName val="11_24-11_305"/>
      <sheetName val="2_상각보정명세5"/>
      <sheetName val="받을어음할인및_융통어음5"/>
      <sheetName val="비교원가제출_고5"/>
      <sheetName val="의뢰건_(2)4"/>
      <sheetName val="5_소재4"/>
      <sheetName val="Dólar_Observado4"/>
      <sheetName val="대차대조표12_014"/>
      <sheetName val="4-1__매출원가_손익계획_집계표4"/>
      <sheetName val="퇴직급여충당금12_315"/>
      <sheetName val="4_2유효폭의_계산4"/>
      <sheetName val="1_MDF1공장4"/>
      <sheetName val="CT_재공품생산현황4"/>
      <sheetName val="화섬_MDP5"/>
      <sheetName val="25_보증금(임차보증금외)4"/>
      <sheetName val="24_보증금(전신전화가입권)4"/>
      <sheetName val="비용_배부후4"/>
      <sheetName val="입력_판매4"/>
      <sheetName val="입력_인원4"/>
      <sheetName val="2_Critical_Component_Estimatio4"/>
      <sheetName val="Reference_(변경)4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아울렛_농산벤더4"/>
      <sheetName val="00_08계정4"/>
      <sheetName val="경영비율_4"/>
      <sheetName val="#2_BSPL4"/>
      <sheetName val="퇴직충당금(3_31)(국문)4"/>
      <sheetName val="매출액(명)_4"/>
      <sheetName val="118_세금과공과4"/>
      <sheetName val="control_sheet4"/>
      <sheetName val="VB_4"/>
      <sheetName val="중장기_외화자금_보정명세(PBC)4"/>
      <sheetName val="POS_(2)4"/>
      <sheetName val="05_1Q4"/>
      <sheetName val="산업은행_경영지표4"/>
      <sheetName val="unit_44"/>
      <sheetName val="내역서_(2)4"/>
      <sheetName val="INCOME_STATEMENT4"/>
      <sheetName val="에뛰드_내부관리가2"/>
      <sheetName val="Packaging_cost_Back_Data2"/>
      <sheetName val="원가계산_(2)3"/>
      <sheetName val="유첨3_적용기준2"/>
      <sheetName val="업체손실공수_xls2"/>
      <sheetName val="108_수선비3"/>
      <sheetName val="General_Inputs2"/>
      <sheetName val="CGC_Inputs2"/>
      <sheetName val="Office_only_Letup2"/>
      <sheetName val="sap`04_7_142"/>
      <sheetName val="13_보증금(전신전화가입권)2"/>
      <sheetName val="붙임2-1__지급조서명세서(2001년분)2"/>
      <sheetName val="중부사업담당_1-11월_원가4"/>
      <sheetName val="0_0ControlSheet2"/>
      <sheetName val="현금흐름표_근거자료2"/>
      <sheetName val="01_12月_Lot별_판매실적_xls2"/>
      <sheetName val="Industry_Indices2"/>
      <sheetName val="공항,제주_판매율_분석2"/>
      <sheetName val="값목록(Do_not_touch)1"/>
      <sheetName val="Item_LIST1"/>
      <sheetName val="Volume_LIST1"/>
      <sheetName val="99_7월_당월회수_실적1"/>
      <sheetName val="US_Revenue_(2)2"/>
      <sheetName val="LEAD_SHEET_(K상각후회수율)1"/>
      <sheetName val="서비스별_매출추이1"/>
      <sheetName val="수입검사현황_Rev11"/>
      <sheetName val="7_3_DY팀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Sheet1_(2)1"/>
      <sheetName val="DATA_입력란1"/>
      <sheetName val="1__설계조건_2_단면가정_3__하중계산1"/>
      <sheetName val="7__2_1"/>
      <sheetName val="Bank_charge1"/>
      <sheetName val="AQL(0_65)1"/>
      <sheetName val="U3_11"/>
      <sheetName val="GEN_Inputs1"/>
      <sheetName val="表03_1"/>
      <sheetName val="DIVP_L_19981"/>
      <sheetName val="제품L_D_1"/>
      <sheetName val="TO_DO1"/>
      <sheetName val="CF_RE_type1"/>
      <sheetName val="Ref_Filed1"/>
      <sheetName val="220_(2)1"/>
      <sheetName val="3_일반사상1"/>
      <sheetName val="S1_1총괄1"/>
      <sheetName val="1_능률현황1"/>
      <sheetName val="2_호선별예상실적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관계회사거래내역및_채권채무잔액_994"/>
      <sheetName val="Team_종합4"/>
      <sheetName val="에뛰드_내부관리가4"/>
      <sheetName val="Packaging_cost_Back_Data4"/>
      <sheetName val="현지법인_대손설정4"/>
      <sheetName val="원가계산_(2)5"/>
      <sheetName val="현금_및_예치금Lead4"/>
      <sheetName val="현금및예치금_명세서4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년간_자금계획(90일_적용)3"/>
      <sheetName val="서비스별_매출추이3"/>
      <sheetName val="참고__카본단가_비교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C_Down_load_0716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7_(2)"/>
      <sheetName val="5_공종별예산내역서"/>
      <sheetName val="SH_R설치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7_(2)1"/>
      <sheetName val="2181_91(Ex-pat)1"/>
      <sheetName val="2150_2(Equip-oth)1"/>
      <sheetName val="5_공종별예산내역서1"/>
      <sheetName val="SH_R설치1"/>
      <sheetName val="Business_Plan1"/>
      <sheetName val="Korea_Sign-Internal1"/>
      <sheetName val="FY00_OP3rdPrty1"/>
      <sheetName val="Q3_actuals1"/>
      <sheetName val="0307_Q3Update1"/>
      <sheetName val="3_부점발견재산1"/>
      <sheetName val="6_공사부점손익1"/>
      <sheetName val="5_공사손익실적1"/>
      <sheetName val="Cons_Total_company1"/>
      <sheetName val="FL'G_WT_1"/>
      <sheetName val="수금_1"/>
      <sheetName val="이익처분"/>
      <sheetName val="대비표(토공1안)"/>
      <sheetName val="관리"/>
      <sheetName val="1,2공구원가계산서"/>
      <sheetName val="1공구산출내역서"/>
      <sheetName val="식재인부"/>
      <sheetName val="가공"/>
      <sheetName val="영업2"/>
      <sheetName val="협조전"/>
      <sheetName val="감가상각비(2002)"/>
      <sheetName val="조회총괄"/>
      <sheetName val="장외on2"/>
      <sheetName val="Gen Assumptions"/>
      <sheetName val="Admin(Acqusition) 2009 GMC"/>
      <sheetName val="NPV - New Plant"/>
      <sheetName val="NPV"/>
      <sheetName val="company_operations"/>
      <sheetName val="Summary_-_Budget"/>
      <sheetName val="Chi_tiet"/>
      <sheetName val="5客诉对比_(2)"/>
      <sheetName val="比较_(2)"/>
      <sheetName val="원가투입계획('15_06~12)_봉"/>
      <sheetName val="2002년_교육출장비"/>
      <sheetName val="8_월별판관비"/>
      <sheetName val="0_1keyAssumption"/>
      <sheetName val="재고_"/>
      <sheetName val="2000년_충당금자료"/>
      <sheetName val="매__출"/>
      <sheetName val="채권_현황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원료_CODE3"/>
      <sheetName val="노방제,촉진제_단가추이3"/>
      <sheetName val="FY00_OP3rdPrty2"/>
      <sheetName val="Q3_actuals2"/>
      <sheetName val="0307_Q3Update2"/>
      <sheetName val="5客诉对比_(2)1"/>
      <sheetName val="比较_(2)1"/>
      <sheetName val="LOT_이상품_조치_이력2"/>
      <sheetName val="재고_1"/>
      <sheetName val="7월_생산,자공정_불량_현황1"/>
      <sheetName val="8월_매출수주1"/>
      <sheetName val="2019년_세부자료_(입력할_시트)1"/>
      <sheetName val="2019년보험요율_(입력할_시트)1"/>
      <sheetName val="차체부품_INS_REPORT(갑)2"/>
      <sheetName val="날개수량1_52"/>
      <sheetName val="설_계2"/>
      <sheetName val="소송대라상_현장2"/>
      <sheetName val="원료_CODE2"/>
      <sheetName val="노방제,촉진제_단가추이2"/>
      <sheetName val="LOT_이상품_조치_이력1"/>
      <sheetName val="7월_생산,자공정_불량_현황"/>
      <sheetName val="8월_매출수주"/>
      <sheetName val="차체부품_INS_REPORT(갑)1"/>
      <sheetName val="날개수량1_51"/>
      <sheetName val="설_계1"/>
      <sheetName val="소송대라상_현장1"/>
      <sheetName val="코드관리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폼관조직"/>
      <sheetName val="Cash_xdfcc_­藘☯̀"/>
      <sheetName val="Cash_xdf98_1嘈Ɐ跀"/>
      <sheetName val="Cash糑s둘⑥뛀"/>
      <sheetName val="Revenues"/>
      <sheetName val="영업외손"/>
      <sheetName val="일반관리"/>
      <sheetName val="특별손익"/>
      <sheetName val="VXXXXXX"/>
      <sheetName val="개발"/>
      <sheetName val="이천유선"/>
      <sheetName val="안성유선"/>
      <sheetName val="현예금등"/>
      <sheetName val="现金和银行"/>
      <sheetName val="P9"/>
      <sheetName val="CQFMA"/>
      <sheetName val="Variables"/>
      <sheetName val="피벗테이블"/>
      <sheetName val="Container항차정리"/>
      <sheetName val="전환분개"/>
      <sheetName val="목표대비실적(R)"/>
      <sheetName val="기초급"/>
      <sheetName val="직능급"/>
      <sheetName val="감가상각명세서(1)"/>
      <sheetName val="결산용"/>
      <sheetName val="유가증권"/>
      <sheetName val="JT3_0견적-구11"/>
      <sheetName val="원가투입계획('15_06~12)_봉1"/>
      <sheetName val="3_부점발견재산2"/>
      <sheetName val="6_공사부점손익2"/>
      <sheetName val="5_공사손익실적2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Drop_down_참고1"/>
      <sheetName val="8_월별판관비1"/>
      <sheetName val="0_1keyAssumption1"/>
      <sheetName val="보관문서목록표_기획1"/>
      <sheetName val="2002년_교육출장비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MNT_개발계획_최종1"/>
      <sheetName val="short_term_loan1"/>
      <sheetName val="Tax_Category1"/>
      <sheetName val="Acct_Group1"/>
      <sheetName val="Revised_PEGS981"/>
      <sheetName val="Исходная_база_сентябрь"/>
      <sheetName val="5-_МЫ"/>
      <sheetName val="Main_Assumptions1"/>
      <sheetName val="Revenue_Assumptions1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SUB_(N)"/>
      <sheetName val="MNT_개발계획_최종"/>
      <sheetName val="short_term_loan"/>
      <sheetName val="Tax_Category"/>
      <sheetName val="Acct_Group"/>
      <sheetName val="Revised_PEGS98"/>
      <sheetName val="XLR_NoRangeSheet"/>
      <sheetName val="Detail"/>
      <sheetName val="LUK_"/>
      <sheetName val="통계자료"/>
      <sheetName val="comp."/>
      <sheetName val="구분목록"/>
      <sheetName val="8340"/>
      <sheetName val="기준원단위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Reconciliation"/>
      <sheetName val="LC Supports"/>
      <sheetName val="Form 18-12"/>
      <sheetName val="형명분류 신구비교"/>
      <sheetName val="월달력"/>
      <sheetName val="CR CODE"/>
      <sheetName val="OPT손익 수출"/>
      <sheetName val="제안대장(전체)"/>
      <sheetName val="98달력"/>
      <sheetName val="치약_v011_x005f_x0000_츀"/>
      <sheetName val="1월실적_x005f_x0000_jĨ˒"/>
      <sheetName val="1월실적_x005f_x0000__x005f_x0000__x005f_x0005__x0000"/>
      <sheetName val="Parameter 2 Projektbasisdaten"/>
      <sheetName val="2. 별첨 HC Detail(입퇴사)"/>
      <sheetName val="ｴｱﾃﾞｨｽｸ"/>
      <sheetName val="1공장_재공품생糑,꣸"/>
      <sheetName val="96 FW 기획, 진행 현황"/>
      <sheetName val="группа"/>
      <sheetName val="하_고과(결과)"/>
      <sheetName val="년도별개발"/>
      <sheetName val="Publishing Plan(Edit)"/>
      <sheetName val="FSS TB summary Report"/>
      <sheetName val="유형자산LEAD"/>
      <sheetName val="TEMP2"/>
      <sheetName val="TEMP1"/>
      <sheetName val="출금실적"/>
      <sheetName val="월별비교제조원가명세서"/>
      <sheetName val="단기차입금"/>
      <sheetName val="선수"/>
      <sheetName val="목표세부명세"/>
      <sheetName val="REOE판매실적"/>
      <sheetName val="예총"/>
      <sheetName val="실행예산 명세표"/>
      <sheetName val="실행예산_명세표"/>
      <sheetName val="단가표"/>
      <sheetName val="财务费用明细表"/>
      <sheetName val="长期待摊费用明细表"/>
      <sheetName val="감가상각비 배부"/>
      <sheetName val="目录"/>
      <sheetName val="재무가정"/>
      <sheetName val="Cashflow(Scenario)"/>
      <sheetName val="일반사항"/>
      <sheetName val="WP Index"/>
      <sheetName val="2111"/>
      <sheetName val="2112"/>
      <sheetName val="2710"/>
      <sheetName val="7600"/>
      <sheetName val="7610"/>
      <sheetName val="8700"/>
      <sheetName val="FP"/>
      <sheetName val="CE"/>
      <sheetName val="CF"/>
      <sheetName val="RE"/>
      <sheetName val="1__Exercised"/>
      <sheetName val="Pref_B"/>
      <sheetName val="제조원가계산서_(2)"/>
      <sheetName val="7_예수금이자,연체자금투입비용"/>
      <sheetName val="기계장치_(2)"/>
      <sheetName val="10월_급여"/>
      <sheetName val="신용카드(상각_고재균_활동_고재균)"/>
      <sheetName val="신용카드(상각_이상인_활동_이상인)"/>
      <sheetName val="대환론(상각_이상인_활동_이상인)"/>
      <sheetName val="일반론(상각_이상인_활동_이상인)"/>
      <sheetName val="1995년_섹터별_매출"/>
      <sheetName val="Rollforward_to_Final"/>
      <sheetName val="Site_Expenses"/>
      <sheetName val="for_회수"/>
      <sheetName val="건물_상각비"/>
      <sheetName val="전력_연료"/>
      <sheetName val="CT_190527"/>
      <sheetName val="DMAW_유상샘플"/>
      <sheetName val="DMNB_20F"/>
      <sheetName val="YS1004_2700DE"/>
      <sheetName val="방오사3DE(STB)_유상샘플"/>
      <sheetName val="방오사3DE(STB)_CIF"/>
      <sheetName val="방오사3DE(STB)_DDP"/>
      <sheetName val="방오사6DE(STB)_CIF"/>
      <sheetName val="방오사6DE(STB)_DDP"/>
      <sheetName val="STB_20F"/>
      <sheetName val="Gen_Assumptions"/>
      <sheetName val="Admin(Acqusition)_2009_GMC"/>
      <sheetName val="NPV_-_New_Plant"/>
      <sheetName val="A_8-7-1_중요계정파악"/>
      <sheetName val="0_Data"/>
      <sheetName val="2013년12월~2014년4월_수불내역"/>
      <sheetName val="품목별_판매량"/>
      <sheetName val="전용선_(2)"/>
      <sheetName val="1_외주공사"/>
      <sheetName val="2_직영공사"/>
      <sheetName val="시실누(모)_"/>
      <sheetName val="1차_내역서"/>
      <sheetName val="총괄갑_"/>
      <sheetName val="수원_RAW_BT03(M292C)1"/>
      <sheetName val="Repayment_Summary"/>
      <sheetName val="average_price"/>
      <sheetName val="3_공통공사대비"/>
      <sheetName val="경영비율"/>
      <sheetName val="구분자"/>
      <sheetName val="Sheet2 (2)"/>
      <sheetName val="기준표"/>
      <sheetName val="최종보고1"/>
      <sheetName val="데이터"/>
      <sheetName val="지역별 업종검색 (2)"/>
      <sheetName val="_"/>
      <sheetName val="TBclosing"/>
      <sheetName val="원_VL"/>
      <sheetName val="MatchCode"/>
      <sheetName val="4-货币资金-现金"/>
      <sheetName val="첨"/>
      <sheetName val="truc tiep"/>
      <sheetName val="성보6"/>
      <sheetName val="단산"/>
      <sheetName val="일대"/>
      <sheetName val="1공장_재공품생"/>
      <sheetName val="간접경상비"/>
      <sheetName val="B7"/>
      <sheetName val="CSM"/>
      <sheetName val="inv-equity"/>
      <sheetName val="BBM-03"/>
      <sheetName val="pm"/>
      <sheetName val="KOR"/>
      <sheetName val="팀별손익"/>
      <sheetName val="실행예산_명세표1"/>
      <sheetName val="引用"/>
      <sheetName val="bal sheet"/>
      <sheetName val="반기_유가증권"/>
      <sheetName val="계조에 따른 특성"/>
      <sheetName val="조명시설"/>
      <sheetName val="일보.확정"/>
      <sheetName val="월보.확정"/>
      <sheetName val="조사번호"/>
      <sheetName val="2.조회처목록"/>
      <sheetName val="당월"/>
      <sheetName val="박지현"/>
      <sheetName val="비교(재무제표)"/>
      <sheetName val="회사개요"/>
      <sheetName val="상각율표"/>
      <sheetName val="3110-2"/>
      <sheetName val="인상효1"/>
      <sheetName val="사장단"/>
      <sheetName val="삼양사"/>
      <sheetName val="(참고) 리스크 맵"/>
      <sheetName val="카테고리별_상세"/>
      <sheetName val="1월_1주차_PV"/>
      <sheetName val="전문직"/>
      <sheetName val="인턴사원"/>
      <sheetName val="상정안건"/>
      <sheetName val="직노"/>
      <sheetName val="매출이익011h"/>
      <sheetName val="외주현황.wq1"/>
      <sheetName val="영업팀별 손익 예상"/>
      <sheetName val="상각률표"/>
      <sheetName val="BS10"/>
      <sheetName val="THEME CODE"/>
      <sheetName val="00건설추정대차대조표"/>
      <sheetName val="여신"/>
      <sheetName val="수신"/>
      <sheetName val="S-5"/>
      <sheetName val="입찰"/>
      <sheetName val="현경"/>
      <sheetName val="I一般比"/>
      <sheetName val="25_보증금_임차보증금외_"/>
      <sheetName val="합병BS"/>
      <sheetName val="가중평균 보통주식02"/>
      <sheetName val="가중평균 보통주식01"/>
      <sheetName val="주식배당"/>
      <sheetName val="score_sheet22"/>
      <sheetName val="공제사업score_sheet22"/>
      <sheetName val="법인세비용_계산22"/>
      <sheetName val="정관_및_회계규정22"/>
      <sheetName val="주요ISSUE_사항22"/>
      <sheetName val="완성차_미수금22"/>
      <sheetName val="외상매출금현황-수정분_A222"/>
      <sheetName val="2006_과표및세액조정계산서22"/>
      <sheetName val="받을어음할인및_융통어음21"/>
      <sheetName val="YTD_Sales(0411)22"/>
      <sheetName val="2_대외공문21"/>
      <sheetName val="계수원본(99_2_28)22"/>
      <sheetName val="10_3122"/>
      <sheetName val="매출_물동명세22"/>
      <sheetName val="Cash_Flow21"/>
      <sheetName val="Net_PL(세분류)21"/>
      <sheetName val="3_판관비명세서21"/>
      <sheetName val="아파트_기성내역서21"/>
      <sheetName val="장할생활_(2)21"/>
      <sheetName val="증감분석_및_연결조정21"/>
      <sheetName val="업무분장_21"/>
      <sheetName val="11_17-11_2321"/>
      <sheetName val="11_24-11_3021"/>
      <sheetName val="2_상각보정명세21"/>
      <sheetName val="1공장_재공품생산현황21"/>
      <sheetName val="매출채권_및_담보비율_변동21"/>
      <sheetName val="25_보증금(임차보증금외)20"/>
      <sheetName val="24_보증금(전신전화가입권)20"/>
      <sheetName val="1월실적_(2)21"/>
      <sheetName val="비교원가제출_고21"/>
      <sheetName val="4-1__매출원가_손익계획_집계표20"/>
      <sheetName val="퇴직급여충당금12_3121"/>
      <sheetName val="대차대조표12_0120"/>
      <sheetName val="화섬_MDP21"/>
      <sheetName val="비용_배부후20"/>
      <sheetName val="의뢰건_(2)20"/>
      <sheetName val="5_소재20"/>
      <sheetName val="4_2유효폭의_계산20"/>
      <sheetName val="Dólar_Observado20"/>
      <sheetName val="1_MDF1공장20"/>
      <sheetName val="VB_20"/>
      <sheetName val="Reference_(변경)20"/>
      <sheetName val="입력_판매20"/>
      <sheetName val="입력_인원20"/>
      <sheetName val="경영비율_20"/>
      <sheetName val="POS_(2)20"/>
      <sheetName val="05_1Q20"/>
      <sheetName val="매출액(명)_20"/>
      <sheetName val="#2_BSPL20"/>
      <sheetName val="산업은행_경영지표20"/>
      <sheetName val="아울렛_농산벤더20"/>
      <sheetName val="118_세금과공과20"/>
      <sheetName val="CT_재공품생산현황20"/>
      <sheetName val="경영계획_수립_참고자료_▶▶▶20"/>
      <sheetName val="사업부서_작성자료_▶▶▶20"/>
      <sheetName val="15년_손익_(GS신규Vision)_요약-연간비교장20"/>
      <sheetName val="15년_손익_(GS신규Vision)_요약-(간접비_포20"/>
      <sheetName val="15년_손익-GS신규Vision20"/>
      <sheetName val="매출_계획20"/>
      <sheetName val="매출계획_산출근거20"/>
      <sheetName val="재료비(율)_계획20"/>
      <sheetName val="재료비(율)_산출근거20"/>
      <sheetName val="인원인건비&amp;간접비_계획20"/>
      <sheetName val="감가상각비_계산20"/>
      <sheetName val="간접비_계획20"/>
      <sheetName val="Reference_(기존)20"/>
      <sheetName val="2014년_손익20"/>
      <sheetName val="15년_손익_(GDR_Rental사업)_요약-연간비교20"/>
      <sheetName val="15년_손익_(GDR_Rent사업)_요약-(간접비_포20"/>
      <sheetName val="15년_손익-GDR_Rental사업20"/>
      <sheetName val="매출&amp;재료비&amp;비용&amp;투자_산출근거20"/>
      <sheetName val="2_Critical_Component_Estimati20"/>
      <sheetName val="00_08계정20"/>
      <sheetName val="퇴직충당금(3_31)(국문)20"/>
      <sheetName val="control_sheet20"/>
      <sheetName val="unit_420"/>
      <sheetName val="내역서_(2)20"/>
      <sheetName val="INCOME_STATEMENT20"/>
      <sheetName val="관계회사거래내역및_채권채무잔액_9918"/>
      <sheetName val="Team_종합18"/>
      <sheetName val="에뛰드_내부관리가18"/>
      <sheetName val="원가계산_(2)19"/>
      <sheetName val="유첨3_적용기준18"/>
      <sheetName val="Packaging_cost_Back_Data18"/>
      <sheetName val="현지법인_대손설정18"/>
      <sheetName val="중장기_외화자금_보정명세(PBC)20"/>
      <sheetName val="현금_및_예치금Lead18"/>
      <sheetName val="현금및예치금_명세서18"/>
      <sheetName val="108_수선비19"/>
      <sheetName val="General_Inputs18"/>
      <sheetName val="CGC_Inputs18"/>
      <sheetName val="업체손실공수_xls18"/>
      <sheetName val="sap`04_7_1418"/>
      <sheetName val="13_보증금(전신전화가입권)18"/>
      <sheetName val="붙임2-1__지급조서명세서(2001년분)18"/>
      <sheetName val="Office_only_Letup18"/>
      <sheetName val="중부사업담당_1-11월_원가20"/>
      <sheetName val="0_0ControlSheet18"/>
      <sheetName val="US_Revenue_(2)18"/>
      <sheetName val="01_12月_Lot별_판매실적_xls18"/>
      <sheetName val="Industry_Indices18"/>
      <sheetName val="공항,제주_판매율_분석18"/>
      <sheetName val="현금흐름표_근거자료18"/>
      <sheetName val="Item_LIST17"/>
      <sheetName val="Volume_LIST17"/>
      <sheetName val="감사보고서_(날인X)_KEIT17"/>
      <sheetName val="감사보고서_(날인X)_KIAT17"/>
      <sheetName val="감사보고서_(날인X)_KETEP17"/>
      <sheetName val="재원별지출내역_(2)17"/>
      <sheetName val="연구시설·장비_및_재료비17"/>
      <sheetName val="세목별_사용내역조회17"/>
      <sheetName val="인건비_소요_명세17"/>
      <sheetName val="Sheet1_(2)17"/>
      <sheetName val="년간_자금계획(90일_적용)17"/>
      <sheetName val="서비스별_매출추이17"/>
      <sheetName val="GEN_Inputs17"/>
      <sheetName val="값목록(Do_not_touch)17"/>
      <sheetName val="99_7월_당월회수_실적17"/>
      <sheetName val="Bank_charge17"/>
      <sheetName val="7__2_17"/>
      <sheetName val="참고__카본단가_비교17"/>
      <sheetName val="LEAD_SHEET_(K상각후회수율)17"/>
      <sheetName val="수입검사현황_Rev117"/>
      <sheetName val="7_3_DY팀17"/>
      <sheetName val="DATA_입력란17"/>
      <sheetName val="1__설계조건_2_단면가정_3__하중계산17"/>
      <sheetName val="2_지분법적용주식Leadsheet(회사제시)17"/>
      <sheetName val="AQL(0_65)17"/>
      <sheetName val="U3_117"/>
      <sheetName val="表03_17"/>
      <sheetName val="DIVP_L_199817"/>
      <sheetName val="CF_RE_type17"/>
      <sheetName val="제품L_D_17"/>
      <sheetName val="220_(2)17"/>
      <sheetName val="3_일반사상17"/>
      <sheetName val="TO_DO17"/>
      <sheetName val="CC_Down_load_071617"/>
      <sheetName val="S1_1총괄17"/>
      <sheetName val="Ref_Filed17"/>
      <sheetName val="5客诉对比_(2)2"/>
      <sheetName val="比较_(2)2"/>
      <sheetName val="2181_91(Ex-pat)14"/>
      <sheetName val="2150_2(Equip-oth)14"/>
      <sheetName val="FY00_OP3rdPrty14"/>
      <sheetName val="Q3_actuals14"/>
      <sheetName val="0307_Q3Update14"/>
      <sheetName val="JT3_0견적-구12"/>
      <sheetName val="Main_Assumptions3"/>
      <sheetName val="Revenue_Assumptions3"/>
      <sheetName val="company_operations2"/>
      <sheetName val="1_능률현황17"/>
      <sheetName val="2_호선별예상실적17"/>
      <sheetName val="Business_Plan14"/>
      <sheetName val="5_공종별예산내역서14"/>
      <sheetName val="SH_R설치14"/>
      <sheetName val="Korea_Sign-Internal14"/>
      <sheetName val="Cons_Total_company14"/>
      <sheetName val="FL'G_WT_14"/>
      <sheetName val="수금_14"/>
      <sheetName val="5층_건축물대장_등기_예정3"/>
      <sheetName val="층별면적표-060411-5층_통합3"/>
      <sheetName val="Drop_down_참고2"/>
      <sheetName val="7_(2)14"/>
      <sheetName val="8_월별판관비2"/>
      <sheetName val="0_1keyAssumption2"/>
      <sheetName val="3_부점발견재산14"/>
      <sheetName val="6_공사부점손익14"/>
      <sheetName val="5_공사손익실적14"/>
      <sheetName val="원가투입계획('15_06~12)_봉2"/>
      <sheetName val="보관문서목록표_기획2"/>
      <sheetName val="2002년_교육출장비2"/>
      <sheetName val="MNT_개발계획_최종2"/>
      <sheetName val="short_term_loan2"/>
      <sheetName val="Tax_Category2"/>
      <sheetName val="Acct_Group2"/>
      <sheetName val="Summary_-_Budget2"/>
      <sheetName val="Chi_tiet2"/>
      <sheetName val="Исходная_база_сентябрь2"/>
      <sheetName val="5-_МЫ2"/>
      <sheetName val="2000년_충당금자료2"/>
      <sheetName val="매__출2"/>
      <sheetName val="채권_현황2"/>
      <sheetName val="TOWER_12TON2"/>
      <sheetName val="TOWER_10TON2"/>
      <sheetName val="JIB_CRANE,HOIST2"/>
      <sheetName val="재고_2"/>
      <sheetName val="8월_매출수주2"/>
      <sheetName val="SUB_(N)2"/>
      <sheetName val="2019년_세부자료_(입력할_시트)2"/>
      <sheetName val="2019년보험요율_(입력할_시트)2"/>
      <sheetName val="ADL_Val2"/>
      <sheetName val="ADL2_Val2"/>
      <sheetName val="ADL3_Val2"/>
      <sheetName val="ADL4_Val2"/>
      <sheetName val="ADL5_Val2"/>
      <sheetName val="ASO_II_Val2"/>
      <sheetName val="ASO_I_Val2"/>
      <sheetName val="ASO_I_Delaware_Val2"/>
      <sheetName val="GS_CK2"/>
      <sheetName val="ASO_I_Mauritius_Val2"/>
      <sheetName val="MDL_Val2"/>
      <sheetName val="Revised_PEGS982"/>
      <sheetName val="정비활동_수선비_절감21"/>
      <sheetName val="3_5_Inch_가동_효율21"/>
      <sheetName val="2_5_Inch_가동_효율21"/>
      <sheetName val="LUK_1"/>
      <sheetName val="3_운반"/>
      <sheetName val="0__간접공사비"/>
      <sheetName val="형명분류_신구비교"/>
      <sheetName val="CR_CODE"/>
      <sheetName val="OPT손익_수출"/>
      <sheetName val="Parameter_2_Projektbasisdaten"/>
      <sheetName val="2__별첨_HC_Detail(입퇴사)"/>
      <sheetName val="LC_Supports"/>
      <sheetName val="Form_18-12"/>
      <sheetName val="조직별_인원현황"/>
      <sheetName val="영업상황조사현황 (4)"/>
      <sheetName val="영업상황조사현황 (6)"/>
      <sheetName val="이매"/>
      <sheetName val="제조비용"/>
      <sheetName val="주소"/>
      <sheetName val="자재수불"/>
      <sheetName val="Revenue"/>
      <sheetName val="퇴직급여충당금"/>
      <sheetName val="안산선부동진행률"/>
      <sheetName val="4차 BW"/>
      <sheetName val="3차 BW"/>
      <sheetName val="당연"/>
      <sheetName val="OPT"/>
      <sheetName val="신개발(대전)"/>
      <sheetName val="Fan_Motor(가공비)"/>
      <sheetName val="시산956"/>
      <sheetName val="3084"/>
      <sheetName val="감가상각비 배부검토"/>
      <sheetName val="자재단가"/>
      <sheetName val="L"/>
      <sheetName val="Transaction"/>
      <sheetName val="data(04~08)"/>
      <sheetName val="03년3분기선급비용"/>
      <sheetName val="Report3"/>
      <sheetName val="NSV waterfall H1 Board final"/>
      <sheetName val="anarev"/>
      <sheetName val="NSV_waterfall_H1_Board_final"/>
      <sheetName val="NSV_waterfall_H1_Board_final1"/>
      <sheetName val="NSV_waterfall_H1_Board_final2"/>
      <sheetName val="NSV_waterfall_H1_Board_final3"/>
      <sheetName val="NSV_waterfall_H1_Board_final4"/>
      <sheetName val="NSV_waterfall_H1_Board_final5"/>
      <sheetName val="NSV_waterfall_H1_Board_final6"/>
      <sheetName val="NSV_waterfall_H1_Board_final7"/>
      <sheetName val="Sale-Leaseback (2)"/>
      <sheetName val="索引"/>
      <sheetName val="HQ-AP,Prep.NP"/>
      <sheetName val="二厂一季度单位成本"/>
      <sheetName val="成本计算单_汇总显示_"/>
      <sheetName val="表21 净利润调节表"/>
      <sheetName val="내역서01"/>
      <sheetName val="경상연구개발비_목록"/>
      <sheetName val="투자목록"/>
      <sheetName val="PARAM"/>
      <sheetName val="S1"/>
      <sheetName val="M1"/>
      <sheetName val="퇴직금추계액"/>
      <sheetName val="마감장"/>
      <sheetName val="SCF"/>
      <sheetName val="Sheet5(실지급)"/>
      <sheetName val="서울판관-공통부문"/>
      <sheetName val="차입금"/>
      <sheetName val="1공장_재공품생_x0000_엸ɶ"/>
      <sheetName val="1공장_재공품생ၒ_x0000__x0000_"/>
      <sheetName val="지역별약정(당일)"/>
      <sheetName val="Inventory_0331"/>
      <sheetName val="产成品材料成本比例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 refreshError="1"/>
      <sheetData sheetId="1167" refreshError="1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 refreshError="1"/>
      <sheetData sheetId="2141" refreshError="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 refreshError="1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 refreshError="1"/>
      <sheetData sheetId="2983" refreshError="1"/>
      <sheetData sheetId="2984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 refreshError="1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/>
      <sheetData sheetId="5047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보고 명세"/>
      <sheetName val="1.인수보고"/>
      <sheetName val="2.자금정산"/>
      <sheetName val="2-4.양도통지"/>
      <sheetName val="3.인수인계서"/>
      <sheetName val="4(0).평가전체"/>
      <sheetName val="4.평가금액변경내역(회수)"/>
      <sheetName val="4(1).평가금액변경내역(추가인수117건)"/>
      <sheetName val="4(2).평가변경(회수불능)"/>
      <sheetName val="2-1.회수내역"/>
      <sheetName val="2-1(1).인수제외명세"/>
      <sheetName val="2-1(2).가지급금인수제외명세"/>
      <sheetName val="2-2.회수금액산출근거"/>
      <sheetName val="2-3.지급내역"/>
      <sheetName val="2-3.지급내역(추가인수포함)"/>
      <sheetName val="2-3(1).추가인수명세"/>
      <sheetName val="3-1.미인수"/>
      <sheetName val="1-0.대출채권명세"/>
      <sheetName val="1-1.유가증권"/>
      <sheetName val="1-2.기타자산"/>
      <sheetName val="1-3.부외자산"/>
      <sheetName val="1-4.회수불능"/>
      <sheetName val="1-4(1).채권서류흠결명세"/>
      <sheetName val="1-5.소송"/>
      <sheetName val="1-6.경매"/>
      <sheetName val="1-7.가압류"/>
      <sheetName val="1-8.담보유가"/>
      <sheetName val="1-9.여신성가지급명세()"/>
      <sheetName val="1-9(1).가지급금증빙"/>
      <sheetName val="1-10.가수금"/>
      <sheetName val="1-11.채무관련인명세"/>
      <sheetName val="1-12.이전미징구이자명세표"/>
      <sheetName val="1-13.확인서"/>
      <sheetName val="1-14.대출금리명세표"/>
      <sheetName val="1-15.시급"/>
      <sheetName val="1-16.시효관리대장"/>
      <sheetName val="1-17.이율미등록"/>
      <sheetName val="인수자산명세"/>
      <sheetName val="양도통지(직인)"/>
      <sheetName val="평가표(대출요약)"/>
      <sheetName val="평가표(가지급요약)"/>
      <sheetName val="차주별"/>
      <sheetName val="계좌별"/>
      <sheetName val="총괄"/>
      <sheetName val="수정시산표"/>
      <sheetName val="환율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4"/>
  <sheetViews>
    <sheetView tabSelected="1" topLeftCell="A25" workbookViewId="0">
      <selection activeCell="A38" sqref="A38:J38"/>
    </sheetView>
  </sheetViews>
  <sheetFormatPr defaultRowHeight="17" x14ac:dyDescent="0.45"/>
  <cols>
    <col min="1" max="1" width="24" style="1" customWidth="1"/>
    <col min="2" max="5" width="14" style="1" customWidth="1"/>
    <col min="6" max="7" width="10" style="1" customWidth="1"/>
    <col min="8" max="8" width="14" style="1" customWidth="1"/>
    <col min="9" max="9" width="10" style="1" customWidth="1"/>
    <col min="10" max="10" width="30" style="1" customWidth="1"/>
  </cols>
  <sheetData>
    <row r="1" spans="1:10" ht="8" customHeight="1" x14ac:dyDescent="0.45">
      <c r="A1" s="33"/>
      <c r="B1" s="29"/>
      <c r="C1" s="29"/>
      <c r="D1" s="29"/>
      <c r="E1" s="29"/>
      <c r="F1" s="29"/>
      <c r="G1" s="29"/>
      <c r="H1" s="29"/>
      <c r="I1" s="29"/>
      <c r="J1" s="29"/>
    </row>
    <row r="2" spans="1:10" ht="18" customHeight="1" x14ac:dyDescent="0.45">
      <c r="A2" s="28" t="s">
        <v>1</v>
      </c>
      <c r="B2" s="29"/>
      <c r="C2" s="29"/>
      <c r="D2" s="29"/>
      <c r="E2" s="29"/>
      <c r="F2" s="29"/>
      <c r="G2" s="34" t="s">
        <v>41</v>
      </c>
      <c r="H2" s="29"/>
      <c r="I2" s="29"/>
      <c r="J2" s="29"/>
    </row>
    <row r="3" spans="1:10" ht="30" customHeight="1" x14ac:dyDescent="0.45">
      <c r="A3" s="45" t="s">
        <v>42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18" customHeight="1" x14ac:dyDescent="0.45">
      <c r="A4" s="46" t="s">
        <v>11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20" customHeight="1" x14ac:dyDescent="0.45">
      <c r="A5" s="23" t="s">
        <v>2</v>
      </c>
      <c r="B5" s="24"/>
      <c r="C5" s="42" t="s">
        <v>3</v>
      </c>
      <c r="D5" s="24"/>
      <c r="E5" s="23" t="s">
        <v>12</v>
      </c>
      <c r="F5" s="24"/>
      <c r="G5" s="42" t="s">
        <v>9</v>
      </c>
      <c r="H5" s="31"/>
      <c r="I5" s="31"/>
      <c r="J5" s="24"/>
    </row>
    <row r="6" spans="1:10" ht="20" customHeight="1" x14ac:dyDescent="0.45">
      <c r="A6" s="23" t="s">
        <v>4</v>
      </c>
      <c r="B6" s="24"/>
      <c r="C6" s="26">
        <v>46227</v>
      </c>
      <c r="D6" s="24"/>
      <c r="E6" s="23" t="s">
        <v>5</v>
      </c>
      <c r="F6" s="24"/>
      <c r="G6" s="42">
        <v>46227</v>
      </c>
      <c r="H6" s="31"/>
      <c r="I6" s="31"/>
      <c r="J6" s="24"/>
    </row>
    <row r="7" spans="1:10" ht="20" customHeight="1" x14ac:dyDescent="0.45">
      <c r="A7" s="23" t="s">
        <v>13</v>
      </c>
      <c r="B7" s="24"/>
      <c r="C7" s="26">
        <v>46203</v>
      </c>
      <c r="D7" s="24"/>
      <c r="E7" s="39"/>
      <c r="F7" s="24"/>
      <c r="G7" s="39"/>
      <c r="H7" s="31"/>
      <c r="I7" s="31"/>
      <c r="J7" s="24"/>
    </row>
    <row r="8" spans="1:10" ht="18" customHeight="1" x14ac:dyDescent="0.45"/>
    <row r="9" spans="1:10" ht="6" customHeight="1" x14ac:dyDescent="0.45">
      <c r="A9" s="33"/>
      <c r="B9" s="29"/>
      <c r="C9" s="29"/>
      <c r="D9" s="29"/>
      <c r="E9" s="29"/>
      <c r="F9" s="29"/>
      <c r="G9" s="29"/>
      <c r="H9" s="29"/>
      <c r="I9" s="29"/>
      <c r="J9" s="29"/>
    </row>
    <row r="10" spans="1:10" ht="22" customHeight="1" x14ac:dyDescent="0.45">
      <c r="A10" s="3"/>
      <c r="B10" s="30" t="s">
        <v>38</v>
      </c>
      <c r="C10" s="31"/>
      <c r="D10" s="24"/>
      <c r="E10" s="40">
        <v>46203</v>
      </c>
      <c r="F10" s="31"/>
      <c r="G10" s="31"/>
      <c r="H10" s="24"/>
      <c r="I10" s="30" t="s">
        <v>0</v>
      </c>
      <c r="J10" s="24"/>
    </row>
    <row r="11" spans="1:10" ht="22" customHeight="1" x14ac:dyDescent="0.45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</row>
    <row r="12" spans="1:10" ht="20" customHeight="1" x14ac:dyDescent="0.45">
      <c r="A12" s="5" t="s">
        <v>7</v>
      </c>
      <c r="B12" s="15">
        <v>110691427</v>
      </c>
      <c r="C12" s="15">
        <v>-6429092</v>
      </c>
      <c r="D12" s="15">
        <v>0</v>
      </c>
      <c r="E12" s="15">
        <v>104262335</v>
      </c>
      <c r="F12" s="15"/>
      <c r="G12" s="6"/>
      <c r="H12" s="6">
        <v>104262335</v>
      </c>
      <c r="I12" s="7"/>
      <c r="J12" s="8"/>
    </row>
    <row r="13" spans="1:10" ht="20" customHeight="1" x14ac:dyDescent="0.45">
      <c r="A13" s="14" t="s">
        <v>8</v>
      </c>
      <c r="B13" s="15">
        <v>1000000</v>
      </c>
      <c r="C13" s="15">
        <v>0</v>
      </c>
      <c r="D13" s="15">
        <v>0</v>
      </c>
      <c r="E13" s="15">
        <v>1000000</v>
      </c>
      <c r="F13" s="15"/>
      <c r="G13" s="6"/>
      <c r="H13" s="6">
        <v>1000000</v>
      </c>
      <c r="I13" s="7"/>
      <c r="J13" s="8"/>
    </row>
    <row r="14" spans="1:10" ht="20" customHeight="1" x14ac:dyDescent="0.45">
      <c r="A14" s="5" t="s">
        <v>10</v>
      </c>
      <c r="B14" s="15">
        <v>0</v>
      </c>
      <c r="C14" s="15">
        <v>160000000</v>
      </c>
      <c r="D14" s="15">
        <v>0</v>
      </c>
      <c r="E14" s="15">
        <v>160000000</v>
      </c>
      <c r="F14" s="15"/>
      <c r="G14" s="6"/>
      <c r="H14" s="6">
        <v>160000000</v>
      </c>
      <c r="I14" s="7"/>
      <c r="J14" s="8"/>
    </row>
    <row r="15" spans="1:10" ht="20" customHeight="1" x14ac:dyDescent="0.45">
      <c r="A15" s="5"/>
      <c r="B15" s="15"/>
      <c r="C15" s="15"/>
      <c r="D15" s="15"/>
      <c r="E15" s="15"/>
      <c r="F15" s="15"/>
      <c r="G15" s="6"/>
      <c r="H15" s="6"/>
      <c r="I15" s="7"/>
      <c r="J15" s="8"/>
    </row>
    <row r="16" spans="1:10" ht="20" customHeight="1" x14ac:dyDescent="0.45">
      <c r="A16" s="5"/>
      <c r="B16" s="15"/>
      <c r="C16" s="15"/>
      <c r="D16" s="15"/>
      <c r="E16" s="15"/>
      <c r="F16" s="15"/>
      <c r="G16" s="6"/>
      <c r="H16" s="6"/>
      <c r="I16" s="7"/>
      <c r="J16" s="8"/>
    </row>
    <row r="17" spans="1:10" ht="6" customHeight="1" x14ac:dyDescent="0.45"/>
    <row r="18" spans="1:10" ht="22" customHeight="1" x14ac:dyDescent="0.45">
      <c r="A18" s="9" t="s">
        <v>24</v>
      </c>
      <c r="B18" s="10">
        <v>111691427</v>
      </c>
      <c r="C18" s="10">
        <v>153570908</v>
      </c>
      <c r="D18" s="10">
        <v>0</v>
      </c>
      <c r="E18" s="10">
        <v>265262335</v>
      </c>
      <c r="F18" s="10">
        <v>0</v>
      </c>
      <c r="G18" s="10">
        <v>0</v>
      </c>
      <c r="H18" s="10">
        <v>265262335</v>
      </c>
    </row>
    <row r="19" spans="1:10" ht="18" customHeight="1" x14ac:dyDescent="0.45"/>
    <row r="20" spans="1:10" ht="22" customHeight="1" x14ac:dyDescent="0.45">
      <c r="A20" s="20" t="s">
        <v>25</v>
      </c>
      <c r="B20" s="21"/>
      <c r="C20" s="21"/>
      <c r="D20" s="21"/>
      <c r="E20" s="21"/>
      <c r="F20" s="21"/>
      <c r="G20" s="21"/>
      <c r="H20" s="21"/>
      <c r="I20" s="21"/>
      <c r="J20" s="22"/>
    </row>
    <row r="21" spans="1:10" ht="20" customHeight="1" x14ac:dyDescent="0.45">
      <c r="A21" s="4" t="s">
        <v>14</v>
      </c>
      <c r="B21" s="4" t="s">
        <v>26</v>
      </c>
      <c r="C21" s="4" t="s">
        <v>27</v>
      </c>
      <c r="D21" s="4" t="s">
        <v>0</v>
      </c>
      <c r="E21" s="41"/>
      <c r="F21" s="31"/>
      <c r="G21" s="31"/>
      <c r="H21" s="31"/>
      <c r="I21" s="31"/>
      <c r="J21" s="24"/>
    </row>
    <row r="22" spans="1:10" ht="20" customHeight="1" x14ac:dyDescent="0.45">
      <c r="A22" s="16" t="s">
        <v>7</v>
      </c>
      <c r="B22" s="17">
        <v>-6429092</v>
      </c>
      <c r="C22" s="18">
        <v>-5.8081209848347151E-2</v>
      </c>
      <c r="D22" s="19"/>
      <c r="E22" s="35"/>
      <c r="F22" s="31"/>
      <c r="G22" s="31"/>
      <c r="H22" s="31"/>
      <c r="I22" s="31"/>
      <c r="J22" s="24"/>
    </row>
    <row r="23" spans="1:10" ht="20" customHeight="1" x14ac:dyDescent="0.45">
      <c r="A23" s="16" t="s">
        <v>8</v>
      </c>
      <c r="B23" s="17">
        <v>0</v>
      </c>
      <c r="C23" s="18">
        <v>0</v>
      </c>
      <c r="D23" s="19"/>
      <c r="E23" s="35"/>
      <c r="F23" s="31"/>
      <c r="G23" s="31"/>
      <c r="H23" s="31"/>
      <c r="I23" s="31"/>
      <c r="J23" s="24"/>
    </row>
    <row r="24" spans="1:10" ht="20" customHeight="1" x14ac:dyDescent="0.45">
      <c r="A24" s="16" t="s">
        <v>10</v>
      </c>
      <c r="B24" s="17">
        <v>160000000</v>
      </c>
      <c r="C24" s="18">
        <v>-2146826281</v>
      </c>
      <c r="D24" s="19"/>
      <c r="E24" s="35"/>
      <c r="F24" s="31"/>
      <c r="G24" s="31"/>
      <c r="H24" s="31"/>
      <c r="I24" s="31"/>
      <c r="J24" s="24"/>
    </row>
    <row r="25" spans="1:10" ht="20" customHeight="1" x14ac:dyDescent="0.45">
      <c r="A25" s="16"/>
      <c r="B25" s="17"/>
      <c r="C25" s="18"/>
      <c r="D25" s="19"/>
      <c r="E25" s="35"/>
      <c r="F25" s="31"/>
      <c r="G25" s="31"/>
      <c r="H25" s="31"/>
      <c r="I25" s="31"/>
      <c r="J25" s="24"/>
    </row>
    <row r="26" spans="1:10" ht="20" customHeight="1" x14ac:dyDescent="0.45">
      <c r="A26" s="16"/>
      <c r="B26" s="17"/>
      <c r="C26" s="18"/>
      <c r="D26" s="19"/>
      <c r="E26" s="35"/>
      <c r="F26" s="31"/>
      <c r="G26" s="31"/>
      <c r="H26" s="31"/>
      <c r="I26" s="31"/>
      <c r="J26" s="24"/>
    </row>
    <row r="27" spans="1:10" ht="18" customHeight="1" x14ac:dyDescent="0.45"/>
    <row r="28" spans="1:10" ht="18" customHeight="1" x14ac:dyDescent="0.45"/>
    <row r="29" spans="1:10" ht="24" customHeight="1" x14ac:dyDescent="0.45">
      <c r="A29" s="37" t="s">
        <v>28</v>
      </c>
      <c r="B29" s="21"/>
      <c r="C29" s="21"/>
      <c r="D29" s="21"/>
      <c r="E29" s="21"/>
      <c r="F29" s="21"/>
      <c r="G29" s="21"/>
      <c r="H29" s="21"/>
      <c r="I29" s="21"/>
      <c r="J29" s="22"/>
    </row>
    <row r="30" spans="1:10" ht="20" customHeight="1" x14ac:dyDescent="0.45">
      <c r="A30" s="2" t="s">
        <v>29</v>
      </c>
      <c r="B30" s="23" t="s">
        <v>30</v>
      </c>
      <c r="C30" s="31"/>
      <c r="D30" s="24"/>
      <c r="E30" s="23" t="s">
        <v>31</v>
      </c>
      <c r="F30" s="24"/>
      <c r="G30" s="2" t="s">
        <v>32</v>
      </c>
      <c r="H30" s="2" t="s">
        <v>6</v>
      </c>
      <c r="I30" s="23" t="s">
        <v>0</v>
      </c>
      <c r="J30" s="24"/>
    </row>
    <row r="31" spans="1:10" ht="48" customHeight="1" x14ac:dyDescent="0.45">
      <c r="A31" s="11">
        <v>1</v>
      </c>
      <c r="B31" s="32" t="s">
        <v>43</v>
      </c>
      <c r="C31" s="31"/>
      <c r="D31" s="24"/>
      <c r="E31" s="27" t="s">
        <v>33</v>
      </c>
      <c r="F31" s="24"/>
      <c r="G31" s="12" t="s">
        <v>111</v>
      </c>
      <c r="H31" s="12">
        <v>5601</v>
      </c>
      <c r="I31" s="36"/>
      <c r="J31" s="24"/>
    </row>
    <row r="32" spans="1:10" ht="48" customHeight="1" x14ac:dyDescent="0.45">
      <c r="A32" s="11">
        <v>2</v>
      </c>
      <c r="B32" s="38" t="s">
        <v>44</v>
      </c>
      <c r="C32" s="31"/>
      <c r="D32" s="24"/>
      <c r="E32" s="27" t="s">
        <v>45</v>
      </c>
      <c r="F32" s="24"/>
      <c r="G32" s="13" t="s">
        <v>111</v>
      </c>
      <c r="H32" s="13">
        <v>5610</v>
      </c>
      <c r="I32" s="25"/>
      <c r="J32" s="24"/>
    </row>
    <row r="33" spans="1:10" ht="48" customHeight="1" x14ac:dyDescent="0.45">
      <c r="A33" s="11">
        <v>8</v>
      </c>
      <c r="B33" s="38" t="s">
        <v>39</v>
      </c>
      <c r="C33" s="31"/>
      <c r="D33" s="24"/>
      <c r="E33" s="27" t="s">
        <v>34</v>
      </c>
      <c r="F33" s="24"/>
      <c r="G33" s="13" t="s">
        <v>115</v>
      </c>
      <c r="H33" s="13"/>
      <c r="I33" s="25" t="s">
        <v>116</v>
      </c>
      <c r="J33" s="24"/>
    </row>
    <row r="34" spans="1:10" ht="48" customHeight="1" x14ac:dyDescent="0.45">
      <c r="A34" s="11">
        <v>9</v>
      </c>
      <c r="B34" s="32" t="s">
        <v>40</v>
      </c>
      <c r="C34" s="31"/>
      <c r="D34" s="24"/>
      <c r="E34" s="27" t="s">
        <v>35</v>
      </c>
      <c r="F34" s="24"/>
      <c r="G34" s="12" t="s">
        <v>111</v>
      </c>
      <c r="H34" s="12">
        <v>5620</v>
      </c>
      <c r="I34" s="36"/>
      <c r="J34" s="24"/>
    </row>
    <row r="35" spans="1:10" ht="18" customHeight="1" x14ac:dyDescent="0.45"/>
    <row r="36" spans="1:10" ht="22" customHeight="1" x14ac:dyDescent="0.45">
      <c r="A36" s="20" t="s">
        <v>36</v>
      </c>
      <c r="B36" s="21"/>
      <c r="C36" s="21"/>
      <c r="D36" s="21"/>
      <c r="E36" s="21"/>
      <c r="F36" s="21"/>
      <c r="G36" s="21"/>
      <c r="H36" s="21"/>
      <c r="I36" s="21"/>
      <c r="J36" s="22"/>
    </row>
    <row r="37" spans="1:10" ht="24" customHeight="1" x14ac:dyDescent="0.45">
      <c r="A37" s="44" t="s">
        <v>117</v>
      </c>
      <c r="B37" s="31"/>
      <c r="C37" s="31"/>
      <c r="D37" s="31"/>
      <c r="E37" s="31"/>
      <c r="F37" s="31"/>
      <c r="G37" s="31"/>
      <c r="H37" s="31"/>
      <c r="I37" s="31"/>
      <c r="J37" s="24"/>
    </row>
    <row r="38" spans="1:10" ht="24" customHeight="1" x14ac:dyDescent="0.45">
      <c r="A38" s="44"/>
      <c r="B38" s="31"/>
      <c r="C38" s="31"/>
      <c r="D38" s="31"/>
      <c r="E38" s="31"/>
      <c r="F38" s="31"/>
      <c r="G38" s="31"/>
      <c r="H38" s="31"/>
      <c r="I38" s="31"/>
      <c r="J38" s="24"/>
    </row>
    <row r="39" spans="1:10" ht="24" customHeight="1" x14ac:dyDescent="0.45">
      <c r="A39" s="44"/>
      <c r="B39" s="31"/>
      <c r="C39" s="31"/>
      <c r="D39" s="31"/>
      <c r="E39" s="31"/>
      <c r="F39" s="31"/>
      <c r="G39" s="31"/>
      <c r="H39" s="31"/>
      <c r="I39" s="31"/>
      <c r="J39" s="24"/>
    </row>
    <row r="40" spans="1:10" ht="18" customHeight="1" x14ac:dyDescent="0.45"/>
    <row r="41" spans="1:10" ht="18" customHeight="1" x14ac:dyDescent="0.45">
      <c r="A41" s="43" t="s">
        <v>37</v>
      </c>
      <c r="B41" s="29"/>
      <c r="C41" s="29"/>
      <c r="D41" s="29"/>
      <c r="E41" s="29"/>
      <c r="F41" s="29"/>
      <c r="G41" s="29"/>
      <c r="H41" s="29"/>
      <c r="I41" s="29"/>
      <c r="J41" s="29"/>
    </row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</sheetData>
  <mergeCells count="49">
    <mergeCell ref="A3:J3"/>
    <mergeCell ref="E23:J23"/>
    <mergeCell ref="I31:J31"/>
    <mergeCell ref="B34:D34"/>
    <mergeCell ref="G5:J5"/>
    <mergeCell ref="A4:J4"/>
    <mergeCell ref="A6:B6"/>
    <mergeCell ref="I34:J34"/>
    <mergeCell ref="C5:D5"/>
    <mergeCell ref="A41:J41"/>
    <mergeCell ref="C7:D7"/>
    <mergeCell ref="E24:J24"/>
    <mergeCell ref="B31:D31"/>
    <mergeCell ref="E7:F7"/>
    <mergeCell ref="E32:F32"/>
    <mergeCell ref="I10:J10"/>
    <mergeCell ref="I33:J33"/>
    <mergeCell ref="A39:J39"/>
    <mergeCell ref="I32:J32"/>
    <mergeCell ref="A37:J37"/>
    <mergeCell ref="A38:J38"/>
    <mergeCell ref="A20:J20"/>
    <mergeCell ref="E34:F34"/>
    <mergeCell ref="B33:D33"/>
    <mergeCell ref="A1:J1"/>
    <mergeCell ref="E6:F6"/>
    <mergeCell ref="E30:F30"/>
    <mergeCell ref="E22:J22"/>
    <mergeCell ref="B32:D32"/>
    <mergeCell ref="A5:B5"/>
    <mergeCell ref="G7:J7"/>
    <mergeCell ref="E10:H10"/>
    <mergeCell ref="E21:J21"/>
    <mergeCell ref="G6:J6"/>
    <mergeCell ref="A2:F2"/>
    <mergeCell ref="B10:D10"/>
    <mergeCell ref="E33:F33"/>
    <mergeCell ref="A7:B7"/>
    <mergeCell ref="A9:J9"/>
    <mergeCell ref="G2:J2"/>
    <mergeCell ref="B30:D30"/>
    <mergeCell ref="E26:J26"/>
    <mergeCell ref="E31:F31"/>
    <mergeCell ref="E25:J25"/>
    <mergeCell ref="E5:F5"/>
    <mergeCell ref="A29:J29"/>
    <mergeCell ref="A36:J36"/>
    <mergeCell ref="I30:J30"/>
    <mergeCell ref="C6:D6"/>
  </mergeCells>
  <phoneticPr fontId="7" type="noConversion"/>
  <dataValidations count="1">
    <dataValidation type="list" allowBlank="1" sqref="G31:G34" xr:uid="{00000000-0002-0000-1A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4383-77FD-4056-97DA-AFD668C46F12}">
  <dimension ref="A1:P22"/>
  <sheetViews>
    <sheetView showGridLines="0" zoomScaleNormal="100" workbookViewId="0">
      <pane ySplit="12" topLeftCell="A13" activePane="bottomLeft" state="frozen"/>
      <selection activeCell="G14" sqref="G14"/>
      <selection pane="bottomLeft" activeCell="A3" sqref="A3:J3"/>
    </sheetView>
  </sheetViews>
  <sheetFormatPr defaultColWidth="6.25" defaultRowHeight="22.5" customHeight="1" x14ac:dyDescent="0.45"/>
  <cols>
    <col min="1" max="1" width="11.25" style="85" bestFit="1" customWidth="1"/>
    <col min="2" max="2" width="15.25" style="85" hidden="1" customWidth="1"/>
    <col min="3" max="3" width="11.25" style="85" customWidth="1"/>
    <col min="4" max="4" width="9.4140625" style="85" bestFit="1" customWidth="1"/>
    <col min="5" max="5" width="12.75" style="85" bestFit="1" customWidth="1"/>
    <col min="6" max="6" width="16.58203125" style="86" customWidth="1"/>
    <col min="7" max="10" width="15" style="87" customWidth="1"/>
    <col min="11" max="11" width="8" style="88" bestFit="1" customWidth="1"/>
    <col min="12" max="12" width="6.25" style="51"/>
    <col min="13" max="14" width="9.9140625" style="51" bestFit="1" customWidth="1"/>
    <col min="15" max="15" width="8.9140625" style="51" bestFit="1" customWidth="1"/>
    <col min="16" max="16" width="8.08203125" style="51" bestFit="1" customWidth="1"/>
    <col min="17" max="16384" width="6.25" style="51"/>
  </cols>
  <sheetData>
    <row r="1" spans="1:16" customFormat="1" ht="8" customHeight="1" x14ac:dyDescent="0.45">
      <c r="A1" s="33"/>
      <c r="B1" s="29"/>
      <c r="C1" s="29"/>
      <c r="D1" s="29"/>
      <c r="E1" s="29"/>
      <c r="F1" s="29"/>
      <c r="G1" s="29"/>
      <c r="H1" s="29"/>
      <c r="I1" s="29"/>
      <c r="J1" s="29"/>
    </row>
    <row r="2" spans="1:16" customFormat="1" ht="18" customHeight="1" x14ac:dyDescent="0.45">
      <c r="A2" s="28" t="s">
        <v>1</v>
      </c>
      <c r="B2" s="29"/>
      <c r="C2" s="29"/>
      <c r="D2" s="29"/>
      <c r="E2" s="29"/>
      <c r="F2" s="29"/>
      <c r="G2" s="34" t="s">
        <v>112</v>
      </c>
      <c r="H2" s="29"/>
      <c r="I2" s="29"/>
      <c r="J2" s="29"/>
    </row>
    <row r="3" spans="1:16" customFormat="1" ht="30" customHeight="1" x14ac:dyDescent="0.45">
      <c r="A3" s="45" t="s">
        <v>42</v>
      </c>
      <c r="B3" s="29"/>
      <c r="C3" s="29"/>
      <c r="D3" s="29"/>
      <c r="E3" s="29"/>
      <c r="F3" s="29"/>
      <c r="G3" s="29"/>
      <c r="H3" s="29"/>
      <c r="I3" s="29"/>
      <c r="J3" s="29"/>
    </row>
    <row r="4" spans="1:16" customFormat="1" ht="18" customHeight="1" x14ac:dyDescent="0.45">
      <c r="A4" s="46" t="s">
        <v>92</v>
      </c>
      <c r="B4" s="29"/>
      <c r="C4" s="29"/>
      <c r="D4" s="29"/>
      <c r="E4" s="29"/>
      <c r="F4" s="29"/>
      <c r="G4" s="29"/>
      <c r="H4" s="29"/>
      <c r="I4" s="29"/>
      <c r="J4" s="29"/>
    </row>
    <row r="8" spans="1:16" s="48" customFormat="1" ht="37.5" customHeight="1" x14ac:dyDescent="0.45">
      <c r="A8" s="47" t="s">
        <v>46</v>
      </c>
      <c r="B8" s="47"/>
      <c r="C8" s="47"/>
      <c r="D8" s="47"/>
      <c r="E8" s="47"/>
      <c r="F8" s="47"/>
      <c r="G8" s="47"/>
      <c r="H8" s="47"/>
      <c r="I8" s="47"/>
      <c r="J8" s="47"/>
      <c r="K8" s="47"/>
      <c r="N8" s="49" t="s">
        <v>47</v>
      </c>
    </row>
    <row r="9" spans="1:16" s="48" customFormat="1" ht="24" customHeight="1" x14ac:dyDescent="0.45">
      <c r="A9" s="50">
        <v>46203</v>
      </c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16" ht="17.25" customHeight="1" x14ac:dyDescent="0.45">
      <c r="A10" s="49" t="s">
        <v>48</v>
      </c>
      <c r="B10" s="49"/>
      <c r="C10" s="49"/>
      <c r="D10" s="49"/>
      <c r="E10" s="49"/>
      <c r="F10" s="51"/>
      <c r="G10" s="51"/>
      <c r="H10" s="51"/>
      <c r="I10" s="51"/>
      <c r="J10" s="51"/>
      <c r="K10" s="52" t="s">
        <v>49</v>
      </c>
    </row>
    <row r="11" spans="1:16" ht="3" customHeight="1" x14ac:dyDescent="0.45">
      <c r="A11" s="53"/>
      <c r="B11" s="53"/>
      <c r="C11" s="53"/>
      <c r="D11" s="53"/>
      <c r="E11" s="53"/>
      <c r="F11" s="54"/>
      <c r="G11" s="55"/>
      <c r="H11" s="56"/>
      <c r="I11" s="56"/>
      <c r="J11" s="56"/>
      <c r="K11" s="52"/>
    </row>
    <row r="12" spans="1:16" ht="23.25" customHeight="1" x14ac:dyDescent="0.45">
      <c r="A12" s="57" t="s">
        <v>50</v>
      </c>
      <c r="B12" s="58" t="s">
        <v>51</v>
      </c>
      <c r="C12" s="59" t="s">
        <v>52</v>
      </c>
      <c r="D12" s="60" t="s">
        <v>53</v>
      </c>
      <c r="E12" s="60" t="s">
        <v>54</v>
      </c>
      <c r="F12" s="61" t="s">
        <v>55</v>
      </c>
      <c r="G12" s="62" t="s">
        <v>56</v>
      </c>
      <c r="H12" s="62" t="s">
        <v>57</v>
      </c>
      <c r="I12" s="62" t="s">
        <v>58</v>
      </c>
      <c r="J12" s="62" t="s">
        <v>59</v>
      </c>
      <c r="K12" s="63" t="s">
        <v>60</v>
      </c>
    </row>
    <row r="13" spans="1:16" s="73" customFormat="1" ht="18.75" customHeight="1" x14ac:dyDescent="0.45">
      <c r="A13" s="64" t="s">
        <v>61</v>
      </c>
      <c r="B13" s="65" t="s">
        <v>62</v>
      </c>
      <c r="C13" s="66"/>
      <c r="D13" s="67" t="s">
        <v>63</v>
      </c>
      <c r="E13" s="67" t="s">
        <v>64</v>
      </c>
      <c r="F13" s="68" t="s">
        <v>65</v>
      </c>
      <c r="G13" s="69">
        <v>110691427</v>
      </c>
      <c r="H13" s="70">
        <f>5655261+2113695-4383927-5514121</f>
        <v>-2129092</v>
      </c>
      <c r="I13" s="69">
        <v>4300000</v>
      </c>
      <c r="J13" s="71">
        <f>G13+H13-I13</f>
        <v>104262335</v>
      </c>
      <c r="K13" s="72"/>
      <c r="M13" s="74"/>
      <c r="N13" s="74"/>
      <c r="O13" s="74"/>
      <c r="P13" s="75"/>
    </row>
    <row r="14" spans="1:16" s="73" customFormat="1" ht="18.75" customHeight="1" x14ac:dyDescent="0.45">
      <c r="A14" s="64"/>
      <c r="B14" s="67"/>
      <c r="C14" s="67"/>
      <c r="D14" s="67"/>
      <c r="E14" s="67"/>
      <c r="F14" s="68"/>
      <c r="G14" s="71"/>
      <c r="H14" s="71"/>
      <c r="I14" s="71"/>
      <c r="J14" s="71"/>
      <c r="K14" s="76"/>
      <c r="M14" s="75"/>
      <c r="N14" s="77"/>
      <c r="O14" s="75"/>
    </row>
    <row r="15" spans="1:16" ht="24" customHeight="1" x14ac:dyDescent="0.45">
      <c r="A15" s="78" t="s">
        <v>66</v>
      </c>
      <c r="B15" s="79"/>
      <c r="C15" s="79"/>
      <c r="D15" s="79"/>
      <c r="E15" s="79"/>
      <c r="F15" s="80"/>
      <c r="G15" s="81">
        <f>SUM(G13:G14)</f>
        <v>110691427</v>
      </c>
      <c r="H15" s="82">
        <f>SUM(H13:H14)</f>
        <v>-2129092</v>
      </c>
      <c r="I15" s="81">
        <f>SUM(I13:I14)</f>
        <v>4300000</v>
      </c>
      <c r="J15" s="81">
        <f>SUM(J13:J14)</f>
        <v>104262335</v>
      </c>
      <c r="K15" s="83"/>
      <c r="N15" s="84"/>
    </row>
    <row r="17" spans="8:10" ht="22.5" customHeight="1" x14ac:dyDescent="0.45">
      <c r="J17" s="87" t="b">
        <f>J15='5600_기타비유동부채'!H12</f>
        <v>1</v>
      </c>
    </row>
    <row r="22" spans="8:10" ht="22.5" customHeight="1" x14ac:dyDescent="0.45">
      <c r="H22" s="75"/>
    </row>
  </sheetData>
  <mergeCells count="8">
    <mergeCell ref="A8:K8"/>
    <mergeCell ref="A9:K9"/>
    <mergeCell ref="A15:F15"/>
    <mergeCell ref="A1:J1"/>
    <mergeCell ref="A2:F2"/>
    <mergeCell ref="G2:J2"/>
    <mergeCell ref="A3:J3"/>
    <mergeCell ref="A4:J4"/>
  </mergeCells>
  <phoneticPr fontId="7" type="noConversion"/>
  <printOptions horizontalCentered="1"/>
  <pageMargins left="0.15748031496062992" right="0.23622047244094491" top="0.21" bottom="0.74803149606299213" header="0.18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9D33-F44E-44F2-A05D-E7F2EFC27BA6}">
  <dimension ref="A1:O15"/>
  <sheetViews>
    <sheetView showGridLines="0" zoomScaleNormal="100" workbookViewId="0">
      <pane ySplit="11" topLeftCell="A12" activePane="bottomLeft" state="frozen"/>
      <selection activeCell="G14" sqref="G14"/>
      <selection pane="bottomLeft" activeCell="A3" sqref="A3:J3"/>
    </sheetView>
  </sheetViews>
  <sheetFormatPr defaultColWidth="6.25" defaultRowHeight="22.5" customHeight="1" x14ac:dyDescent="0.45"/>
  <cols>
    <col min="1" max="1" width="8.75" style="121" bestFit="1" customWidth="1"/>
    <col min="2" max="2" width="8.75" style="121" hidden="1" customWidth="1"/>
    <col min="3" max="3" width="8.75" style="121" customWidth="1"/>
    <col min="4" max="4" width="14.75" style="122" bestFit="1" customWidth="1"/>
    <col min="5" max="5" width="12.08203125" style="123" bestFit="1" customWidth="1"/>
    <col min="6" max="6" width="10.58203125" style="124" customWidth="1"/>
    <col min="7" max="7" width="26.33203125" style="125" bestFit="1" customWidth="1"/>
    <col min="8" max="8" width="13.08203125" style="126" bestFit="1" customWidth="1"/>
    <col min="9" max="9" width="11.33203125" style="126" bestFit="1" customWidth="1"/>
    <col min="10" max="10" width="12.25" style="126" bestFit="1" customWidth="1"/>
    <col min="11" max="11" width="13.08203125" style="126" bestFit="1" customWidth="1"/>
    <col min="12" max="12" width="10.25" style="127" customWidth="1"/>
    <col min="13" max="16384" width="6.25" style="122"/>
  </cols>
  <sheetData>
    <row r="1" spans="1:15" customFormat="1" ht="8" customHeight="1" x14ac:dyDescent="0.45">
      <c r="A1" s="33"/>
      <c r="B1" s="29"/>
      <c r="C1" s="29"/>
      <c r="D1" s="29"/>
      <c r="E1" s="29"/>
      <c r="F1" s="29"/>
      <c r="G1" s="29"/>
      <c r="H1" s="29"/>
      <c r="I1" s="29"/>
      <c r="J1" s="29"/>
    </row>
    <row r="2" spans="1:15" customFormat="1" ht="18" customHeight="1" x14ac:dyDescent="0.45">
      <c r="A2" s="28" t="s">
        <v>1</v>
      </c>
      <c r="B2" s="29"/>
      <c r="C2" s="29"/>
      <c r="D2" s="29"/>
      <c r="E2" s="29"/>
      <c r="F2" s="29"/>
      <c r="G2" s="34" t="s">
        <v>113</v>
      </c>
      <c r="H2" s="29"/>
      <c r="I2" s="29"/>
      <c r="J2" s="29"/>
    </row>
    <row r="3" spans="1:15" customFormat="1" ht="30" customHeight="1" x14ac:dyDescent="0.45">
      <c r="A3" s="45" t="s">
        <v>42</v>
      </c>
      <c r="B3" s="29"/>
      <c r="C3" s="29"/>
      <c r="D3" s="29"/>
      <c r="E3" s="29"/>
      <c r="F3" s="29"/>
      <c r="G3" s="29"/>
      <c r="H3" s="29"/>
      <c r="I3" s="29"/>
      <c r="J3" s="29"/>
    </row>
    <row r="4" spans="1:15" customFormat="1" ht="18" customHeight="1" x14ac:dyDescent="0.45">
      <c r="A4" s="46" t="s">
        <v>92</v>
      </c>
      <c r="B4" s="29"/>
      <c r="C4" s="29"/>
      <c r="D4" s="29"/>
      <c r="E4" s="29"/>
      <c r="F4" s="29"/>
      <c r="G4" s="29"/>
      <c r="H4" s="29"/>
      <c r="I4" s="29"/>
      <c r="J4" s="29"/>
    </row>
    <row r="7" spans="1:15" s="90" customFormat="1" ht="30" customHeight="1" x14ac:dyDescent="0.45">
      <c r="A7" s="89" t="s">
        <v>67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O7" s="91" t="s">
        <v>68</v>
      </c>
    </row>
    <row r="8" spans="1:15" s="90" customFormat="1" ht="19.5" customHeight="1" x14ac:dyDescent="0.45">
      <c r="A8" s="92">
        <v>46203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</row>
    <row r="9" spans="1:15" s="91" customFormat="1" ht="18.75" customHeight="1" x14ac:dyDescent="0.45">
      <c r="A9" s="93" t="s">
        <v>48</v>
      </c>
      <c r="B9" s="93"/>
      <c r="C9" s="93"/>
      <c r="L9" s="94" t="s">
        <v>49</v>
      </c>
    </row>
    <row r="10" spans="1:15" s="91" customFormat="1" ht="4.5" customHeight="1" x14ac:dyDescent="0.45">
      <c r="A10" s="95"/>
      <c r="B10" s="95"/>
      <c r="C10" s="95"/>
      <c r="D10" s="95"/>
      <c r="E10" s="96"/>
      <c r="F10" s="97"/>
      <c r="G10" s="96"/>
      <c r="H10" s="98"/>
      <c r="I10" s="98"/>
      <c r="J10" s="98"/>
      <c r="K10" s="98"/>
      <c r="L10" s="94"/>
    </row>
    <row r="11" spans="1:15" s="91" customFormat="1" ht="23.25" customHeight="1" x14ac:dyDescent="0.45">
      <c r="A11" s="99" t="s">
        <v>50</v>
      </c>
      <c r="B11" s="100" t="s">
        <v>51</v>
      </c>
      <c r="C11" s="101" t="s">
        <v>69</v>
      </c>
      <c r="D11" s="101" t="s">
        <v>70</v>
      </c>
      <c r="E11" s="102" t="s">
        <v>71</v>
      </c>
      <c r="F11" s="103" t="s">
        <v>72</v>
      </c>
      <c r="G11" s="104" t="s">
        <v>55</v>
      </c>
      <c r="H11" s="102" t="s">
        <v>56</v>
      </c>
      <c r="I11" s="102" t="s">
        <v>73</v>
      </c>
      <c r="J11" s="102" t="s">
        <v>58</v>
      </c>
      <c r="K11" s="102" t="s">
        <v>74</v>
      </c>
      <c r="L11" s="105" t="s">
        <v>60</v>
      </c>
    </row>
    <row r="12" spans="1:15" s="91" customFormat="1" ht="18.75" customHeight="1" x14ac:dyDescent="0.45">
      <c r="A12" s="106" t="s">
        <v>8</v>
      </c>
      <c r="B12" s="107"/>
      <c r="C12" s="108" t="s">
        <v>75</v>
      </c>
      <c r="D12" s="108" t="s">
        <v>76</v>
      </c>
      <c r="E12" s="109" t="s">
        <v>77</v>
      </c>
      <c r="F12" s="110">
        <v>41711</v>
      </c>
      <c r="G12" s="111" t="s">
        <v>78</v>
      </c>
      <c r="H12" s="112">
        <v>1000000</v>
      </c>
      <c r="I12" s="113"/>
      <c r="J12" s="113"/>
      <c r="K12" s="114">
        <f t="shared" ref="K12" si="0">H12+I12-J12</f>
        <v>1000000</v>
      </c>
      <c r="L12" s="115"/>
    </row>
    <row r="13" spans="1:15" s="91" customFormat="1" ht="23.25" customHeight="1" x14ac:dyDescent="0.45">
      <c r="A13" s="116" t="s">
        <v>66</v>
      </c>
      <c r="B13" s="117"/>
      <c r="C13" s="118"/>
      <c r="D13" s="118"/>
      <c r="E13" s="118"/>
      <c r="F13" s="118"/>
      <c r="G13" s="118"/>
      <c r="H13" s="119">
        <f>SUM(H12:H12)</f>
        <v>1000000</v>
      </c>
      <c r="I13" s="119">
        <f>SUM(I12:I12)</f>
        <v>0</v>
      </c>
      <c r="J13" s="119">
        <f>SUM(J12:J12)</f>
        <v>0</v>
      </c>
      <c r="K13" s="119">
        <f>SUM(K12:K12)</f>
        <v>1000000</v>
      </c>
      <c r="L13" s="120"/>
      <c r="M13" s="91" t="b">
        <f>K13=1000000</f>
        <v>1</v>
      </c>
    </row>
    <row r="15" spans="1:15" ht="22.5" customHeight="1" x14ac:dyDescent="0.45">
      <c r="K15" s="126" t="b">
        <f>K13='5600_기타비유동부채'!H13</f>
        <v>1</v>
      </c>
    </row>
  </sheetData>
  <mergeCells count="8">
    <mergeCell ref="A7:L7"/>
    <mergeCell ref="A8:L8"/>
    <mergeCell ref="A13:G13"/>
    <mergeCell ref="A1:J1"/>
    <mergeCell ref="A2:F2"/>
    <mergeCell ref="G2:J2"/>
    <mergeCell ref="A3:J3"/>
    <mergeCell ref="A4:J4"/>
  </mergeCells>
  <phoneticPr fontId="7" type="noConversion"/>
  <printOptions horizontalCentered="1"/>
  <pageMargins left="0.15748031496062992" right="0.15748031496062992" top="0.27" bottom="0.74803149606299213" header="0.2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9612-395B-48CB-B444-B119BA8E12CF}">
  <dimension ref="A1:R10"/>
  <sheetViews>
    <sheetView workbookViewId="0">
      <selection activeCell="A3" sqref="A3:J3"/>
    </sheetView>
  </sheetViews>
  <sheetFormatPr defaultRowHeight="17" x14ac:dyDescent="0.45"/>
  <cols>
    <col min="3" max="3" width="19.83203125" customWidth="1"/>
    <col min="6" max="6" width="23.58203125" customWidth="1"/>
  </cols>
  <sheetData>
    <row r="1" spans="1:18" ht="8" customHeight="1" x14ac:dyDescent="0.45">
      <c r="A1" s="33"/>
      <c r="B1" s="29"/>
      <c r="C1" s="29"/>
      <c r="D1" s="29"/>
      <c r="E1" s="29"/>
      <c r="F1" s="29"/>
      <c r="G1" s="29"/>
      <c r="H1" s="29"/>
      <c r="I1" s="29"/>
      <c r="J1" s="29"/>
    </row>
    <row r="2" spans="1:18" ht="18" customHeight="1" x14ac:dyDescent="0.45">
      <c r="A2" s="28" t="s">
        <v>1</v>
      </c>
      <c r="B2" s="29"/>
      <c r="C2" s="29"/>
      <c r="D2" s="29"/>
      <c r="E2" s="29"/>
      <c r="F2" s="29"/>
      <c r="G2" s="34" t="s">
        <v>114</v>
      </c>
      <c r="H2" s="29"/>
      <c r="I2" s="29"/>
      <c r="J2" s="29"/>
    </row>
    <row r="3" spans="1:18" ht="30" customHeight="1" x14ac:dyDescent="0.45">
      <c r="A3" s="45" t="s">
        <v>42</v>
      </c>
      <c r="B3" s="29"/>
      <c r="C3" s="29"/>
      <c r="D3" s="29"/>
      <c r="E3" s="29"/>
      <c r="F3" s="29"/>
      <c r="G3" s="29"/>
      <c r="H3" s="29"/>
      <c r="I3" s="29"/>
      <c r="J3" s="29"/>
    </row>
    <row r="4" spans="1:18" ht="18" customHeight="1" x14ac:dyDescent="0.45">
      <c r="A4" s="46" t="s">
        <v>91</v>
      </c>
      <c r="B4" s="29"/>
      <c r="C4" s="29"/>
      <c r="D4" s="29"/>
      <c r="E4" s="29"/>
      <c r="F4" s="29"/>
      <c r="G4" s="29"/>
      <c r="H4" s="29"/>
      <c r="I4" s="29"/>
      <c r="J4" s="29"/>
    </row>
    <row r="9" spans="1:18" s="135" customFormat="1" ht="23.25" customHeight="1" x14ac:dyDescent="0.45">
      <c r="A9" s="128" t="s">
        <v>50</v>
      </c>
      <c r="B9" s="129" t="s">
        <v>53</v>
      </c>
      <c r="C9" s="130" t="s">
        <v>70</v>
      </c>
      <c r="D9" s="130" t="s">
        <v>71</v>
      </c>
      <c r="E9" s="131" t="s">
        <v>79</v>
      </c>
      <c r="F9" s="132" t="s">
        <v>55</v>
      </c>
      <c r="G9" s="104" t="s">
        <v>56</v>
      </c>
      <c r="H9" s="104" t="s">
        <v>73</v>
      </c>
      <c r="I9" s="104" t="s">
        <v>80</v>
      </c>
      <c r="J9" s="104" t="s">
        <v>81</v>
      </c>
      <c r="K9" s="104" t="s">
        <v>82</v>
      </c>
      <c r="L9" s="104" t="s">
        <v>83</v>
      </c>
      <c r="M9" s="133" t="s">
        <v>84</v>
      </c>
      <c r="N9" s="133"/>
      <c r="O9" s="134"/>
      <c r="R9" s="136"/>
    </row>
    <row r="10" spans="1:18" s="135" customFormat="1" ht="23.25" customHeight="1" x14ac:dyDescent="0.45">
      <c r="A10" s="137" t="s">
        <v>85</v>
      </c>
      <c r="B10" s="138" t="s">
        <v>86</v>
      </c>
      <c r="C10" s="139" t="s">
        <v>87</v>
      </c>
      <c r="D10" s="140"/>
      <c r="E10" s="141">
        <v>44025</v>
      </c>
      <c r="F10" s="142" t="s">
        <v>88</v>
      </c>
      <c r="G10" s="143">
        <v>0</v>
      </c>
      <c r="H10" s="144"/>
      <c r="I10" s="144"/>
      <c r="J10" s="144">
        <v>160000000</v>
      </c>
      <c r="K10" s="144">
        <v>160000000</v>
      </c>
      <c r="L10" s="143" t="s">
        <v>89</v>
      </c>
      <c r="M10" s="141">
        <v>46099</v>
      </c>
      <c r="N10" s="138" t="s">
        <v>90</v>
      </c>
      <c r="O10" s="146">
        <v>46829</v>
      </c>
      <c r="Q10" s="145">
        <v>626</v>
      </c>
      <c r="R10" s="145">
        <v>731</v>
      </c>
    </row>
  </sheetData>
  <mergeCells count="6">
    <mergeCell ref="M9:O9"/>
    <mergeCell ref="A1:J1"/>
    <mergeCell ref="A2:F2"/>
    <mergeCell ref="G2:J2"/>
    <mergeCell ref="A3:J3"/>
    <mergeCell ref="A4:J4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5447-4BC1-4D08-B90D-39E4CAADF7BF}">
  <dimension ref="A1:J22"/>
  <sheetViews>
    <sheetView workbookViewId="0">
      <selection activeCell="A3" sqref="A3:J3"/>
    </sheetView>
  </sheetViews>
  <sheetFormatPr defaultRowHeight="17" x14ac:dyDescent="0.45"/>
  <cols>
    <col min="2" max="3" width="11.08203125" bestFit="1" customWidth="1"/>
    <col min="6" max="6" width="9" bestFit="1" customWidth="1"/>
  </cols>
  <sheetData>
    <row r="1" spans="1:10" ht="8" customHeight="1" x14ac:dyDescent="0.45">
      <c r="A1" s="33"/>
      <c r="B1" s="29"/>
      <c r="C1" s="29"/>
      <c r="D1" s="29"/>
      <c r="E1" s="29"/>
      <c r="F1" s="29"/>
      <c r="G1" s="29"/>
      <c r="H1" s="29"/>
      <c r="I1" s="29"/>
      <c r="J1" s="29"/>
    </row>
    <row r="2" spans="1:10" ht="18" customHeight="1" x14ac:dyDescent="0.45">
      <c r="A2" s="28" t="s">
        <v>1</v>
      </c>
      <c r="B2" s="29"/>
      <c r="C2" s="29"/>
      <c r="D2" s="29"/>
      <c r="E2" s="29"/>
      <c r="F2" s="29"/>
      <c r="G2" s="34" t="s">
        <v>94</v>
      </c>
      <c r="H2" s="29"/>
      <c r="I2" s="29"/>
      <c r="J2" s="29"/>
    </row>
    <row r="3" spans="1:10" ht="30" customHeight="1" x14ac:dyDescent="0.45">
      <c r="A3" s="45" t="s">
        <v>42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18" customHeight="1" x14ac:dyDescent="0.45">
      <c r="A4" s="46" t="s">
        <v>93</v>
      </c>
      <c r="B4" s="29"/>
      <c r="C4" s="29"/>
      <c r="D4" s="29"/>
      <c r="E4" s="29"/>
      <c r="F4" s="29"/>
      <c r="G4" s="29"/>
      <c r="H4" s="29"/>
      <c r="I4" s="29"/>
      <c r="J4" s="29"/>
    </row>
    <row r="8" spans="1:10" x14ac:dyDescent="0.45">
      <c r="A8" s="147" t="s">
        <v>95</v>
      </c>
      <c r="B8" s="147"/>
      <c r="C8" s="147"/>
    </row>
    <row r="9" spans="1:10" x14ac:dyDescent="0.45">
      <c r="A9" s="147"/>
      <c r="B9" s="147"/>
      <c r="C9" s="147"/>
    </row>
    <row r="10" spans="1:10" x14ac:dyDescent="0.45">
      <c r="A10" s="148" t="s">
        <v>96</v>
      </c>
      <c r="B10" s="149"/>
      <c r="C10" s="150"/>
    </row>
    <row r="11" spans="1:10" x14ac:dyDescent="0.45">
      <c r="A11" s="151" t="s">
        <v>97</v>
      </c>
      <c r="B11" s="152" t="s">
        <v>98</v>
      </c>
      <c r="C11" s="153" t="s">
        <v>99</v>
      </c>
    </row>
    <row r="12" spans="1:10" x14ac:dyDescent="0.45">
      <c r="A12" s="154" t="s">
        <v>100</v>
      </c>
      <c r="B12" s="155">
        <f>'5600_기타비유동부채'!B12</f>
        <v>110691427</v>
      </c>
      <c r="C12" s="155">
        <v>247114203</v>
      </c>
    </row>
    <row r="13" spans="1:10" x14ac:dyDescent="0.45">
      <c r="A13" s="154" t="s">
        <v>101</v>
      </c>
      <c r="B13" s="156">
        <f>'5600_기타비유동부채'!C12</f>
        <v>-6429092</v>
      </c>
      <c r="C13" s="155">
        <v>23527403</v>
      </c>
    </row>
    <row r="14" spans="1:10" x14ac:dyDescent="0.45">
      <c r="A14" s="154" t="s">
        <v>102</v>
      </c>
      <c r="B14" s="155">
        <v>0</v>
      </c>
      <c r="C14" s="155">
        <v>0</v>
      </c>
    </row>
    <row r="15" spans="1:10" x14ac:dyDescent="0.45">
      <c r="A15" s="157" t="s">
        <v>103</v>
      </c>
      <c r="B15" s="155">
        <f>SUM(B12:B14)</f>
        <v>104262335</v>
      </c>
      <c r="C15" s="155">
        <v>270641606</v>
      </c>
    </row>
    <row r="16" spans="1:10" x14ac:dyDescent="0.45">
      <c r="A16" s="147"/>
      <c r="B16" s="147" t="b">
        <f>B15='5600_기타비유동부채'!E12</f>
        <v>1</v>
      </c>
      <c r="C16" s="147"/>
    </row>
    <row r="18" spans="1:7" x14ac:dyDescent="0.45">
      <c r="A18" s="147" t="s">
        <v>104</v>
      </c>
    </row>
    <row r="19" spans="1:7" x14ac:dyDescent="0.45">
      <c r="A19" s="148" t="s">
        <v>105</v>
      </c>
      <c r="B19" s="149"/>
      <c r="C19" s="149"/>
      <c r="D19" s="149"/>
      <c r="E19" s="149"/>
      <c r="F19" s="149"/>
      <c r="G19" s="150"/>
    </row>
    <row r="20" spans="1:7" x14ac:dyDescent="0.45">
      <c r="A20" s="158" t="s">
        <v>97</v>
      </c>
      <c r="B20" s="159" t="s">
        <v>106</v>
      </c>
      <c r="C20" s="160"/>
      <c r="D20" s="161"/>
      <c r="E20" s="159" t="s">
        <v>107</v>
      </c>
      <c r="F20" s="160"/>
      <c r="G20" s="162"/>
    </row>
    <row r="21" spans="1:7" x14ac:dyDescent="0.45">
      <c r="A21" s="163"/>
      <c r="B21" s="152" t="s">
        <v>108</v>
      </c>
      <c r="C21" s="152" t="s">
        <v>109</v>
      </c>
      <c r="D21" s="152" t="s">
        <v>110</v>
      </c>
      <c r="E21" s="152" t="s">
        <v>108</v>
      </c>
      <c r="F21" s="152" t="s">
        <v>109</v>
      </c>
      <c r="G21" s="153" t="s">
        <v>110</v>
      </c>
    </row>
    <row r="22" spans="1:7" x14ac:dyDescent="0.45">
      <c r="A22" s="154" t="s">
        <v>8</v>
      </c>
      <c r="B22" s="155">
        <f>'5600_기타비유동부채'!B13</f>
        <v>1000000</v>
      </c>
      <c r="C22" s="155">
        <v>0</v>
      </c>
      <c r="D22" s="155">
        <f>SUM(B22:C22)</f>
        <v>1000000</v>
      </c>
      <c r="E22" s="155">
        <f>M22</f>
        <v>0</v>
      </c>
      <c r="F22" s="155">
        <v>1000000</v>
      </c>
      <c r="G22" s="164">
        <f>SUM(E22:F22)</f>
        <v>1000000</v>
      </c>
    </row>
  </sheetData>
  <mergeCells count="10">
    <mergeCell ref="A19:G19"/>
    <mergeCell ref="A20:A21"/>
    <mergeCell ref="B20:D20"/>
    <mergeCell ref="E20:G20"/>
    <mergeCell ref="A1:J1"/>
    <mergeCell ref="A2:F2"/>
    <mergeCell ref="G2:J2"/>
    <mergeCell ref="A3:J3"/>
    <mergeCell ref="A4:J4"/>
    <mergeCell ref="A10:C10"/>
  </mergeCells>
  <phoneticPr fontId="7" type="noConversion"/>
  <conditionalFormatting sqref="A8:C16">
    <cfRule type="containsText" dxfId="5" priority="5" operator="containsText" text="FALSE">
      <formula>NOT(ISERROR(SEARCH("FALSE",A8)))</formula>
    </cfRule>
    <cfRule type="containsText" dxfId="4" priority="6" operator="containsText" text="TRUE">
      <formula>NOT(ISERROR(SEARCH("TRUE",A8)))</formula>
    </cfRule>
  </conditionalFormatting>
  <conditionalFormatting sqref="A18">
    <cfRule type="containsText" dxfId="3" priority="3" operator="containsText" text="FALSE">
      <formula>NOT(ISERROR(SEARCH("FALSE",A18)))</formula>
    </cfRule>
    <cfRule type="containsText" dxfId="2" priority="4" operator="containsText" text="TRUE">
      <formula>NOT(ISERROR(SEARCH("TRUE",A18)))</formula>
    </cfRule>
  </conditionalFormatting>
  <conditionalFormatting sqref="A19:G22">
    <cfRule type="containsText" dxfId="1" priority="1" operator="containsText" text="FALSE">
      <formula>NOT(ISERROR(SEARCH("FALSE",A19)))</formula>
    </cfRule>
    <cfRule type="containsText" dxfId="0" priority="2" operator="containsText" text="TRUE">
      <formula>NOT(ISERROR(SEARCH("TRUE",A19)))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5600_기타비유동부채</vt:lpstr>
      <vt:lpstr>5600_장기미지급비용</vt:lpstr>
      <vt:lpstr>5600_수입보증금</vt:lpstr>
      <vt:lpstr>5600_임대보증금</vt:lpstr>
      <vt:lpstr>5600_주석</vt:lpstr>
      <vt:lpstr>'5600_수입보증금'!Print_Area</vt:lpstr>
      <vt:lpstr>'5600_장기미지급비용'!Print_Area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2026-07-30T15:21:51Z</dcterms:modified>
</cp:coreProperties>
</file>