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A923A66E-8D9E-429A-9F4E-DE51E6794D44}" xr6:coauthVersionLast="47" xr6:coauthVersionMax="47" xr10:uidLastSave="{00000000-0000-0000-0000-000000000000}"/>
  <bookViews>
    <workbookView xWindow="-110" yWindow="-110" windowWidth="25820" windowHeight="16220" firstSheet="1" xr2:uid="{1FDDDA00-5092-44D0-AC7B-0AAFC3370EFF}"/>
  </bookViews>
  <sheets>
    <sheet name="4700_유형자산" sheetId="12" r:id="rId1"/>
    <sheet name="4700_유형자산_회계처리" sheetId="13" r:id="rId2"/>
    <sheet name="4700_유형자산_분석적검토" sheetId="34" r:id="rId3"/>
    <sheet name="4700_유형자산_증가" sheetId="14" r:id="rId4"/>
    <sheet name="4700_유형자산_감소" sheetId="15" r:id="rId5"/>
    <sheet name="4700_유형자산_주석" sheetId="16" r:id="rId6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4" l="1"/>
</calcChain>
</file>

<file path=xl/sharedStrings.xml><?xml version="1.0" encoding="utf-8"?>
<sst xmlns="http://schemas.openxmlformats.org/spreadsheetml/2006/main" count="999" uniqueCount="346">
  <si>
    <t>비  고</t>
  </si>
  <si>
    <t>주식회사 경남제약</t>
  </si>
  <si>
    <t>작성자</t>
  </si>
  <si>
    <t>이병하</t>
  </si>
  <si>
    <t>작성일</t>
  </si>
  <si>
    <t>검토일</t>
  </si>
  <si>
    <t>조서번호</t>
  </si>
  <si>
    <t>비고</t>
  </si>
  <si>
    <t>서정아</t>
  </si>
  <si>
    <t>김규리</t>
  </si>
  <si>
    <t>박재윤</t>
  </si>
  <si>
    <t>신희조</t>
  </si>
  <si>
    <t>유형자산처분손실</t>
  </si>
  <si>
    <t>이광우</t>
  </si>
  <si>
    <t>구분</t>
  </si>
  <si>
    <t>당기</t>
  </si>
  <si>
    <t>계정명</t>
  </si>
  <si>
    <t>투자부동산_건물</t>
  </si>
  <si>
    <t>건설중인자산</t>
  </si>
  <si>
    <t>사용권자산</t>
  </si>
  <si>
    <t>건물감가상각누계액</t>
  </si>
  <si>
    <t>차량운반구</t>
  </si>
  <si>
    <t>차량운반구감가상각누계액</t>
  </si>
  <si>
    <t>사용권자산감가상각누계액</t>
  </si>
  <si>
    <t>기계장치</t>
  </si>
  <si>
    <t>시설장치</t>
  </si>
  <si>
    <t>유형자산처분이익</t>
  </si>
  <si>
    <t>시설장치감가상각누계액</t>
  </si>
  <si>
    <t>건물</t>
  </si>
  <si>
    <t>구축물감가상각누계액</t>
  </si>
  <si>
    <t>건설중인자산손상차손누계액</t>
  </si>
  <si>
    <t>토지</t>
  </si>
  <si>
    <t>비품감가상각누계액</t>
  </si>
  <si>
    <t>기계장치감가상각누계액</t>
  </si>
  <si>
    <t>LEAD SCHEDULE</t>
  </si>
  <si>
    <t>검토자</t>
  </si>
  <si>
    <t>결산일</t>
  </si>
  <si>
    <t>취득원가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</si>
  <si>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</si>
  <si>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</si>
  <si>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</si>
  <si>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</si>
  <si>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</si>
  <si>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</si>
  <si>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</si>
  <si>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</si>
  <si>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</si>
  <si>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</si>
  <si>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`</t>
  </si>
  <si>
    <t>합   계</t>
  </si>
  <si>
    <t>C720</t>
  </si>
  <si>
    <t>손상차손누계액</t>
  </si>
  <si>
    <t>증가</t>
  </si>
  <si>
    <t>감소</t>
  </si>
  <si>
    <t>취득</t>
  </si>
  <si>
    <t>대체</t>
  </si>
  <si>
    <t>합계</t>
  </si>
  <si>
    <t>▶ 증감분석</t>
  </si>
  <si>
    <t>증감금액</t>
  </si>
  <si>
    <t>증감비율</t>
  </si>
  <si>
    <t>▶ 감사절차 (Audit Procedures)</t>
  </si>
  <si>
    <t>No.</t>
  </si>
  <si>
    <t>감사절차</t>
  </si>
  <si>
    <t>경영진 주장</t>
  </si>
  <si>
    <t>수행여부</t>
  </si>
  <si>
    <t>E, C, CL</t>
  </si>
  <si>
    <t>E, RO</t>
  </si>
  <si>
    <t>V, A</t>
  </si>
  <si>
    <t>C, V, A</t>
  </si>
  <si>
    <t>E, CL</t>
  </si>
  <si>
    <t>C, CL, U, P</t>
  </si>
  <si>
    <t>▶ 감사결론</t>
  </si>
  <si>
    <t xml:space="preserve">  ※ 본 감사조서는 「주식회사 등의 외부감사에 관한 법률」에 따라 작성되었습니다.</t>
  </si>
  <si>
    <t>정액법</t>
  </si>
  <si>
    <t>전표일자</t>
  </si>
  <si>
    <t>전표번호</t>
  </si>
  <si>
    <t>부서</t>
  </si>
  <si>
    <t>사원명</t>
  </si>
  <si>
    <t>차대구분</t>
  </si>
  <si>
    <t>차변</t>
  </si>
  <si>
    <t>대변</t>
  </si>
  <si>
    <t>적요</t>
  </si>
  <si>
    <t>승인요청일</t>
  </si>
  <si>
    <t>지급요청일</t>
  </si>
  <si>
    <t>반제일자</t>
  </si>
  <si>
    <t>거래처</t>
  </si>
  <si>
    <t>거래처명</t>
  </si>
  <si>
    <t>전표상태</t>
  </si>
  <si>
    <t>처리사유</t>
  </si>
  <si>
    <t>등록일자</t>
  </si>
  <si>
    <t>회계번호</t>
  </si>
  <si>
    <t>승인자</t>
  </si>
  <si>
    <t>전표유형</t>
  </si>
  <si>
    <t>PK</t>
  </si>
  <si>
    <t>A0005</t>
  </si>
  <si>
    <t>재무팀</t>
  </si>
  <si>
    <t xml:space="preserve"> 225013 경남제약타워 9층 사용 용도 변경으로 인한 유형자산↔투자부동산 대체</t>
  </si>
  <si>
    <t>승인</t>
  </si>
  <si>
    <t>20260602A0005</t>
  </si>
  <si>
    <t>경리전표</t>
  </si>
  <si>
    <t>000A0005</t>
  </si>
  <si>
    <t>A0006</t>
  </si>
  <si>
    <t xml:space="preserve"> 225013 경남제약타워 11층 사용 용도 변경으로 인한 유형자산↔투자부동산 대체</t>
  </si>
  <si>
    <t>20260602A0006</t>
  </si>
  <si>
    <t>000A0006</t>
  </si>
  <si>
    <t>결의전표</t>
  </si>
  <si>
    <t>R0003</t>
  </si>
  <si>
    <t>000R0003</t>
  </si>
  <si>
    <t>R0001</t>
  </si>
  <si>
    <t>000R0001</t>
  </si>
  <si>
    <t>R0012</t>
  </si>
  <si>
    <t>000R0012</t>
  </si>
  <si>
    <t>R0016</t>
  </si>
  <si>
    <t>000R0016</t>
  </si>
  <si>
    <t xml:space="preserve"> 225013 강남구 언주로 702(B2층-전기실) 유형자산대체</t>
  </si>
  <si>
    <t>20260101A0006</t>
  </si>
  <si>
    <t xml:space="preserve"> 225013 강남구 언주로 702(B3층-기계실) 유형자산대체</t>
  </si>
  <si>
    <t>A0023</t>
  </si>
  <si>
    <t>20260401A0023</t>
  </si>
  <si>
    <t>000A0023</t>
  </si>
  <si>
    <t>조서No.  4701</t>
  </si>
  <si>
    <t>유형자산</t>
  </si>
  <si>
    <t>C710</t>
  </si>
  <si>
    <t>구축물</t>
  </si>
  <si>
    <t>C721</t>
  </si>
  <si>
    <t>C730</t>
  </si>
  <si>
    <t>C740</t>
  </si>
  <si>
    <t>비품</t>
  </si>
  <si>
    <t>C741</t>
  </si>
  <si>
    <t>C750</t>
  </si>
  <si>
    <t>C760</t>
  </si>
  <si>
    <t xml:space="preserve">사용권자산 </t>
  </si>
  <si>
    <t>상각누계액</t>
  </si>
  <si>
    <t>C761</t>
  </si>
  <si>
    <t>C770</t>
  </si>
  <si>
    <t>▶ 증감구분</t>
  </si>
  <si>
    <t>[총괄표 작성 및 전기 대비 검토]
유형자산 장부가액 변동요약표를 입수·분석하고 당기말은 총계정원장, 전기말은 전기감사보고서와 대조한다.</t>
  </si>
  <si>
    <t>[권리증서 확인 (실재성·소유권)]
등기부등본·등록원부 등을 획득하여 실재성, 소유권 및 담보제공 등 소유권 제한사항을 확인한다.</t>
  </si>
  <si>
    <t>[감가상각비 적정성 검토]
상각방법·내용연수·상각률의 계속 적용 여부를 검토하고 감가상각비를 재계산한다. 방법 변경 시 타당성과 재무제표 영향을 확인한다.</t>
  </si>
  <si>
    <t>[처분·폐기 검토]
처분명세서를 입수하여 처분가격 적정성을 검토하고 처분손익 등 관련 손익계정과 연결한다.</t>
  </si>
  <si>
    <t>A</t>
  </si>
  <si>
    <t>[손상차손 검토]
손상징후 자산에 대해 회수가능가액을 산정하고 손상차손 계상 및 회계처리 적정성을 검토한다.</t>
  </si>
  <si>
    <t>[건설중인 자산 검토]
당기 지출액, 취득 약정액, 차입원가 자본화 적정성을 검토하고 완공 자산의 대체 회계처리를 확인한다.</t>
  </si>
  <si>
    <t>A, V</t>
  </si>
  <si>
    <t>[특수관계자 거래 검토]
특수관계자와의 유형자산 거래 가격 적정성을 확인한다.</t>
  </si>
  <si>
    <t>[재무제표 공시사항 검토]
공시사항 점검표에 따라 담보제공 자산, 재평가 내역 등 주석 기재 충분성을 확인한다.</t>
  </si>
  <si>
    <t>유형자산 회계처리</t>
  </si>
  <si>
    <t>평가</t>
  </si>
  <si>
    <t>최초 인식 후에 재평가일의 공정가치금액을 장부금액으로 표시. 보고기간말에 자산의 장부금액이 공정가치와 중요하게 차이가 나지 않도록 주기적으로 수행</t>
  </si>
  <si>
    <t>그밖의 토지</t>
  </si>
  <si>
    <t>최초 인식 후 원가에서 감가상각누계액과 손상차손누계액을 차감한 금액을 장부금으로 표시</t>
  </si>
  <si>
    <t>상각방법</t>
  </si>
  <si>
    <t>상각내용연수</t>
  </si>
  <si>
    <t>과목</t>
  </si>
  <si>
    <t>내용연수</t>
  </si>
  <si>
    <t>18년~33년</t>
  </si>
  <si>
    <t>7년~33년</t>
  </si>
  <si>
    <t>20년</t>
  </si>
  <si>
    <t>4년</t>
  </si>
  <si>
    <t>5년</t>
  </si>
  <si>
    <t>3년~10년</t>
  </si>
  <si>
    <t xml:space="preserve"> 225013 아산)물류파트 5t 화물차 </t>
  </si>
  <si>
    <t>R07572</t>
  </si>
  <si>
    <t>한솔트럭</t>
  </si>
  <si>
    <t>20260331A0023</t>
  </si>
  <si>
    <t>총무파트</t>
  </si>
  <si>
    <t>박나리</t>
  </si>
  <si>
    <t xml:space="preserve"> 225013 	아산공장 생산동 cctv 설치 건/202603-총무파트-32</t>
  </si>
  <si>
    <t>R07564</t>
  </si>
  <si>
    <t>삼성보안시스템</t>
  </si>
  <si>
    <t>20260321R0002</t>
  </si>
  <si>
    <t>공무파트</t>
  </si>
  <si>
    <t>강신용</t>
  </si>
  <si>
    <t xml:space="preserve"> 225013 아산공장 증축 공사 관련 공사 감리 용역비 계약금/아산공장 공무파트, 202601-공무파트-24</t>
  </si>
  <si>
    <t>R07337</t>
  </si>
  <si>
    <t>이공 파트너스 건축사사무소</t>
  </si>
  <si>
    <t>20260127R0004</t>
  </si>
  <si>
    <t>R0017</t>
  </si>
  <si>
    <t xml:space="preserve"> 225013 아산공장 증축 공사 관련 건축 공사 2차 기성금, 202603-공무파트-6/아산공장 공무파트</t>
  </si>
  <si>
    <t>R07505</t>
  </si>
  <si>
    <t>우솔종합건설 주식회사</t>
  </si>
  <si>
    <t xml:space="preserve"> 금액 오류 </t>
  </si>
  <si>
    <t>20260226R0019</t>
  </si>
  <si>
    <t>000R0017</t>
  </si>
  <si>
    <t>DI팀</t>
  </si>
  <si>
    <t>김성용</t>
  </si>
  <si>
    <t xml:space="preserve"> 225013 VTPMs LIMS/SDMS/ELN 시스템 구축 2차잔금 지급 요청의 건/202603-DI팀_아산-20 </t>
  </si>
  <si>
    <t>R03823</t>
  </si>
  <si>
    <t>(주)지엠피아이티</t>
  </si>
  <si>
    <t xml:space="preserve">스캔본 선 수령 </t>
  </si>
  <si>
    <t>20260311R0016</t>
  </si>
  <si>
    <t>R0014</t>
  </si>
  <si>
    <t xml:space="preserve"> 225013 아산공장 증축 공사 관련 건축 공사 3차 기성금, 202511-공무파트-24/아산공장 공무파트</t>
  </si>
  <si>
    <t>20260325R0002</t>
  </si>
  <si>
    <t>000R0014</t>
  </si>
  <si>
    <t>물류파트</t>
  </si>
  <si>
    <t>한가영</t>
  </si>
  <si>
    <t xml:space="preserve"> 225013 생산관리팀 물류파트 5t 화물차 신규 구입의 건 (3/30) / 202603-물류파트-49</t>
  </si>
  <si>
    <t>20260330R0001</t>
  </si>
  <si>
    <t>유형자산 감소</t>
  </si>
  <si>
    <t xml:space="preserve"> 225013 5t화물차 매각/202604-물류파트-41</t>
  </si>
  <si>
    <t>R07589</t>
  </si>
  <si>
    <t>샤히드트레이딩 주식회사</t>
  </si>
  <si>
    <t>20260427R0001</t>
  </si>
  <si>
    <t xml:space="preserve"> 225013 아산 VTPMs LIMS 시스템</t>
  </si>
  <si>
    <t>20260311A0005</t>
  </si>
  <si>
    <t>R07574</t>
  </si>
  <si>
    <t>이향주</t>
  </si>
  <si>
    <t>A0004</t>
  </si>
  <si>
    <t xml:space="preserve"> 225013 골프회원권 취득_잭니클라우스/202604-재무팀-36</t>
  </si>
  <si>
    <t>R07584</t>
  </si>
  <si>
    <t>(주)포스와이드</t>
  </si>
  <si>
    <t>20260417A0004</t>
  </si>
  <si>
    <t>000A0004</t>
  </si>
  <si>
    <t>G02099</t>
  </si>
  <si>
    <t>(주)인콘</t>
  </si>
  <si>
    <t>R06793</t>
  </si>
  <si>
    <t>주식회사 시마즈 사이언티픽 코리아</t>
  </si>
  <si>
    <t>R0010</t>
  </si>
  <si>
    <t>000R0010</t>
  </si>
  <si>
    <t>R0145</t>
  </si>
  <si>
    <t xml:space="preserve"> 225013 물류파트 5t 화물차 구입의 건 / 202603-물류파트-66 , 202603-물류파트-67</t>
  </si>
  <si>
    <t>20260331R0039</t>
  </si>
  <si>
    <t>000R0145</t>
  </si>
  <si>
    <t>A0009</t>
  </si>
  <si>
    <t xml:space="preserve"> 225013 인콘 골프회원권 양수의 건/202604-재무팀-36</t>
  </si>
  <si>
    <t>20260409A0009</t>
  </si>
  <si>
    <t>000A0009</t>
  </si>
  <si>
    <t>A0003</t>
  </si>
  <si>
    <t xml:space="preserve"> 225013 골프 회원권 양도양수 명의개서료</t>
  </si>
  <si>
    <t>20260417A0003</t>
  </si>
  <si>
    <t>000A0003</t>
  </si>
  <si>
    <t>R0009</t>
  </si>
  <si>
    <t xml:space="preserve"> 225013 아산공장 증축 공사 관련 건축 공사 4차 기성금, 202604-공무파트-/아산공장 공무파트</t>
  </si>
  <si>
    <t>확인</t>
  </si>
  <si>
    <t>20260428R0004</t>
  </si>
  <si>
    <t>000R0009</t>
  </si>
  <si>
    <t xml:space="preserve"> 225013 아산공장 증축 공사 관련 건축 공사 5차 기성금, 202606-공무파트-38/아산공장 공무파트</t>
  </si>
  <si>
    <t>20260608R0008</t>
  </si>
  <si>
    <t>생산파트(의령)</t>
  </si>
  <si>
    <t>유재용</t>
  </si>
  <si>
    <t xml:space="preserve"> 225013 삼덕여과산업(주)) 정제수제조설비  EDI 교체 비용/의령공장 공무파트/202604-생산파트-34</t>
  </si>
  <si>
    <t>R05429</t>
  </si>
  <si>
    <t>삼덕여과산업(주)</t>
  </si>
  <si>
    <t>20260526R0016</t>
  </si>
  <si>
    <t>R0026</t>
  </si>
  <si>
    <t>제제연구팀</t>
  </si>
  <si>
    <t>홍경민</t>
  </si>
  <si>
    <t xml:space="preserve"> 225013 제제연구팀)_실험실용 안전장치 "이동식 국소배기장치" 구매_202605-제제연구팀-4_202605-제제연구팀-7</t>
  </si>
  <si>
    <t>스캔본 선 수령</t>
  </si>
  <si>
    <t>20260528R0021</t>
  </si>
  <si>
    <t>000R0026</t>
  </si>
  <si>
    <t>취득</t>
    <phoneticPr fontId="11" type="noConversion"/>
  </si>
  <si>
    <t>구분</t>
    <phoneticPr fontId="11" type="noConversion"/>
  </si>
  <si>
    <t>처분</t>
    <phoneticPr fontId="11" type="noConversion"/>
  </si>
  <si>
    <t>대체증감</t>
    <phoneticPr fontId="11" type="noConversion"/>
  </si>
  <si>
    <t>토지</t>
    <phoneticPr fontId="11" type="noConversion"/>
  </si>
  <si>
    <t>건물</t>
    <phoneticPr fontId="11" type="noConversion"/>
  </si>
  <si>
    <t>투자부동산_건물로</t>
  </si>
  <si>
    <t>대체감소</t>
  </si>
  <si>
    <t>부동산_토지로</t>
  </si>
  <si>
    <t>대체증가</t>
  </si>
  <si>
    <t>자산명</t>
  </si>
  <si>
    <t>전반기</t>
    <phoneticPr fontId="11" type="noConversion"/>
  </si>
  <si>
    <t>당반기</t>
    <phoneticPr fontId="11" type="noConversion"/>
  </si>
  <si>
    <t>차량운반구</t>
    <phoneticPr fontId="11" type="noConversion"/>
  </si>
  <si>
    <t>건설중인자산</t>
    <phoneticPr fontId="11" type="noConversion"/>
  </si>
  <si>
    <t>장부금액</t>
    <phoneticPr fontId="11" type="noConversion"/>
  </si>
  <si>
    <t>처분</t>
  </si>
  <si>
    <t>장부금액</t>
  </si>
  <si>
    <t>감가상각비</t>
    <phoneticPr fontId="11" type="noConversion"/>
  </si>
  <si>
    <t>사용권자산</t>
    <phoneticPr fontId="11" type="noConversion"/>
  </si>
  <si>
    <t>기계장치</t>
    <phoneticPr fontId="11" type="noConversion"/>
  </si>
  <si>
    <t>시설장치</t>
    <phoneticPr fontId="11" type="noConversion"/>
  </si>
  <si>
    <t>부동산_건설중인자산에서</t>
  </si>
  <si>
    <t>(단위: 원)</t>
    <phoneticPr fontId="11" type="noConversion"/>
  </si>
  <si>
    <t>기초</t>
    <phoneticPr fontId="11" type="noConversion"/>
  </si>
  <si>
    <t>손상</t>
    <phoneticPr fontId="11" type="noConversion"/>
  </si>
  <si>
    <t>기타(*1)</t>
    <phoneticPr fontId="11" type="noConversion"/>
  </si>
  <si>
    <t>반기말(*2)</t>
    <phoneticPr fontId="11" type="noConversion"/>
  </si>
  <si>
    <t>감누액</t>
  </si>
  <si>
    <t>기계장치손상차손누계액</t>
  </si>
  <si>
    <t>비품손상차손누계액</t>
  </si>
  <si>
    <t>사용권자산손상차손누계액</t>
  </si>
  <si>
    <t>순장부금액</t>
  </si>
  <si>
    <t>경남제약 본사 건물 9층,11층 임대에 따른 투자부동산 대체</t>
  </si>
  <si>
    <t>아산공장 증축관련 공사비 14억원으로 인한 영향임</t>
  </si>
  <si>
    <t>건설중인자산에서</t>
  </si>
  <si>
    <t>차량운반구로</t>
  </si>
  <si>
    <t>무형자산으로</t>
  </si>
  <si>
    <t>건물감누액</t>
  </si>
  <si>
    <t>대변증가액</t>
  </si>
  <si>
    <t>1~3월 감누액 대체액</t>
  </si>
  <si>
    <t>투자부동산 대체액</t>
  </si>
  <si>
    <t>손상차손후 감가상각비 재계산</t>
  </si>
  <si>
    <t>유형자산의 손상차손을 인식한 이후에는, 손상 후 장부금액을 새로운 감가상각 기준액으로 하여 잔존 내용연수 동안 감가상각</t>
  </si>
  <si>
    <t>유형자산 분석적 검토</t>
  </si>
  <si>
    <t>당반기 감가상각비</t>
  </si>
  <si>
    <t>전반기 감가상각비</t>
  </si>
  <si>
    <t>판관비_감가상각비</t>
  </si>
  <si>
    <t>판관비_경상연구개발비</t>
  </si>
  <si>
    <t>제조원가</t>
  </si>
  <si>
    <t>유형자산산_건물</t>
  </si>
  <si>
    <t>유형자산산_구축물</t>
  </si>
  <si>
    <t>유형자산산_기계장치</t>
  </si>
  <si>
    <t>유형자산산_차량운반구</t>
  </si>
  <si>
    <t>유형자산산_비품</t>
  </si>
  <si>
    <t>유형자산산_시설장치</t>
  </si>
  <si>
    <t>유형자산산_사용권자산</t>
  </si>
  <si>
    <t>투자부동산건물의 감가비 증가는 9층과 11층 임대에 따른 증가금액과 신당동건물의 완공에 따른 증가로 판단됨</t>
  </si>
  <si>
    <t>유형자산상각비</t>
  </si>
  <si>
    <t>투자부동산상각비</t>
  </si>
  <si>
    <t>유형자산 증가</t>
  </si>
  <si>
    <t>구분2</t>
  </si>
  <si>
    <t>유형자산처분손익&gt;</t>
  </si>
  <si>
    <t>처분대가</t>
  </si>
  <si>
    <t>처분손익</t>
  </si>
  <si>
    <t>Per Book</t>
  </si>
  <si>
    <t>Differ</t>
  </si>
  <si>
    <t>5t화물차 물류파트-41</t>
  </si>
  <si>
    <t>사용권자산 처분이익</t>
  </si>
  <si>
    <t>사용권자산 처분손실</t>
  </si>
  <si>
    <t>당반기와 전반기 중 유형자산의 변동내역은 다음과 같습니다.</t>
    <phoneticPr fontId="11" type="noConversion"/>
  </si>
  <si>
    <t>(*1) 무형자산으로 대체된 금액 등으로 구성되어 있습니다.</t>
    <phoneticPr fontId="11" type="noConversion"/>
  </si>
  <si>
    <t>(*2) 당반기말 현재 토지 및 건물이 은행차입금에 대한 담보로 제공되어 있습니다.(주석 16 참조)</t>
    <phoneticPr fontId="11" type="noConversion"/>
  </si>
  <si>
    <t>구  분</t>
    <phoneticPr fontId="11" type="noConversion"/>
  </si>
  <si>
    <t>구축물</t>
    <phoneticPr fontId="11" type="noConversion"/>
  </si>
  <si>
    <t>비품</t>
    <phoneticPr fontId="11" type="noConversion"/>
  </si>
  <si>
    <t>소계</t>
    <phoneticPr fontId="11" type="noConversion"/>
  </si>
  <si>
    <t>취득원가:</t>
    <phoneticPr fontId="11" type="noConversion"/>
  </si>
  <si>
    <t>기말</t>
    <phoneticPr fontId="11" type="noConversion"/>
  </si>
  <si>
    <t>감가상각누계액:</t>
    <phoneticPr fontId="11" type="noConversion"/>
  </si>
  <si>
    <t>처분으로 인한 제거</t>
    <phoneticPr fontId="11" type="noConversion"/>
  </si>
  <si>
    <t>손상차손누계액:</t>
    <phoneticPr fontId="11" type="noConversion"/>
  </si>
  <si>
    <t>조서No.  4710</t>
    <phoneticPr fontId="11" type="noConversion"/>
  </si>
  <si>
    <t>조서No.  4720</t>
    <phoneticPr fontId="11" type="noConversion"/>
  </si>
  <si>
    <t>조서No.  4730</t>
    <phoneticPr fontId="11" type="noConversion"/>
  </si>
  <si>
    <t>조서No.  4740</t>
    <phoneticPr fontId="11" type="noConversion"/>
  </si>
  <si>
    <t>유형자산 주석</t>
    <phoneticPr fontId="11" type="noConversion"/>
  </si>
  <si>
    <t>조서No.  4750</t>
    <phoneticPr fontId="11" type="noConversion"/>
  </si>
  <si>
    <t>완료</t>
  </si>
  <si>
    <t>미수행</t>
  </si>
  <si>
    <t>당기말에 CGU평가 수행예정</t>
    <phoneticPr fontId="11" type="noConversion"/>
  </si>
  <si>
    <t>특수관계자와의 거래내용&gt;</t>
    <phoneticPr fontId="11" type="noConversion"/>
  </si>
  <si>
    <t>계정별원장등을 검토한 바 유형자산에서의 특관자거래는 없는 것으로 판단됨</t>
    <phoneticPr fontId="11" type="noConversion"/>
  </si>
  <si>
    <t>해당없음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</si>
</sst>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;\(#,##0\);&quot;-&quot;"/>
    <numFmt numFmtId="177" formatCode="0.0%"/>
    <numFmt numFmtId="178" formatCode="#,##0_);[Red]\(#,##0\)"/>
    <numFmt numFmtId="179" formatCode="yyyy\.mm\.dd"/>
    <numFmt numFmtId="180" formatCode="yyyy\-mm\-dd\ h:mm:ss"/>
    <numFmt numFmtId="181" formatCode="yyyy\-mm\-dd\ hh:mm:ss"/>
    <numFmt numFmtId="182" formatCode="_(* #,##0_);_(* \(#,##0\);_(* &quot;-&quot;_);_(@_)"/>
    <numFmt numFmtId="183" formatCode="_-* #,##0.00_-;\-* #,##0.00_-;_-* &quot;-&quot;_-;_-@_-"/>
    <numFmt numFmtId="184" formatCode="#,##0\ ;\(#,##0\)"/>
  </numFmts>
  <fonts count="4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1F1F1F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</font>
    <font>
      <b/>
      <sz val="9"/>
      <color rgb="FF0070C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1F1F1F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0070C0"/>
      <name val="맑은 고딕"/>
      <family val="3"/>
      <charset val="129"/>
    </font>
    <font>
      <b/>
      <sz val="9"/>
      <color rgb="FF2E75B6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9"/>
      <color theme="0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9"/>
      <color theme="0"/>
      <name val="맑은 고딕"/>
      <family val="2"/>
      <scheme val="minor"/>
    </font>
    <font>
      <sz val="11"/>
      <name val="맑은 고딕"/>
      <family val="2"/>
      <scheme val="minor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color theme="1"/>
      <name val="굴림체"/>
      <family val="2"/>
      <charset val="129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rgb="FF7030A0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sz val="9"/>
      <color theme="1"/>
      <name val="맑은 고딕"/>
      <family val="2"/>
    </font>
    <font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CDCDC"/>
        <bgColor indexed="64"/>
      </patternFill>
    </fill>
  </fills>
  <borders count="5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medium">
        <color rgb="FF1F3864"/>
      </top>
      <bottom style="thin">
        <color rgb="FFB0B0B0"/>
      </bottom>
      <diagonal/>
    </border>
    <border>
      <left/>
      <right style="thin">
        <color rgb="FFB0B0B0"/>
      </right>
      <top style="medium">
        <color rgb="FF1F3864"/>
      </top>
      <bottom style="thin">
        <color rgb="FFB0B0B0"/>
      </bottom>
      <diagonal/>
    </border>
    <border>
      <left/>
      <right/>
      <top/>
      <bottom style="thin">
        <color rgb="FFFFB9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medium">
        <color rgb="FF1F3864"/>
      </top>
      <bottom style="thin">
        <color rgb="FFB0B0B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rgb="FF00000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41" fontId="14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8" fillId="0" borderId="0"/>
    <xf numFmtId="182" fontId="2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0" fillId="0" borderId="0"/>
    <xf numFmtId="0" fontId="32" fillId="0" borderId="0"/>
    <xf numFmtId="0" fontId="29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0"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9" fillId="0" borderId="6" xfId="0" applyFont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3" borderId="1" xfId="0" applyFont="1" applyFill="1" applyBorder="1"/>
    <xf numFmtId="0" fontId="16" fillId="11" borderId="6" xfId="0" applyFont="1" applyFill="1" applyBorder="1"/>
    <xf numFmtId="0" fontId="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top" wrapText="1"/>
    </xf>
    <xf numFmtId="0" fontId="20" fillId="16" borderId="18" xfId="0" applyFont="1" applyFill="1" applyBorder="1" applyAlignment="1">
      <alignment horizontal="center" vertical="center" wrapText="1"/>
    </xf>
    <xf numFmtId="0" fontId="19" fillId="16" borderId="19" xfId="0" applyFont="1" applyFill="1" applyBorder="1" applyAlignment="1">
      <alignment horizontal="center"/>
    </xf>
    <xf numFmtId="0" fontId="19" fillId="0" borderId="0" xfId="0" applyFont="1"/>
    <xf numFmtId="180" fontId="19" fillId="0" borderId="0" xfId="0" applyNumberFormat="1" applyFont="1"/>
    <xf numFmtId="41" fontId="19" fillId="0" borderId="0" xfId="1" applyFont="1">
      <alignment vertical="center"/>
    </xf>
    <xf numFmtId="41" fontId="19" fillId="0" borderId="25" xfId="1" applyFont="1" applyBorder="1">
      <alignment vertical="center"/>
    </xf>
    <xf numFmtId="0" fontId="19" fillId="0" borderId="13" xfId="0" applyFont="1" applyBorder="1" applyAlignment="1">
      <alignment horizontal="center"/>
    </xf>
    <xf numFmtId="181" fontId="19" fillId="0" borderId="0" xfId="0" applyNumberFormat="1" applyFont="1"/>
    <xf numFmtId="41" fontId="19" fillId="0" borderId="25" xfId="0" applyNumberFormat="1" applyFont="1" applyBorder="1"/>
    <xf numFmtId="0" fontId="21" fillId="0" borderId="13" xfId="0" applyFont="1" applyBorder="1" applyAlignment="1">
      <alignment horizontal="center"/>
    </xf>
    <xf numFmtId="0" fontId="19" fillId="0" borderId="0" xfId="0" applyFont="1" applyAlignment="1">
      <alignment horizontal="center"/>
    </xf>
    <xf numFmtId="41" fontId="21" fillId="0" borderId="13" xfId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top"/>
    </xf>
    <xf numFmtId="0" fontId="22" fillId="4" borderId="1" xfId="0" applyFont="1" applyFill="1" applyBorder="1" applyAlignment="1">
      <alignment horizontal="left" vertical="center" indent="1"/>
    </xf>
    <xf numFmtId="176" fontId="23" fillId="5" borderId="1" xfId="0" applyNumberFormat="1" applyFont="1" applyFill="1" applyBorder="1" applyAlignment="1">
      <alignment horizontal="right" vertical="center"/>
    </xf>
    <xf numFmtId="0" fontId="19" fillId="0" borderId="1" xfId="0" applyFont="1" applyBorder="1" applyAlignment="1">
      <alignment horizontal="left" vertical="center" wrapText="1" indent="1"/>
    </xf>
    <xf numFmtId="0" fontId="22" fillId="4" borderId="6" xfId="0" applyFont="1" applyFill="1" applyBorder="1" applyAlignment="1">
      <alignment horizontal="left" vertical="center" indent="1"/>
    </xf>
    <xf numFmtId="176" fontId="23" fillId="5" borderId="6" xfId="0" applyNumberFormat="1" applyFont="1" applyFill="1" applyBorder="1" applyAlignment="1">
      <alignment horizontal="right" vertical="center"/>
    </xf>
    <xf numFmtId="0" fontId="19" fillId="0" borderId="6" xfId="0" applyFont="1" applyBorder="1" applyAlignment="1">
      <alignment horizontal="left" vertical="center" wrapText="1" indent="1"/>
    </xf>
    <xf numFmtId="0" fontId="19" fillId="0" borderId="3" xfId="0" applyFont="1" applyBorder="1"/>
    <xf numFmtId="0" fontId="22" fillId="6" borderId="2" xfId="0" applyFont="1" applyFill="1" applyBorder="1" applyAlignment="1">
      <alignment horizontal="center" vertical="center"/>
    </xf>
    <xf numFmtId="176" fontId="22" fillId="6" borderId="2" xfId="0" applyNumberFormat="1" applyFont="1" applyFill="1" applyBorder="1" applyAlignment="1">
      <alignment horizontal="right" vertical="center"/>
    </xf>
    <xf numFmtId="0" fontId="22" fillId="13" borderId="6" xfId="0" applyFont="1" applyFill="1" applyBorder="1" applyAlignment="1">
      <alignment horizontal="left" vertical="center" indent="1"/>
    </xf>
    <xf numFmtId="176" fontId="24" fillId="12" borderId="6" xfId="0" applyNumberFormat="1" applyFont="1" applyFill="1" applyBorder="1" applyAlignment="1">
      <alignment horizontal="right" vertical="center"/>
    </xf>
    <xf numFmtId="0" fontId="22" fillId="13" borderId="0" xfId="0" applyFont="1" applyFill="1" applyAlignment="1">
      <alignment horizontal="left" vertical="center" indent="1"/>
    </xf>
    <xf numFmtId="176" fontId="24" fillId="12" borderId="0" xfId="0" applyNumberFormat="1" applyFont="1" applyFill="1" applyAlignment="1">
      <alignment horizontal="right" vertical="center"/>
    </xf>
    <xf numFmtId="0" fontId="19" fillId="0" borderId="0" xfId="0" applyFont="1" applyAlignment="1">
      <alignment horizontal="left" vertical="center" wrapText="1" indent="1"/>
    </xf>
    <xf numFmtId="0" fontId="9" fillId="5" borderId="1" xfId="0" applyFont="1" applyFill="1" applyBorder="1" applyAlignment="1">
      <alignment horizontal="left" vertical="center" indent="1"/>
    </xf>
    <xf numFmtId="176" fontId="19" fillId="5" borderId="1" xfId="0" applyNumberFormat="1" applyFont="1" applyFill="1" applyBorder="1" applyAlignment="1">
      <alignment horizontal="right" vertical="center"/>
    </xf>
    <xf numFmtId="177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/>
    <xf numFmtId="0" fontId="19" fillId="0" borderId="4" xfId="0" applyFont="1" applyBorder="1"/>
    <xf numFmtId="0" fontId="19" fillId="0" borderId="5" xfId="0" applyFont="1" applyBorder="1"/>
    <xf numFmtId="41" fontId="19" fillId="0" borderId="0" xfId="1" applyFont="1" applyAlignment="1"/>
    <xf numFmtId="0" fontId="25" fillId="4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7" fillId="0" borderId="0" xfId="0" applyFont="1"/>
    <xf numFmtId="0" fontId="22" fillId="14" borderId="7" xfId="0" applyFont="1" applyFill="1" applyBorder="1" applyAlignment="1">
      <alignment horizontal="center" vertical="center"/>
    </xf>
    <xf numFmtId="176" fontId="22" fillId="14" borderId="7" xfId="0" applyNumberFormat="1" applyFont="1" applyFill="1" applyBorder="1" applyAlignment="1">
      <alignment horizontal="right" vertical="center"/>
    </xf>
    <xf numFmtId="41" fontId="19" fillId="0" borderId="26" xfId="1" applyFont="1" applyBorder="1">
      <alignment vertical="center"/>
    </xf>
    <xf numFmtId="0" fontId="19" fillId="18" borderId="3" xfId="0" applyFont="1" applyFill="1" applyBorder="1" applyAlignment="1">
      <alignment horizontal="center"/>
    </xf>
    <xf numFmtId="0" fontId="9" fillId="18" borderId="0" xfId="0" applyFont="1" applyFill="1" applyAlignment="1">
      <alignment horizontal="left" vertical="center" indent="1"/>
    </xf>
    <xf numFmtId="41" fontId="17" fillId="0" borderId="0" xfId="1" applyFont="1">
      <alignment vertical="center"/>
    </xf>
    <xf numFmtId="41" fontId="17" fillId="0" borderId="26" xfId="1" applyFont="1" applyBorder="1">
      <alignment vertical="center"/>
    </xf>
    <xf numFmtId="0" fontId="9" fillId="18" borderId="0" xfId="0" applyFont="1" applyFill="1" applyAlignment="1">
      <alignment horizontal="center" vertical="center"/>
    </xf>
    <xf numFmtId="0" fontId="17" fillId="0" borderId="13" xfId="0" applyFont="1" applyBorder="1" applyAlignment="1">
      <alignment horizontal="center"/>
    </xf>
    <xf numFmtId="41" fontId="17" fillId="0" borderId="0" xfId="0" applyNumberFormat="1" applyFont="1"/>
    <xf numFmtId="176" fontId="19" fillId="0" borderId="0" xfId="0" applyNumberFormat="1" applyFont="1"/>
    <xf numFmtId="41" fontId="19" fillId="0" borderId="12" xfId="1" applyFont="1" applyBorder="1" applyAlignment="1"/>
    <xf numFmtId="41" fontId="0" fillId="0" borderId="0" xfId="0" applyNumberFormat="1"/>
    <xf numFmtId="41" fontId="19" fillId="0" borderId="0" xfId="0" applyNumberFormat="1" applyFont="1"/>
    <xf numFmtId="0" fontId="31" fillId="15" borderId="0" xfId="0" applyFont="1" applyFill="1"/>
    <xf numFmtId="0" fontId="27" fillId="15" borderId="0" xfId="0" applyFont="1" applyFill="1"/>
    <xf numFmtId="0" fontId="27" fillId="0" borderId="0" xfId="0" applyFont="1"/>
    <xf numFmtId="0" fontId="17" fillId="0" borderId="13" xfId="0" applyFont="1" applyBorder="1"/>
    <xf numFmtId="0" fontId="33" fillId="20" borderId="33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178" fontId="36" fillId="0" borderId="46" xfId="13" applyNumberFormat="1" applyFont="1" applyFill="1" applyBorder="1" applyAlignment="1">
      <alignment vertical="center" shrinkToFit="1"/>
    </xf>
    <xf numFmtId="178" fontId="36" fillId="0" borderId="28" xfId="13" applyNumberFormat="1" applyFont="1" applyFill="1" applyBorder="1" applyAlignment="1">
      <alignment vertical="center" shrinkToFit="1"/>
    </xf>
    <xf numFmtId="178" fontId="36" fillId="0" borderId="32" xfId="13" applyNumberFormat="1" applyFont="1" applyFill="1" applyBorder="1" applyAlignment="1">
      <alignment vertical="center" shrinkToFit="1"/>
    </xf>
    <xf numFmtId="178" fontId="37" fillId="0" borderId="28" xfId="13" applyNumberFormat="1" applyFont="1" applyFill="1" applyBorder="1" applyAlignment="1">
      <alignment vertical="center" shrinkToFit="1"/>
    </xf>
    <xf numFmtId="178" fontId="36" fillId="17" borderId="28" xfId="13" applyNumberFormat="1" applyFont="1" applyFill="1" applyBorder="1" applyAlignment="1">
      <alignment vertical="center" shrinkToFit="1"/>
    </xf>
    <xf numFmtId="178" fontId="34" fillId="0" borderId="28" xfId="13" applyNumberFormat="1" applyFont="1" applyFill="1" applyBorder="1" applyAlignment="1">
      <alignment vertical="center" shrinkToFit="1"/>
    </xf>
    <xf numFmtId="178" fontId="38" fillId="0" borderId="28" xfId="13" applyNumberFormat="1" applyFont="1" applyFill="1" applyBorder="1" applyAlignment="1">
      <alignment vertical="center" shrinkToFit="1"/>
    </xf>
    <xf numFmtId="178" fontId="39" fillId="19" borderId="29" xfId="13" applyNumberFormat="1" applyFont="1" applyFill="1" applyBorder="1" applyAlignment="1">
      <alignment vertical="center" shrinkToFit="1"/>
    </xf>
    <xf numFmtId="178" fontId="39" fillId="19" borderId="30" xfId="13" applyNumberFormat="1" applyFont="1" applyFill="1" applyBorder="1" applyAlignment="1">
      <alignment vertical="center" shrinkToFit="1"/>
    </xf>
    <xf numFmtId="176" fontId="19" fillId="0" borderId="1" xfId="0" applyNumberFormat="1" applyFont="1" applyBorder="1" applyAlignment="1">
      <alignment horizontal="right" vertical="center"/>
    </xf>
    <xf numFmtId="178" fontId="19" fillId="0" borderId="0" xfId="0" applyNumberFormat="1" applyFont="1"/>
    <xf numFmtId="178" fontId="19" fillId="0" borderId="0" xfId="0" quotePrefix="1" applyNumberFormat="1" applyFont="1"/>
    <xf numFmtId="0" fontId="40" fillId="0" borderId="12" xfId="2" applyFont="1" applyBorder="1" applyAlignment="1"/>
    <xf numFmtId="0" fontId="41" fillId="0" borderId="12" xfId="2" applyFont="1" applyBorder="1" applyAlignment="1">
      <alignment horizontal="center"/>
    </xf>
    <xf numFmtId="0" fontId="41" fillId="0" borderId="49" xfId="2" applyFont="1" applyBorder="1" applyAlignment="1">
      <alignment horizontal="center"/>
    </xf>
    <xf numFmtId="41" fontId="41" fillId="0" borderId="12" xfId="2" applyNumberFormat="1" applyFont="1" applyBorder="1" applyAlignment="1"/>
    <xf numFmtId="0" fontId="39" fillId="19" borderId="44" xfId="12" applyFont="1" applyFill="1" applyBorder="1" applyAlignment="1">
      <alignment horizontal="center" vertical="center" wrapText="1"/>
    </xf>
    <xf numFmtId="0" fontId="42" fillId="0" borderId="31" xfId="12" applyFont="1" applyBorder="1">
      <alignment vertical="center"/>
    </xf>
    <xf numFmtId="0" fontId="34" fillId="0" borderId="31" xfId="12" applyFont="1" applyBorder="1">
      <alignment vertical="center"/>
    </xf>
    <xf numFmtId="0" fontId="34" fillId="0" borderId="47" xfId="12" applyFont="1" applyBorder="1">
      <alignment vertical="center"/>
    </xf>
    <xf numFmtId="184" fontId="43" fillId="0" borderId="31" xfId="14" applyNumberFormat="1" applyFont="1" applyFill="1" applyBorder="1">
      <alignment vertical="center"/>
    </xf>
    <xf numFmtId="0" fontId="39" fillId="19" borderId="48" xfId="12" applyFont="1" applyFill="1" applyBorder="1">
      <alignment vertical="center"/>
    </xf>
    <xf numFmtId="178" fontId="34" fillId="0" borderId="0" xfId="0" applyNumberFormat="1" applyFont="1" applyAlignment="1">
      <alignment vertical="center"/>
    </xf>
    <xf numFmtId="0" fontId="33" fillId="20" borderId="38" xfId="0" applyFont="1" applyFill="1" applyBorder="1" applyAlignment="1">
      <alignment horizontal="center" vertical="center" wrapText="1"/>
    </xf>
    <xf numFmtId="0" fontId="33" fillId="20" borderId="39" xfId="0" applyFont="1" applyFill="1" applyBorder="1" applyAlignment="1">
      <alignment horizontal="center" vertical="center" wrapText="1"/>
    </xf>
    <xf numFmtId="0" fontId="33" fillId="0" borderId="40" xfId="0" applyFont="1" applyBorder="1" applyAlignment="1">
      <alignment vertical="center" wrapText="1"/>
    </xf>
    <xf numFmtId="3" fontId="33" fillId="0" borderId="34" xfId="0" applyNumberFormat="1" applyFont="1" applyBorder="1" applyAlignment="1">
      <alignment horizontal="right" vertical="top" wrapText="1"/>
    </xf>
    <xf numFmtId="3" fontId="34" fillId="0" borderId="0" xfId="0" applyNumberFormat="1" applyFont="1" applyAlignment="1">
      <alignment vertical="center"/>
    </xf>
    <xf numFmtId="41" fontId="34" fillId="0" borderId="0" xfId="0" applyNumberFormat="1" applyFont="1" applyAlignment="1">
      <alignment vertical="center"/>
    </xf>
    <xf numFmtId="0" fontId="33" fillId="0" borderId="41" xfId="0" applyFont="1" applyBorder="1" applyAlignment="1">
      <alignment vertical="center" wrapText="1"/>
    </xf>
    <xf numFmtId="3" fontId="33" fillId="0" borderId="42" xfId="0" applyNumberFormat="1" applyFont="1" applyBorder="1" applyAlignment="1">
      <alignment horizontal="right" vertical="top" wrapText="1"/>
    </xf>
    <xf numFmtId="3" fontId="33" fillId="0" borderId="43" xfId="0" applyNumberFormat="1" applyFont="1" applyBorder="1" applyAlignment="1">
      <alignment horizontal="right" vertical="top" wrapText="1"/>
    </xf>
    <xf numFmtId="0" fontId="33" fillId="0" borderId="0" xfId="0" applyFont="1" applyAlignment="1">
      <alignment vertical="center" wrapText="1"/>
    </xf>
    <xf numFmtId="41" fontId="42" fillId="0" borderId="0" xfId="1" applyFont="1" applyAlignment="1">
      <alignment horizontal="center" vertical="center"/>
    </xf>
    <xf numFmtId="0" fontId="34" fillId="15" borderId="0" xfId="0" applyFont="1" applyFill="1" applyAlignment="1">
      <alignment vertical="center"/>
    </xf>
    <xf numFmtId="183" fontId="39" fillId="19" borderId="45" xfId="13" applyNumberFormat="1" applyFont="1" applyFill="1" applyBorder="1" applyAlignment="1">
      <alignment horizontal="center" vertical="center" wrapText="1"/>
    </xf>
    <xf numFmtId="183" fontId="39" fillId="19" borderId="27" xfId="13" applyNumberFormat="1" applyFont="1" applyFill="1" applyBorder="1" applyAlignment="1">
      <alignment horizontal="center" vertical="center" wrapText="1"/>
    </xf>
    <xf numFmtId="183" fontId="34" fillId="0" borderId="46" xfId="13" applyNumberFormat="1" applyFont="1" applyFill="1" applyBorder="1" applyAlignment="1">
      <alignment vertical="center" shrinkToFit="1"/>
    </xf>
    <xf numFmtId="183" fontId="34" fillId="0" borderId="28" xfId="13" applyNumberFormat="1" applyFont="1" applyFill="1" applyBorder="1" applyAlignment="1">
      <alignment vertical="center" shrinkToFit="1"/>
    </xf>
    <xf numFmtId="14" fontId="19" fillId="0" borderId="0" xfId="0" applyNumberFormat="1" applyFont="1"/>
    <xf numFmtId="14" fontId="17" fillId="0" borderId="0" xfId="0" applyNumberFormat="1" applyFont="1"/>
    <xf numFmtId="0" fontId="33" fillId="20" borderId="35" xfId="0" applyFont="1" applyFill="1" applyBorder="1" applyAlignment="1">
      <alignment horizontal="right" vertical="center" wrapText="1"/>
    </xf>
    <xf numFmtId="0" fontId="33" fillId="20" borderId="36" xfId="0" applyFont="1" applyFill="1" applyBorder="1" applyAlignment="1">
      <alignment horizontal="right" vertical="center" wrapText="1"/>
    </xf>
    <xf numFmtId="0" fontId="33" fillId="20" borderId="37" xfId="0" applyFont="1" applyFill="1" applyBorder="1" applyAlignment="1">
      <alignment horizontal="right" vertical="center" wrapText="1"/>
    </xf>
    <xf numFmtId="0" fontId="19" fillId="7" borderId="6" xfId="0" applyFont="1" applyFill="1" applyBorder="1"/>
    <xf numFmtId="0" fontId="19" fillId="0" borderId="8" xfId="0" applyFont="1" applyBorder="1"/>
    <xf numFmtId="0" fontId="19" fillId="0" borderId="9" xfId="0" applyFont="1" applyBorder="1"/>
    <xf numFmtId="0" fontId="19" fillId="7" borderId="6" xfId="0" applyFont="1" applyFill="1" applyBorder="1" applyAlignment="1">
      <alignment horizontal="left" vertical="center" wrapText="1" indent="1"/>
    </xf>
    <xf numFmtId="0" fontId="19" fillId="9" borderId="6" xfId="0" applyFont="1" applyFill="1" applyBorder="1" applyAlignment="1">
      <alignment horizontal="left" vertical="center" wrapText="1" indent="1"/>
    </xf>
    <xf numFmtId="179" fontId="8" fillId="11" borderId="6" xfId="0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indent="1"/>
    </xf>
    <xf numFmtId="0" fontId="19" fillId="0" borderId="10" xfId="0" applyFont="1" applyBorder="1"/>
    <xf numFmtId="0" fontId="19" fillId="0" borderId="11" xfId="0" applyFont="1" applyBorder="1"/>
    <xf numFmtId="0" fontId="9" fillId="9" borderId="6" xfId="0" applyFont="1" applyFill="1" applyBorder="1" applyAlignment="1">
      <alignment horizontal="left" vertical="top" wrapText="1" indent="1"/>
    </xf>
    <xf numFmtId="0" fontId="9" fillId="7" borderId="6" xfId="0" applyFont="1" applyFill="1" applyBorder="1" applyAlignment="1">
      <alignment horizontal="left" vertical="top" wrapText="1" indent="1"/>
    </xf>
    <xf numFmtId="0" fontId="8" fillId="11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 indent="1"/>
    </xf>
    <xf numFmtId="0" fontId="0" fillId="0" borderId="9" xfId="0" applyBorder="1"/>
    <xf numFmtId="0" fontId="16" fillId="2" borderId="24" xfId="0" applyFont="1" applyFill="1" applyBorder="1" applyAlignment="1">
      <alignment horizontal="center"/>
    </xf>
    <xf numFmtId="0" fontId="19" fillId="0" borderId="15" xfId="0" applyFont="1" applyBorder="1"/>
    <xf numFmtId="0" fontId="19" fillId="0" borderId="16" xfId="0" applyFont="1" applyBorder="1"/>
    <xf numFmtId="0" fontId="0" fillId="2" borderId="17" xfId="0" applyFill="1" applyBorder="1"/>
    <xf numFmtId="0" fontId="0" fillId="0" borderId="17" xfId="0" applyBorder="1"/>
    <xf numFmtId="14" fontId="13" fillId="12" borderId="6" xfId="0" applyNumberFormat="1" applyFont="1" applyFill="1" applyBorder="1" applyAlignment="1">
      <alignment horizontal="center" vertical="center"/>
    </xf>
    <xf numFmtId="0" fontId="19" fillId="5" borderId="6" xfId="0" applyFont="1" applyFill="1" applyBorder="1"/>
    <xf numFmtId="179" fontId="8" fillId="3" borderId="6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left" vertical="center" indent="1"/>
    </xf>
    <xf numFmtId="0" fontId="19" fillId="0" borderId="17" xfId="0" applyFont="1" applyBorder="1"/>
    <xf numFmtId="0" fontId="4" fillId="2" borderId="17" xfId="0" applyFont="1" applyFill="1" applyBorder="1" applyAlignment="1">
      <alignment horizontal="left" vertical="center" indent="1"/>
    </xf>
    <xf numFmtId="0" fontId="19" fillId="2" borderId="6" xfId="0" applyFont="1" applyFill="1" applyBorder="1"/>
    <xf numFmtId="0" fontId="0" fillId="5" borderId="6" xfId="0" applyFill="1" applyBorder="1"/>
    <xf numFmtId="0" fontId="0" fillId="0" borderId="8" xfId="0" applyBorder="1"/>
    <xf numFmtId="0" fontId="19" fillId="0" borderId="14" xfId="0" applyFont="1" applyBorder="1"/>
    <xf numFmtId="0" fontId="13" fillId="12" borderId="6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right" vertical="center"/>
    </xf>
    <xf numFmtId="0" fontId="6" fillId="2" borderId="17" xfId="0" applyFont="1" applyFill="1" applyBorder="1" applyAlignment="1">
      <alignment horizontal="center" vertical="center"/>
    </xf>
    <xf numFmtId="0" fontId="40" fillId="0" borderId="12" xfId="2" applyFont="1" applyBorder="1" applyAlignment="1">
      <alignment horizontal="center"/>
    </xf>
    <xf numFmtId="14" fontId="12" fillId="12" borderId="6" xfId="0" applyNumberFormat="1" applyFont="1" applyFill="1" applyBorder="1" applyAlignment="1">
      <alignment horizontal="center" vertical="center"/>
    </xf>
    <xf numFmtId="14" fontId="0" fillId="0" borderId="8" xfId="0" applyNumberFormat="1" applyBorder="1"/>
    <xf numFmtId="14" fontId="0" fillId="0" borderId="9" xfId="0" applyNumberFormat="1" applyBorder="1"/>
    <xf numFmtId="41" fontId="17" fillId="0" borderId="25" xfId="0" applyNumberFormat="1" applyFont="1" applyBorder="1"/>
  </cellXfs>
  <cellStyles count="15">
    <cellStyle name="쉼표 [0]" xfId="1" builtinId="6"/>
    <cellStyle name="쉼표 [0] 12 2" xfId="14" xr:uid="{8638453F-2F43-4C89-BE68-62097EC4FD00}"/>
    <cellStyle name="쉼표 [0] 2" xfId="6" xr:uid="{C7B58E65-7FED-43FB-B36E-4387831F1CBB}"/>
    <cellStyle name="쉼표 [0] 2 2" xfId="7" xr:uid="{C7F1C096-6250-4EB7-83D2-51D8D4704D87}"/>
    <cellStyle name="쉼표 [0] 2 2 2" xfId="9" xr:uid="{9123B1C0-BBF3-4413-BF95-7249889CB962}"/>
    <cellStyle name="쉼표 [0] 2 2 3" xfId="5" xr:uid="{0741AEE0-C3B4-448F-96E3-8BD1EFB20A7A}"/>
    <cellStyle name="쉼표 [0] 3 3" xfId="13" xr:uid="{F91C1CD0-9FDC-4CE3-8BC1-EC92639483E4}"/>
    <cellStyle name="표준" xfId="0" builtinId="0"/>
    <cellStyle name="표준 12" xfId="10" xr:uid="{465AC4EC-24A0-4B70-90EC-F9B50EFC4D45}"/>
    <cellStyle name="표준 2" xfId="2" xr:uid="{00000000-0005-0000-0000-000002000000}"/>
    <cellStyle name="표준 2 2" xfId="8" xr:uid="{AB591C46-DCD4-4627-8620-5AF45E0762F8}"/>
    <cellStyle name="표준 2 45" xfId="12" xr:uid="{18C47D36-0AEB-45B0-BD7D-D874F406E22A}"/>
    <cellStyle name="표준 3" xfId="3" xr:uid="{00000000-0005-0000-0000-000004000000}"/>
    <cellStyle name="표준 4" xfId="11" xr:uid="{AB50E89A-8E0A-4456-9639-316ACF44877D}"/>
    <cellStyle name="표준 4 5" xfId="4" xr:uid="{7200522C-DA69-4976-9ADD-437A09145B5F}"/>
  </cellStyles>
  <dxfs count="2">
    <dxf>
      <font>
        <b/>
        <i/>
        <color rgb="FF00B0F0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4"/>
  <sheetViews>
    <sheetView tabSelected="1" topLeftCell="A61" workbookViewId="0">
      <selection activeCell="A84" sqref="A84:J84"/>
    </sheetView>
  </sheetViews>
  <sheetFormatPr defaultRowHeight="17" x14ac:dyDescent="0.45"/>
  <cols>
    <col min="1" max="1" width="24" style="4" customWidth="1"/>
    <col min="2" max="2" width="20.58203125" style="4" bestFit="1" customWidth="1"/>
    <col min="3" max="4" width="14" style="4" customWidth="1"/>
    <col min="5" max="5" width="15.33203125" style="4" bestFit="1" customWidth="1"/>
    <col min="6" max="6" width="21.5" style="4" bestFit="1" customWidth="1"/>
    <col min="7" max="7" width="11.83203125" style="4" bestFit="1" customWidth="1"/>
    <col min="8" max="8" width="14" style="4" customWidth="1"/>
    <col min="9" max="9" width="11.83203125" style="4" bestFit="1" customWidth="1"/>
    <col min="10" max="10" width="24.08203125" style="4" customWidth="1"/>
    <col min="11" max="11" width="11.83203125" bestFit="1" customWidth="1"/>
  </cols>
  <sheetData>
    <row r="1" spans="1:10" ht="8" customHeight="1" x14ac:dyDescent="0.45">
      <c r="A1" s="137"/>
      <c r="B1" s="138"/>
      <c r="C1" s="138"/>
      <c r="D1" s="138"/>
      <c r="E1" s="138"/>
      <c r="F1" s="138"/>
      <c r="G1" s="138"/>
      <c r="H1" s="138"/>
      <c r="I1" s="138"/>
      <c r="J1" s="138"/>
    </row>
    <row r="2" spans="1:10" ht="18" customHeight="1" x14ac:dyDescent="0.45">
      <c r="A2" s="146" t="s">
        <v>1</v>
      </c>
      <c r="B2" s="138"/>
      <c r="C2" s="138"/>
      <c r="D2" s="138"/>
      <c r="E2" s="138"/>
      <c r="F2" s="138"/>
      <c r="G2" s="153" t="s">
        <v>120</v>
      </c>
      <c r="H2" s="138"/>
      <c r="I2" s="138"/>
      <c r="J2" s="138"/>
    </row>
    <row r="3" spans="1:10" ht="30" customHeight="1" x14ac:dyDescent="0.45">
      <c r="A3" s="154" t="s">
        <v>121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 ht="18" customHeight="1" x14ac:dyDescent="0.45">
      <c r="A4" s="142" t="s">
        <v>34</v>
      </c>
      <c r="B4" s="138"/>
      <c r="C4" s="138"/>
      <c r="D4" s="138"/>
      <c r="E4" s="138"/>
      <c r="F4" s="138"/>
      <c r="G4" s="138"/>
      <c r="H4" s="138"/>
      <c r="I4" s="138"/>
      <c r="J4" s="138"/>
    </row>
    <row r="5" spans="1:10" ht="20" customHeight="1" x14ac:dyDescent="0.45">
      <c r="A5" s="131" t="s">
        <v>2</v>
      </c>
      <c r="B5" s="133"/>
      <c r="C5" s="151" t="s">
        <v>3</v>
      </c>
      <c r="D5" s="133"/>
      <c r="E5" s="131" t="s">
        <v>35</v>
      </c>
      <c r="F5" s="133"/>
      <c r="G5" s="152" t="s">
        <v>13</v>
      </c>
      <c r="H5" s="149"/>
      <c r="I5" s="149"/>
      <c r="J5" s="133"/>
    </row>
    <row r="6" spans="1:10" ht="20" customHeight="1" x14ac:dyDescent="0.45">
      <c r="A6" s="131" t="s">
        <v>4</v>
      </c>
      <c r="B6" s="133"/>
      <c r="C6" s="139">
        <v>46227</v>
      </c>
      <c r="D6" s="133"/>
      <c r="E6" s="131" t="s">
        <v>5</v>
      </c>
      <c r="F6" s="133"/>
      <c r="G6" s="156">
        <v>46227</v>
      </c>
      <c r="H6" s="157"/>
      <c r="I6" s="157"/>
      <c r="J6" s="158"/>
    </row>
    <row r="7" spans="1:10" ht="20" customHeight="1" x14ac:dyDescent="0.45">
      <c r="A7" s="131" t="s">
        <v>36</v>
      </c>
      <c r="B7" s="133"/>
      <c r="C7" s="139">
        <v>46203</v>
      </c>
      <c r="D7" s="133"/>
      <c r="E7" s="148"/>
      <c r="F7" s="133"/>
      <c r="G7" s="148"/>
      <c r="H7" s="149"/>
      <c r="I7" s="149"/>
      <c r="J7" s="133"/>
    </row>
    <row r="8" spans="1:10" ht="18" customHeight="1" x14ac:dyDescent="0.45"/>
    <row r="9" spans="1:10" ht="6" customHeight="1" x14ac:dyDescent="0.45">
      <c r="A9" s="137"/>
      <c r="B9" s="138"/>
      <c r="C9" s="138"/>
      <c r="D9" s="138"/>
      <c r="E9" s="138"/>
      <c r="F9" s="138"/>
      <c r="G9" s="138"/>
      <c r="H9" s="138"/>
      <c r="I9" s="138"/>
      <c r="J9" s="138"/>
    </row>
    <row r="10" spans="1:10" s="18" customFormat="1" ht="22" customHeight="1" x14ac:dyDescent="0.4">
      <c r="A10" s="8" t="s">
        <v>37</v>
      </c>
      <c r="B10" s="131"/>
      <c r="C10" s="119"/>
      <c r="D10" s="120"/>
      <c r="E10" s="141">
        <v>46203</v>
      </c>
      <c r="F10" s="119"/>
      <c r="G10" s="119"/>
      <c r="H10" s="120"/>
      <c r="I10" s="131" t="s">
        <v>0</v>
      </c>
      <c r="J10" s="120"/>
    </row>
    <row r="11" spans="1:10" s="18" customFormat="1" ht="22" customHeight="1" x14ac:dyDescent="0.4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  <c r="H11" s="2" t="s">
        <v>45</v>
      </c>
      <c r="I11" s="2" t="s">
        <v>46</v>
      </c>
      <c r="J11" s="2" t="s">
        <v>47</v>
      </c>
    </row>
    <row r="12" spans="1:10" s="18" customFormat="1" ht="20" customHeight="1" x14ac:dyDescent="0.4">
      <c r="A12" s="29" t="s">
        <v>31</v>
      </c>
      <c r="B12" s="30">
        <v>22189289848</v>
      </c>
      <c r="C12" s="30">
        <v>0</v>
      </c>
      <c r="D12" s="30">
        <v>4280784678</v>
      </c>
      <c r="E12" s="30">
        <v>17908505170</v>
      </c>
      <c r="F12" s="30"/>
      <c r="G12" s="30"/>
      <c r="H12" s="30">
        <v>17908505170</v>
      </c>
      <c r="I12" s="3" t="s">
        <v>122</v>
      </c>
      <c r="J12" s="31"/>
    </row>
    <row r="13" spans="1:10" s="18" customFormat="1" ht="20" customHeight="1" x14ac:dyDescent="0.4">
      <c r="A13" s="29" t="s">
        <v>28</v>
      </c>
      <c r="B13" s="30">
        <v>11609712365</v>
      </c>
      <c r="C13" s="30">
        <v>0</v>
      </c>
      <c r="D13" s="30">
        <v>1144541982</v>
      </c>
      <c r="E13" s="30">
        <v>10465170383</v>
      </c>
      <c r="F13" s="30"/>
      <c r="G13" s="30"/>
      <c r="H13" s="30">
        <v>10465170383</v>
      </c>
      <c r="I13" s="3" t="s">
        <v>50</v>
      </c>
      <c r="J13" s="31"/>
    </row>
    <row r="14" spans="1:10" s="18" customFormat="1" ht="20" customHeight="1" x14ac:dyDescent="0.4">
      <c r="A14" s="29" t="s">
        <v>123</v>
      </c>
      <c r="B14" s="30">
        <v>613530000</v>
      </c>
      <c r="C14" s="30">
        <v>0</v>
      </c>
      <c r="D14" s="30">
        <v>0</v>
      </c>
      <c r="E14" s="30">
        <v>613530000</v>
      </c>
      <c r="F14" s="30"/>
      <c r="G14" s="30"/>
      <c r="H14" s="30">
        <v>613530000</v>
      </c>
      <c r="I14" s="3" t="s">
        <v>124</v>
      </c>
      <c r="J14" s="31"/>
    </row>
    <row r="15" spans="1:10" s="18" customFormat="1" ht="20" customHeight="1" x14ac:dyDescent="0.4">
      <c r="A15" s="29" t="s">
        <v>24</v>
      </c>
      <c r="B15" s="30">
        <v>9099800904</v>
      </c>
      <c r="C15" s="30">
        <v>14000000</v>
      </c>
      <c r="D15" s="30">
        <v>0</v>
      </c>
      <c r="E15" s="30">
        <v>9113800904</v>
      </c>
      <c r="F15" s="30"/>
      <c r="G15" s="30"/>
      <c r="H15" s="30">
        <v>9113800904</v>
      </c>
      <c r="I15" s="3" t="s">
        <v>125</v>
      </c>
      <c r="J15" s="31"/>
    </row>
    <row r="16" spans="1:10" s="18" customFormat="1" ht="20" customHeight="1" x14ac:dyDescent="0.4">
      <c r="A16" s="29" t="s">
        <v>21</v>
      </c>
      <c r="B16" s="30">
        <v>137351362</v>
      </c>
      <c r="C16" s="30">
        <v>72676310</v>
      </c>
      <c r="D16" s="30">
        <v>39674148</v>
      </c>
      <c r="E16" s="30">
        <v>170353524</v>
      </c>
      <c r="F16" s="30"/>
      <c r="G16" s="30"/>
      <c r="H16" s="30">
        <v>170353524</v>
      </c>
      <c r="I16" s="3" t="s">
        <v>126</v>
      </c>
      <c r="J16" s="31"/>
    </row>
    <row r="17" spans="1:10" s="18" customFormat="1" ht="20" customHeight="1" x14ac:dyDescent="0.4">
      <c r="A17" s="29" t="s">
        <v>127</v>
      </c>
      <c r="B17" s="30">
        <v>1387225020</v>
      </c>
      <c r="C17" s="30">
        <v>0</v>
      </c>
      <c r="D17" s="30">
        <v>0</v>
      </c>
      <c r="E17" s="30">
        <v>1387225020</v>
      </c>
      <c r="F17" s="30"/>
      <c r="G17" s="30"/>
      <c r="H17" s="30">
        <v>1387225020</v>
      </c>
      <c r="I17" s="3" t="s">
        <v>128</v>
      </c>
      <c r="J17" s="31"/>
    </row>
    <row r="18" spans="1:10" s="18" customFormat="1" ht="20" customHeight="1" x14ac:dyDescent="0.4">
      <c r="A18" s="29" t="s">
        <v>25</v>
      </c>
      <c r="B18" s="30">
        <v>3781172913</v>
      </c>
      <c r="C18" s="30">
        <v>8030000</v>
      </c>
      <c r="D18" s="30">
        <v>0</v>
      </c>
      <c r="E18" s="30">
        <v>3789202913</v>
      </c>
      <c r="F18" s="30"/>
      <c r="G18" s="30"/>
      <c r="H18" s="30">
        <v>3789202913</v>
      </c>
      <c r="I18" s="3" t="s">
        <v>129</v>
      </c>
      <c r="J18" s="31"/>
    </row>
    <row r="19" spans="1:10" s="18" customFormat="1" ht="20" customHeight="1" x14ac:dyDescent="0.4">
      <c r="A19" s="29" t="s">
        <v>18</v>
      </c>
      <c r="B19" s="30">
        <v>485800000</v>
      </c>
      <c r="C19" s="30">
        <v>4517326310</v>
      </c>
      <c r="D19" s="30">
        <v>3273676310</v>
      </c>
      <c r="E19" s="30">
        <v>1729450000</v>
      </c>
      <c r="F19" s="30"/>
      <c r="G19" s="30"/>
      <c r="H19" s="30">
        <v>1729450000</v>
      </c>
      <c r="I19" s="3" t="s">
        <v>130</v>
      </c>
      <c r="J19" s="31"/>
    </row>
    <row r="20" spans="1:10" s="18" customFormat="1" ht="20" customHeight="1" x14ac:dyDescent="0.4">
      <c r="A20" s="32" t="s">
        <v>19</v>
      </c>
      <c r="B20" s="33">
        <v>837404699</v>
      </c>
      <c r="C20" s="30">
        <v>305056685</v>
      </c>
      <c r="D20" s="30">
        <v>34093119</v>
      </c>
      <c r="E20" s="30">
        <v>1108368265</v>
      </c>
      <c r="F20" s="33"/>
      <c r="G20" s="33"/>
      <c r="H20" s="30">
        <v>1108368265</v>
      </c>
      <c r="I20" s="5"/>
      <c r="J20" s="34"/>
    </row>
    <row r="21" spans="1:10" s="18" customFormat="1" ht="6" customHeight="1" x14ac:dyDescent="0.4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0" s="18" customFormat="1" ht="22" customHeight="1" x14ac:dyDescent="0.4">
      <c r="A22" s="36" t="s">
        <v>49</v>
      </c>
      <c r="B22" s="37">
        <v>50141287111</v>
      </c>
      <c r="C22" s="37">
        <v>4917089305</v>
      </c>
      <c r="D22" s="37">
        <v>8772770237</v>
      </c>
      <c r="E22" s="37">
        <v>46285606179</v>
      </c>
      <c r="F22" s="37">
        <v>0</v>
      </c>
      <c r="G22" s="37">
        <v>0</v>
      </c>
      <c r="H22" s="37">
        <v>46285606179</v>
      </c>
      <c r="I22" s="35"/>
      <c r="J22" s="35"/>
    </row>
    <row r="23" spans="1:10" s="18" customFormat="1" ht="18" customHeight="1" x14ac:dyDescent="0.4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s="18" customFormat="1" ht="18" customHeight="1" x14ac:dyDescent="0.4">
      <c r="A24" s="9" t="s">
        <v>132</v>
      </c>
      <c r="B24" s="130"/>
      <c r="C24" s="119"/>
      <c r="D24" s="120"/>
      <c r="E24" s="123"/>
      <c r="F24" s="119"/>
      <c r="G24" s="119"/>
      <c r="H24" s="120"/>
      <c r="I24" s="130" t="s">
        <v>0</v>
      </c>
      <c r="J24" s="120"/>
    </row>
    <row r="25" spans="1:10" s="18" customFormat="1" ht="18" customHeight="1" x14ac:dyDescent="0.4">
      <c r="A25" s="6" t="s">
        <v>38</v>
      </c>
      <c r="B25" s="6" t="s">
        <v>39</v>
      </c>
      <c r="C25" s="6" t="s">
        <v>40</v>
      </c>
      <c r="D25" s="6" t="s">
        <v>41</v>
      </c>
      <c r="E25" s="6" t="s">
        <v>42</v>
      </c>
      <c r="F25" s="6" t="s">
        <v>43</v>
      </c>
      <c r="G25" s="6" t="s">
        <v>44</v>
      </c>
      <c r="H25" s="6" t="s">
        <v>45</v>
      </c>
      <c r="I25" s="6" t="s">
        <v>46</v>
      </c>
      <c r="J25" s="6" t="s">
        <v>47</v>
      </c>
    </row>
    <row r="26" spans="1:10" s="18" customFormat="1" ht="18" customHeight="1" x14ac:dyDescent="0.4">
      <c r="A26" s="38" t="s">
        <v>20</v>
      </c>
      <c r="B26" s="39">
        <v>-5528301608</v>
      </c>
      <c r="C26" s="39">
        <v>-167823807</v>
      </c>
      <c r="D26" s="39">
        <v>-228268147</v>
      </c>
      <c r="E26" s="39">
        <v>-5467857268</v>
      </c>
      <c r="F26" s="39"/>
      <c r="G26" s="39"/>
      <c r="H26" s="39">
        <v>-5467857268</v>
      </c>
      <c r="I26" s="5" t="s">
        <v>50</v>
      </c>
      <c r="J26" s="34"/>
    </row>
    <row r="27" spans="1:10" s="18" customFormat="1" ht="18" customHeight="1" x14ac:dyDescent="0.4">
      <c r="A27" s="38" t="s">
        <v>29</v>
      </c>
      <c r="B27" s="39">
        <v>-307087106</v>
      </c>
      <c r="C27" s="39">
        <v>-11466131</v>
      </c>
      <c r="D27" s="39">
        <v>0</v>
      </c>
      <c r="E27" s="39">
        <v>-318553237</v>
      </c>
      <c r="F27" s="39"/>
      <c r="G27" s="39"/>
      <c r="H27" s="39">
        <v>-318553237</v>
      </c>
      <c r="I27" s="5" t="s">
        <v>125</v>
      </c>
      <c r="J27" s="34"/>
    </row>
    <row r="28" spans="1:10" s="18" customFormat="1" ht="18" customHeight="1" x14ac:dyDescent="0.4">
      <c r="A28" s="38" t="s">
        <v>33</v>
      </c>
      <c r="B28" s="39">
        <v>-3908029045</v>
      </c>
      <c r="C28" s="39">
        <v>-175156825</v>
      </c>
      <c r="D28" s="39">
        <v>0</v>
      </c>
      <c r="E28" s="39">
        <v>-4083185870</v>
      </c>
      <c r="F28" s="39"/>
      <c r="G28" s="39"/>
      <c r="H28" s="39">
        <v>-4083185870</v>
      </c>
      <c r="I28" s="5" t="s">
        <v>126</v>
      </c>
      <c r="J28" s="34"/>
    </row>
    <row r="29" spans="1:10" s="18" customFormat="1" ht="18" customHeight="1" x14ac:dyDescent="0.4">
      <c r="A29" s="38" t="s">
        <v>22</v>
      </c>
      <c r="B29" s="39">
        <v>-137343362</v>
      </c>
      <c r="C29" s="39">
        <v>-6056359</v>
      </c>
      <c r="D29" s="39">
        <v>-39673148</v>
      </c>
      <c r="E29" s="39">
        <v>-103726573</v>
      </c>
      <c r="F29" s="39"/>
      <c r="G29" s="39"/>
      <c r="H29" s="39">
        <v>-103726573</v>
      </c>
      <c r="I29" s="5" t="s">
        <v>129</v>
      </c>
      <c r="J29" s="34"/>
    </row>
    <row r="30" spans="1:10" s="18" customFormat="1" ht="18" customHeight="1" x14ac:dyDescent="0.4">
      <c r="A30" s="38" t="s">
        <v>32</v>
      </c>
      <c r="B30" s="39">
        <v>-1274972951</v>
      </c>
      <c r="C30" s="39">
        <v>-17647645</v>
      </c>
      <c r="D30" s="39">
        <v>0</v>
      </c>
      <c r="E30" s="39">
        <v>-1292620596</v>
      </c>
      <c r="F30" s="39"/>
      <c r="G30" s="39"/>
      <c r="H30" s="39">
        <v>-1292620596</v>
      </c>
      <c r="I30" s="5" t="s">
        <v>130</v>
      </c>
      <c r="J30" s="34"/>
    </row>
    <row r="31" spans="1:10" s="18" customFormat="1" ht="18" customHeight="1" x14ac:dyDescent="0.4">
      <c r="A31" s="38" t="s">
        <v>27</v>
      </c>
      <c r="B31" s="39">
        <v>-3309110669</v>
      </c>
      <c r="C31" s="39">
        <v>-136140282</v>
      </c>
      <c r="D31" s="39">
        <v>0</v>
      </c>
      <c r="E31" s="39">
        <v>-3445250951</v>
      </c>
      <c r="F31" s="39"/>
      <c r="G31" s="39"/>
      <c r="H31" s="39">
        <v>-3445250951</v>
      </c>
      <c r="I31" s="5" t="s">
        <v>133</v>
      </c>
      <c r="J31" s="34"/>
    </row>
    <row r="32" spans="1:10" s="18" customFormat="1" ht="18" customHeight="1" x14ac:dyDescent="0.4">
      <c r="A32" s="38" t="s">
        <v>23</v>
      </c>
      <c r="B32" s="39">
        <v>-237158749</v>
      </c>
      <c r="C32" s="39">
        <v>-146939846</v>
      </c>
      <c r="D32" s="39">
        <v>-31935106</v>
      </c>
      <c r="E32" s="39">
        <v>-352163489</v>
      </c>
      <c r="F32" s="39"/>
      <c r="G32" s="39"/>
      <c r="H32" s="39">
        <v>-352163489</v>
      </c>
      <c r="I32" s="5" t="s">
        <v>134</v>
      </c>
      <c r="J32" s="34"/>
    </row>
    <row r="33" spans="1:10" s="18" customFormat="1" ht="5.5" customHeight="1" thickBot="1" x14ac:dyDescent="0.45">
      <c r="A33" s="40"/>
      <c r="B33" s="41"/>
      <c r="C33" s="41"/>
      <c r="D33" s="41"/>
      <c r="E33" s="41"/>
      <c r="F33" s="41"/>
      <c r="G33" s="41"/>
      <c r="H33" s="41"/>
      <c r="I33" s="7"/>
      <c r="J33" s="42"/>
    </row>
    <row r="34" spans="1:10" s="18" customFormat="1" ht="20" customHeight="1" thickBot="1" x14ac:dyDescent="0.45">
      <c r="A34" s="36" t="s">
        <v>49</v>
      </c>
      <c r="B34" s="37">
        <v>-14702003490</v>
      </c>
      <c r="C34" s="37">
        <v>-661230895</v>
      </c>
      <c r="D34" s="37">
        <v>-299876401</v>
      </c>
      <c r="E34" s="37">
        <v>-15063357984</v>
      </c>
      <c r="F34" s="37">
        <v>0</v>
      </c>
      <c r="G34" s="37">
        <v>0</v>
      </c>
      <c r="H34" s="37">
        <v>-15063357984</v>
      </c>
      <c r="I34" s="7"/>
      <c r="J34" s="42"/>
    </row>
    <row r="35" spans="1:10" s="18" customFormat="1" ht="18" customHeight="1" x14ac:dyDescent="0.4">
      <c r="A35" s="35"/>
      <c r="B35" s="35"/>
      <c r="C35" s="35"/>
      <c r="D35" s="35"/>
      <c r="E35" s="35"/>
      <c r="F35" s="35"/>
      <c r="G35" s="35"/>
      <c r="H35" s="35"/>
      <c r="I35" s="35"/>
      <c r="J35" s="35"/>
    </row>
    <row r="36" spans="1:10" s="18" customFormat="1" ht="18" customHeight="1" x14ac:dyDescent="0.4">
      <c r="A36" s="9" t="s">
        <v>51</v>
      </c>
      <c r="B36" s="130"/>
      <c r="C36" s="119"/>
      <c r="D36" s="120"/>
      <c r="E36" s="123"/>
      <c r="F36" s="119"/>
      <c r="G36" s="119"/>
      <c r="H36" s="120"/>
      <c r="I36" s="130" t="s">
        <v>0</v>
      </c>
      <c r="J36" s="120"/>
    </row>
    <row r="37" spans="1:10" s="18" customFormat="1" ht="18" customHeight="1" x14ac:dyDescent="0.4">
      <c r="A37" s="6" t="s">
        <v>38</v>
      </c>
      <c r="B37" s="6" t="s">
        <v>39</v>
      </c>
      <c r="C37" s="6" t="s">
        <v>40</v>
      </c>
      <c r="D37" s="6" t="s">
        <v>41</v>
      </c>
      <c r="E37" s="6" t="s">
        <v>42</v>
      </c>
      <c r="F37" s="6" t="s">
        <v>43</v>
      </c>
      <c r="G37" s="6" t="s">
        <v>44</v>
      </c>
      <c r="H37" s="6" t="s">
        <v>45</v>
      </c>
      <c r="I37" s="6" t="s">
        <v>46</v>
      </c>
      <c r="J37" s="6" t="s">
        <v>47</v>
      </c>
    </row>
    <row r="38" spans="1:10" s="18" customFormat="1" ht="18" customHeight="1" x14ac:dyDescent="0.4">
      <c r="A38" s="38" t="s">
        <v>281</v>
      </c>
      <c r="B38" s="39">
        <v>-326984578</v>
      </c>
      <c r="C38" s="39">
        <v>0</v>
      </c>
      <c r="D38" s="39">
        <v>0</v>
      </c>
      <c r="E38" s="39">
        <v>-326984578</v>
      </c>
      <c r="F38" s="39"/>
      <c r="G38" s="39"/>
      <c r="H38" s="39">
        <v>-326984578</v>
      </c>
      <c r="I38" s="38"/>
    </row>
    <row r="39" spans="1:10" s="18" customFormat="1" ht="18" customHeight="1" x14ac:dyDescent="0.4">
      <c r="A39" s="38" t="s">
        <v>282</v>
      </c>
      <c r="B39" s="39">
        <v>-6560834</v>
      </c>
      <c r="C39" s="39">
        <v>0</v>
      </c>
      <c r="D39" s="39">
        <v>0</v>
      </c>
      <c r="E39" s="39">
        <v>-6560834</v>
      </c>
      <c r="F39" s="39"/>
      <c r="G39" s="39"/>
      <c r="H39" s="39">
        <v>-6560834</v>
      </c>
      <c r="I39" s="38"/>
    </row>
    <row r="40" spans="1:10" s="18" customFormat="1" ht="18" customHeight="1" x14ac:dyDescent="0.4">
      <c r="A40" s="38" t="s">
        <v>30</v>
      </c>
      <c r="B40" s="39">
        <v>-33925265</v>
      </c>
      <c r="C40" s="39">
        <v>12880846</v>
      </c>
      <c r="D40" s="39">
        <v>0</v>
      </c>
      <c r="E40" s="39">
        <v>-21044419</v>
      </c>
      <c r="F40" s="39"/>
      <c r="G40" s="39"/>
      <c r="H40" s="39">
        <v>-21044419</v>
      </c>
      <c r="I40" s="38"/>
    </row>
    <row r="41" spans="1:10" s="18" customFormat="1" ht="18" customHeight="1" x14ac:dyDescent="0.4">
      <c r="A41" s="38" t="s">
        <v>283</v>
      </c>
      <c r="B41" s="39">
        <v>-3339977</v>
      </c>
      <c r="C41" s="39">
        <v>0</v>
      </c>
      <c r="D41" s="39">
        <v>0</v>
      </c>
      <c r="E41" s="39">
        <v>-3339977</v>
      </c>
      <c r="F41" s="39"/>
      <c r="G41" s="39"/>
      <c r="H41" s="39">
        <v>-3339977</v>
      </c>
      <c r="I41" s="38"/>
    </row>
    <row r="42" spans="1:10" s="18" customFormat="1" ht="18" customHeight="1" thickBot="1" x14ac:dyDescent="0.45">
      <c r="A42" s="38"/>
      <c r="B42" s="39"/>
      <c r="C42" s="39"/>
      <c r="D42" s="39"/>
      <c r="E42" s="39"/>
      <c r="F42" s="39"/>
      <c r="G42" s="39"/>
      <c r="H42" s="39">
        <v>0</v>
      </c>
      <c r="I42" s="38"/>
    </row>
    <row r="43" spans="1:10" s="18" customFormat="1" ht="18" customHeight="1" thickBot="1" x14ac:dyDescent="0.45">
      <c r="A43" s="54" t="s">
        <v>49</v>
      </c>
      <c r="B43" s="55">
        <v>-370810654</v>
      </c>
      <c r="C43" s="55">
        <v>12880846</v>
      </c>
      <c r="D43" s="55">
        <v>0</v>
      </c>
      <c r="E43" s="55">
        <v>-357929808</v>
      </c>
      <c r="F43" s="55">
        <v>0</v>
      </c>
      <c r="G43" s="55">
        <v>0</v>
      </c>
      <c r="H43" s="55">
        <v>-357929808</v>
      </c>
    </row>
    <row r="44" spans="1:10" s="18" customFormat="1" ht="18" customHeight="1" x14ac:dyDescent="0.4">
      <c r="A44" s="18" t="s">
        <v>284</v>
      </c>
      <c r="B44" s="64">
        <v>35068472967</v>
      </c>
      <c r="E44" s="59">
        <v>30864318387</v>
      </c>
      <c r="H44" s="59">
        <v>30864318387</v>
      </c>
    </row>
    <row r="45" spans="1:10" s="18" customFormat="1" ht="18" customHeight="1" thickBot="1" x14ac:dyDescent="0.45"/>
    <row r="46" spans="1:10" s="18" customFormat="1" ht="22" customHeight="1" thickBot="1" x14ac:dyDescent="0.45">
      <c r="A46" s="125" t="s">
        <v>57</v>
      </c>
      <c r="B46" s="126"/>
      <c r="C46" s="126"/>
      <c r="D46" s="126"/>
      <c r="E46" s="126"/>
      <c r="F46" s="126"/>
      <c r="G46" s="126"/>
      <c r="H46" s="126"/>
      <c r="I46" s="126"/>
      <c r="J46" s="127"/>
    </row>
    <row r="47" spans="1:10" s="18" customFormat="1" ht="20" customHeight="1" x14ac:dyDescent="0.4">
      <c r="A47" s="2" t="s">
        <v>38</v>
      </c>
      <c r="B47" s="2" t="s">
        <v>58</v>
      </c>
      <c r="C47" s="2" t="s">
        <v>59</v>
      </c>
      <c r="D47" s="2" t="s">
        <v>0</v>
      </c>
      <c r="E47" s="147"/>
      <c r="F47" s="119"/>
      <c r="G47" s="119"/>
      <c r="H47" s="119"/>
      <c r="I47" s="119"/>
      <c r="J47" s="120"/>
    </row>
    <row r="48" spans="1:10" s="18" customFormat="1" ht="20" customHeight="1" x14ac:dyDescent="0.4">
      <c r="A48" s="43" t="s">
        <v>31</v>
      </c>
      <c r="B48" s="44">
        <v>-4280784678</v>
      </c>
      <c r="C48" s="45">
        <v>-0.19292121141884325</v>
      </c>
      <c r="D48" s="46" t="s">
        <v>285</v>
      </c>
      <c r="E48" s="140"/>
      <c r="F48" s="119"/>
      <c r="G48" s="119"/>
      <c r="H48" s="119"/>
      <c r="I48" s="119"/>
      <c r="J48" s="120"/>
    </row>
    <row r="49" spans="1:10" s="18" customFormat="1" ht="20" customHeight="1" x14ac:dyDescent="0.4">
      <c r="A49" s="43" t="s">
        <v>28</v>
      </c>
      <c r="B49" s="44">
        <v>-1084097642</v>
      </c>
      <c r="C49" s="45">
        <v>-9.3378509985161035E-2</v>
      </c>
      <c r="D49" s="46" t="s">
        <v>285</v>
      </c>
      <c r="E49" s="140"/>
      <c r="F49" s="119"/>
      <c r="G49" s="119"/>
      <c r="H49" s="119"/>
      <c r="I49" s="119"/>
      <c r="J49" s="120"/>
    </row>
    <row r="50" spans="1:10" s="18" customFormat="1" ht="20" customHeight="1" x14ac:dyDescent="0.4">
      <c r="A50" s="43" t="s">
        <v>123</v>
      </c>
      <c r="B50" s="44">
        <v>-11466131</v>
      </c>
      <c r="C50" s="45">
        <v>-1.8688786204423581E-2</v>
      </c>
      <c r="D50" s="46"/>
      <c r="E50" s="140"/>
      <c r="F50" s="119"/>
      <c r="G50" s="119"/>
      <c r="H50" s="119"/>
      <c r="I50" s="119"/>
      <c r="J50" s="120"/>
    </row>
    <row r="51" spans="1:10" s="18" customFormat="1" ht="20" customHeight="1" x14ac:dyDescent="0.4">
      <c r="A51" s="43" t="s">
        <v>24</v>
      </c>
      <c r="B51" s="44">
        <v>-161156825</v>
      </c>
      <c r="C51" s="45">
        <v>-1.7709928678676948E-2</v>
      </c>
      <c r="D51" s="46"/>
      <c r="E51" s="140"/>
      <c r="F51" s="119"/>
      <c r="G51" s="119"/>
      <c r="H51" s="119"/>
      <c r="I51" s="119"/>
      <c r="J51" s="120"/>
    </row>
    <row r="52" spans="1:10" s="18" customFormat="1" ht="20" customHeight="1" x14ac:dyDescent="0.4">
      <c r="A52" s="43" t="s">
        <v>21</v>
      </c>
      <c r="B52" s="44">
        <v>66618951</v>
      </c>
      <c r="C52" s="45">
        <v>0.48502577644625033</v>
      </c>
      <c r="D52" s="46"/>
      <c r="E52" s="140"/>
      <c r="F52" s="119"/>
      <c r="G52" s="119"/>
      <c r="H52" s="119"/>
      <c r="I52" s="119"/>
      <c r="J52" s="120"/>
    </row>
    <row r="53" spans="1:10" s="18" customFormat="1" ht="20" customHeight="1" x14ac:dyDescent="0.4">
      <c r="A53" s="43" t="s">
        <v>127</v>
      </c>
      <c r="B53" s="44">
        <v>-17647645</v>
      </c>
      <c r="C53" s="45">
        <v>-1.2721544627273231E-2</v>
      </c>
      <c r="D53" s="46"/>
      <c r="E53" s="140"/>
      <c r="F53" s="119"/>
      <c r="G53" s="119"/>
      <c r="H53" s="119"/>
      <c r="I53" s="119"/>
      <c r="J53" s="120"/>
    </row>
    <row r="54" spans="1:10" s="18" customFormat="1" ht="20" customHeight="1" x14ac:dyDescent="0.4">
      <c r="A54" s="43" t="s">
        <v>25</v>
      </c>
      <c r="B54" s="44">
        <v>-128110282</v>
      </c>
      <c r="C54" s="45">
        <v>-3.3881095878886089E-2</v>
      </c>
      <c r="D54" s="46"/>
      <c r="E54" s="140"/>
      <c r="F54" s="119"/>
      <c r="G54" s="119"/>
      <c r="H54" s="119"/>
      <c r="I54" s="119"/>
      <c r="J54" s="120"/>
    </row>
    <row r="55" spans="1:10" s="18" customFormat="1" ht="20" customHeight="1" x14ac:dyDescent="0.4">
      <c r="A55" s="43" t="s">
        <v>18</v>
      </c>
      <c r="B55" s="44">
        <v>1128645260</v>
      </c>
      <c r="C55" s="45">
        <v>2.3232714285714287</v>
      </c>
      <c r="D55" s="46" t="s">
        <v>286</v>
      </c>
      <c r="E55" s="140"/>
      <c r="F55" s="119"/>
      <c r="G55" s="119"/>
      <c r="H55" s="119"/>
      <c r="I55" s="119"/>
      <c r="J55" s="120"/>
    </row>
    <row r="56" spans="1:10" s="18" customFormat="1" ht="20" customHeight="1" x14ac:dyDescent="0.4">
      <c r="A56" s="43" t="s">
        <v>131</v>
      </c>
      <c r="B56" s="44">
        <v>155958826</v>
      </c>
      <c r="C56" s="45">
        <v>0.18624068647601416</v>
      </c>
      <c r="D56" s="46"/>
      <c r="E56" s="140"/>
      <c r="F56" s="119"/>
      <c r="G56" s="119"/>
      <c r="H56" s="119"/>
      <c r="I56" s="119"/>
      <c r="J56" s="120"/>
    </row>
    <row r="57" spans="1:10" s="18" customFormat="1" ht="18" customHeight="1" x14ac:dyDescent="0.4">
      <c r="A57" s="35"/>
      <c r="B57" s="35"/>
      <c r="C57" s="35"/>
      <c r="D57" s="35"/>
      <c r="E57" s="35"/>
      <c r="F57" s="35"/>
      <c r="G57" s="35"/>
      <c r="H57" s="35"/>
      <c r="I57" s="35"/>
      <c r="J57" s="35"/>
    </row>
    <row r="58" spans="1:10" s="18" customFormat="1" ht="18" customHeight="1" thickBot="1" x14ac:dyDescent="0.45"/>
    <row r="59" spans="1:10" s="18" customFormat="1" ht="18" customHeight="1" thickBot="1" x14ac:dyDescent="0.45">
      <c r="A59" s="125" t="s">
        <v>135</v>
      </c>
      <c r="B59" s="126"/>
      <c r="C59" s="126"/>
      <c r="D59" s="126"/>
      <c r="E59" s="126"/>
      <c r="F59" s="126"/>
      <c r="G59" s="126"/>
      <c r="H59" s="126"/>
      <c r="I59" s="126"/>
      <c r="J59" s="127"/>
    </row>
    <row r="60" spans="1:10" s="18" customFormat="1" ht="18" customHeight="1" x14ac:dyDescent="0.4">
      <c r="A60" s="143" t="s">
        <v>38</v>
      </c>
      <c r="B60" s="143" t="s">
        <v>52</v>
      </c>
      <c r="C60" s="135"/>
      <c r="D60" s="136"/>
      <c r="E60" s="134" t="s">
        <v>53</v>
      </c>
      <c r="F60" s="135"/>
      <c r="G60" s="136"/>
      <c r="H60" s="47"/>
      <c r="I60" s="47"/>
      <c r="J60" s="48"/>
    </row>
    <row r="61" spans="1:10" s="18" customFormat="1" ht="18" customHeight="1" x14ac:dyDescent="0.4">
      <c r="A61" s="150"/>
      <c r="B61" s="10" t="s">
        <v>54</v>
      </c>
      <c r="C61" s="10" t="s">
        <v>55</v>
      </c>
      <c r="D61" s="10" t="s">
        <v>56</v>
      </c>
      <c r="E61" s="11" t="s">
        <v>268</v>
      </c>
      <c r="F61" s="11" t="s">
        <v>55</v>
      </c>
      <c r="G61" s="11" t="s">
        <v>56</v>
      </c>
      <c r="H61" s="35"/>
      <c r="I61" s="35"/>
      <c r="J61" s="35"/>
    </row>
    <row r="62" spans="1:10" s="18" customFormat="1" ht="18" customHeight="1" x14ac:dyDescent="0.4">
      <c r="A62" s="18" t="s">
        <v>31</v>
      </c>
      <c r="B62" s="49">
        <v>0</v>
      </c>
      <c r="C62" s="49">
        <v>0</v>
      </c>
      <c r="D62" s="49">
        <v>0</v>
      </c>
      <c r="E62" s="49">
        <v>0</v>
      </c>
      <c r="F62" s="49">
        <v>4280784678</v>
      </c>
      <c r="G62" s="49">
        <v>4280784678</v>
      </c>
      <c r="H62" s="49" t="b">
        <v>1</v>
      </c>
      <c r="I62" s="35" t="b">
        <v>1</v>
      </c>
      <c r="J62" s="35"/>
    </row>
    <row r="63" spans="1:10" s="18" customFormat="1" ht="18" customHeight="1" x14ac:dyDescent="0.4">
      <c r="A63" s="18" t="s">
        <v>28</v>
      </c>
      <c r="B63" s="49">
        <v>0</v>
      </c>
      <c r="C63" s="49">
        <v>0</v>
      </c>
      <c r="D63" s="49">
        <v>0</v>
      </c>
      <c r="E63" s="49">
        <v>0</v>
      </c>
      <c r="F63" s="49">
        <v>1144541982</v>
      </c>
      <c r="G63" s="49">
        <v>1144541982</v>
      </c>
      <c r="H63" s="49" t="b">
        <v>1</v>
      </c>
      <c r="I63" s="35" t="b">
        <v>1</v>
      </c>
      <c r="J63" s="35"/>
    </row>
    <row r="64" spans="1:10" s="18" customFormat="1" ht="18" customHeight="1" x14ac:dyDescent="0.4">
      <c r="A64" s="18" t="s">
        <v>123</v>
      </c>
      <c r="B64" s="49">
        <v>0</v>
      </c>
      <c r="C64" s="49">
        <v>0</v>
      </c>
      <c r="D64" s="49">
        <v>0</v>
      </c>
      <c r="E64" s="49">
        <v>0</v>
      </c>
      <c r="F64" s="49">
        <v>0</v>
      </c>
      <c r="G64" s="49">
        <v>0</v>
      </c>
      <c r="H64" s="49" t="b">
        <v>1</v>
      </c>
      <c r="I64" s="35" t="b">
        <v>1</v>
      </c>
      <c r="J64" s="35"/>
    </row>
    <row r="65" spans="1:12" s="18" customFormat="1" ht="18" customHeight="1" x14ac:dyDescent="0.4">
      <c r="A65" s="18" t="s">
        <v>24</v>
      </c>
      <c r="B65" s="49">
        <v>14000000</v>
      </c>
      <c r="C65" s="49">
        <v>0</v>
      </c>
      <c r="D65" s="49">
        <v>14000000</v>
      </c>
      <c r="E65" s="49">
        <v>0</v>
      </c>
      <c r="F65" s="49">
        <v>0</v>
      </c>
      <c r="G65" s="49">
        <v>0</v>
      </c>
      <c r="H65" s="49" t="b">
        <v>1</v>
      </c>
      <c r="I65" s="35" t="b">
        <v>1</v>
      </c>
      <c r="J65" s="35"/>
    </row>
    <row r="66" spans="1:12" s="18" customFormat="1" ht="18" customHeight="1" x14ac:dyDescent="0.4">
      <c r="A66" s="18" t="s">
        <v>21</v>
      </c>
      <c r="B66" s="49">
        <v>0</v>
      </c>
      <c r="C66" s="49">
        <v>72676310</v>
      </c>
      <c r="D66" s="49">
        <v>72676310</v>
      </c>
      <c r="E66" s="49">
        <v>39674148</v>
      </c>
      <c r="F66" s="49">
        <v>0</v>
      </c>
      <c r="G66" s="49">
        <v>39674148</v>
      </c>
      <c r="H66" s="49" t="b">
        <v>1</v>
      </c>
      <c r="I66" s="35" t="b">
        <v>1</v>
      </c>
      <c r="J66" s="35"/>
    </row>
    <row r="67" spans="1:12" s="18" customFormat="1" ht="18" customHeight="1" x14ac:dyDescent="0.4">
      <c r="A67" s="18" t="s">
        <v>127</v>
      </c>
      <c r="B67" s="49">
        <v>0</v>
      </c>
      <c r="C67" s="49">
        <v>0</v>
      </c>
      <c r="D67" s="49">
        <v>0</v>
      </c>
      <c r="E67" s="49">
        <v>0</v>
      </c>
      <c r="F67" s="49">
        <v>0</v>
      </c>
      <c r="G67" s="49">
        <v>0</v>
      </c>
      <c r="H67" s="49" t="b">
        <v>1</v>
      </c>
      <c r="I67" s="35" t="b">
        <v>1</v>
      </c>
      <c r="J67" s="35"/>
    </row>
    <row r="68" spans="1:12" s="18" customFormat="1" ht="18" customHeight="1" x14ac:dyDescent="0.4">
      <c r="A68" s="18" t="s">
        <v>25</v>
      </c>
      <c r="B68" s="49">
        <v>8030000</v>
      </c>
      <c r="C68" s="49">
        <v>0</v>
      </c>
      <c r="D68" s="49">
        <v>8030000</v>
      </c>
      <c r="E68" s="49">
        <v>0</v>
      </c>
      <c r="F68" s="49">
        <v>0</v>
      </c>
      <c r="G68" s="49">
        <v>0</v>
      </c>
      <c r="H68" s="49" t="b">
        <v>1</v>
      </c>
      <c r="I68" s="35" t="b">
        <v>1</v>
      </c>
      <c r="J68" s="35"/>
    </row>
    <row r="69" spans="1:12" s="18" customFormat="1" ht="18" customHeight="1" x14ac:dyDescent="0.4">
      <c r="A69" s="18" t="s">
        <v>18</v>
      </c>
      <c r="B69" s="49">
        <v>4517326310</v>
      </c>
      <c r="C69" s="49">
        <v>0</v>
      </c>
      <c r="D69" s="49">
        <v>4517326310</v>
      </c>
      <c r="E69" s="49">
        <v>0</v>
      </c>
      <c r="F69" s="49">
        <v>3273676310</v>
      </c>
      <c r="G69" s="49">
        <v>3273676310</v>
      </c>
      <c r="H69" s="49" t="b">
        <v>1</v>
      </c>
      <c r="I69" s="35" t="b">
        <v>1</v>
      </c>
      <c r="J69" s="35"/>
    </row>
    <row r="70" spans="1:12" s="18" customFormat="1" ht="18" customHeight="1" thickBot="1" x14ac:dyDescent="0.45">
      <c r="A70" s="18" t="s">
        <v>131</v>
      </c>
      <c r="B70" s="49">
        <v>0</v>
      </c>
      <c r="C70" s="49">
        <v>305056685</v>
      </c>
      <c r="D70" s="49">
        <v>305056685</v>
      </c>
      <c r="E70" s="49">
        <v>34093119</v>
      </c>
      <c r="F70" s="49">
        <v>0</v>
      </c>
      <c r="G70" s="49">
        <v>34093119</v>
      </c>
      <c r="H70" s="49" t="b">
        <v>1</v>
      </c>
      <c r="I70" s="35" t="b">
        <v>1</v>
      </c>
      <c r="J70" s="35"/>
    </row>
    <row r="71" spans="1:12" s="18" customFormat="1" ht="18" customHeight="1" thickBot="1" x14ac:dyDescent="0.45">
      <c r="A71" s="36" t="s">
        <v>49</v>
      </c>
      <c r="B71" s="37">
        <v>4539356310</v>
      </c>
      <c r="C71" s="37">
        <v>377732995</v>
      </c>
      <c r="D71" s="37">
        <v>4917089305</v>
      </c>
      <c r="E71" s="37">
        <v>73767267</v>
      </c>
      <c r="F71" s="37">
        <v>8699002970</v>
      </c>
      <c r="G71" s="37">
        <v>8772770237</v>
      </c>
      <c r="H71" s="35"/>
      <c r="I71" s="35"/>
      <c r="J71" s="35"/>
    </row>
    <row r="72" spans="1:12" s="18" customFormat="1" ht="18" customHeight="1" x14ac:dyDescent="0.4">
      <c r="A72" s="35"/>
      <c r="B72" s="35"/>
      <c r="C72" s="35"/>
      <c r="D72" s="35"/>
      <c r="E72" s="35"/>
      <c r="F72" s="35"/>
      <c r="G72" s="35"/>
      <c r="H72" s="35"/>
      <c r="I72" s="35"/>
      <c r="J72" s="35"/>
    </row>
    <row r="73" spans="1:12" s="18" customFormat="1" ht="18" customHeight="1" x14ac:dyDescent="0.4">
      <c r="A73" s="61" t="s">
        <v>261</v>
      </c>
      <c r="B73" s="57" t="s">
        <v>274</v>
      </c>
      <c r="C73" s="57" t="s">
        <v>287</v>
      </c>
      <c r="D73" s="57" t="s">
        <v>56</v>
      </c>
      <c r="F73" s="58" t="s">
        <v>259</v>
      </c>
      <c r="G73" s="57" t="s">
        <v>260</v>
      </c>
      <c r="H73" s="57" t="s">
        <v>258</v>
      </c>
      <c r="I73" s="57" t="s">
        <v>288</v>
      </c>
      <c r="J73" s="57" t="s">
        <v>289</v>
      </c>
      <c r="K73" s="57" t="s">
        <v>56</v>
      </c>
    </row>
    <row r="74" spans="1:12" s="18" customFormat="1" ht="18" customHeight="1" x14ac:dyDescent="0.4">
      <c r="A74" s="18" t="s">
        <v>31</v>
      </c>
      <c r="B74" s="59"/>
      <c r="C74" s="59">
        <v>0</v>
      </c>
      <c r="D74" s="59">
        <v>0</v>
      </c>
      <c r="F74" s="18" t="s">
        <v>31</v>
      </c>
      <c r="G74" s="59">
        <v>4280784678</v>
      </c>
      <c r="H74" s="59">
        <v>0</v>
      </c>
      <c r="I74" s="59"/>
      <c r="J74" s="59"/>
      <c r="K74" s="59">
        <v>4280784678</v>
      </c>
      <c r="L74" s="18" t="b">
        <v>1</v>
      </c>
    </row>
    <row r="75" spans="1:12" s="18" customFormat="1" ht="18" customHeight="1" x14ac:dyDescent="0.4">
      <c r="A75" s="18" t="s">
        <v>28</v>
      </c>
      <c r="B75" s="59">
        <v>0</v>
      </c>
      <c r="C75" s="59">
        <v>0</v>
      </c>
      <c r="D75" s="59">
        <v>0</v>
      </c>
      <c r="F75" s="18" t="s">
        <v>28</v>
      </c>
      <c r="G75" s="59">
        <v>0</v>
      </c>
      <c r="H75" s="59">
        <v>1144541982</v>
      </c>
      <c r="I75" s="59"/>
      <c r="J75" s="59"/>
      <c r="K75" s="59">
        <v>1144541982</v>
      </c>
      <c r="L75" s="18" t="b">
        <v>1</v>
      </c>
    </row>
    <row r="76" spans="1:12" s="18" customFormat="1" ht="18" customHeight="1" x14ac:dyDescent="0.4">
      <c r="A76" s="18" t="s">
        <v>21</v>
      </c>
      <c r="B76" s="59"/>
      <c r="C76" s="59">
        <v>72676310</v>
      </c>
      <c r="D76" s="59">
        <v>72676310</v>
      </c>
      <c r="F76" s="18" t="s">
        <v>18</v>
      </c>
      <c r="G76" s="59"/>
      <c r="H76" s="59"/>
      <c r="I76" s="59">
        <v>72676310</v>
      </c>
      <c r="J76" s="59">
        <v>3201000000</v>
      </c>
      <c r="K76" s="59">
        <v>3273676310</v>
      </c>
      <c r="L76" s="18" t="b">
        <v>1</v>
      </c>
    </row>
    <row r="77" spans="1:12" s="18" customFormat="1" ht="18" customHeight="1" x14ac:dyDescent="0.4">
      <c r="B77" s="59"/>
      <c r="C77" s="59"/>
      <c r="D77" s="59"/>
      <c r="F77" s="18" t="s">
        <v>30</v>
      </c>
      <c r="G77" s="59"/>
      <c r="H77" s="59"/>
      <c r="I77" s="59"/>
      <c r="J77" s="83">
        <v>-12880846</v>
      </c>
      <c r="K77" s="59">
        <v>-12880846</v>
      </c>
      <c r="L77" s="18" t="b">
        <v>1</v>
      </c>
    </row>
    <row r="78" spans="1:12" s="18" customFormat="1" ht="18" customHeight="1" x14ac:dyDescent="0.4">
      <c r="B78" s="59"/>
      <c r="C78" s="59"/>
      <c r="D78" s="59"/>
      <c r="F78" s="18" t="s">
        <v>20</v>
      </c>
      <c r="G78" s="59"/>
      <c r="H78" s="59">
        <v>-225729098</v>
      </c>
      <c r="I78" s="59"/>
      <c r="J78" s="59"/>
      <c r="K78" s="59">
        <v>-225729098</v>
      </c>
    </row>
    <row r="79" spans="1:12" s="18" customFormat="1" ht="18" customHeight="1" thickBot="1" x14ac:dyDescent="0.45">
      <c r="B79" s="60">
        <v>0</v>
      </c>
      <c r="C79" s="60">
        <v>72676310</v>
      </c>
      <c r="D79" s="60">
        <v>72676310</v>
      </c>
      <c r="G79" s="60">
        <v>4280784678</v>
      </c>
      <c r="H79" s="60">
        <v>918812884</v>
      </c>
      <c r="I79" s="60">
        <v>72676310</v>
      </c>
      <c r="J79" s="60">
        <v>3188119154</v>
      </c>
      <c r="K79" s="60">
        <v>8460393026</v>
      </c>
    </row>
    <row r="80" spans="1:12" s="18" customFormat="1" ht="18" customHeight="1" x14ac:dyDescent="0.4">
      <c r="B80" s="59"/>
      <c r="C80" s="59"/>
      <c r="D80" s="59"/>
      <c r="F80" s="18" t="s">
        <v>290</v>
      </c>
      <c r="H80" s="59">
        <v>-228268147</v>
      </c>
      <c r="I80" s="18" t="s">
        <v>291</v>
      </c>
    </row>
    <row r="81" spans="1:10" s="18" customFormat="1" ht="18" customHeight="1" x14ac:dyDescent="0.4">
      <c r="A81" s="35"/>
      <c r="B81" s="35"/>
      <c r="C81" s="35"/>
      <c r="D81" s="35"/>
      <c r="E81" s="35"/>
      <c r="F81" s="35"/>
      <c r="G81" s="35"/>
      <c r="H81" s="59">
        <v>2539049</v>
      </c>
      <c r="I81" s="35" t="s">
        <v>292</v>
      </c>
      <c r="J81" s="35"/>
    </row>
    <row r="82" spans="1:10" s="18" customFormat="1" ht="18" customHeight="1" thickBot="1" x14ac:dyDescent="0.45">
      <c r="H82" s="24">
        <v>-225729098</v>
      </c>
      <c r="I82" s="18" t="s">
        <v>293</v>
      </c>
    </row>
    <row r="83" spans="1:10" s="18" customFormat="1" ht="18" customHeight="1" thickTop="1" thickBot="1" x14ac:dyDescent="0.45"/>
    <row r="84" spans="1:10" s="18" customFormat="1" ht="24" customHeight="1" thickBot="1" x14ac:dyDescent="0.45">
      <c r="A84" s="132" t="s">
        <v>60</v>
      </c>
      <c r="B84" s="126"/>
      <c r="C84" s="126"/>
      <c r="D84" s="126"/>
      <c r="E84" s="126"/>
      <c r="F84" s="126"/>
      <c r="G84" s="126"/>
      <c r="H84" s="126"/>
      <c r="I84" s="126"/>
      <c r="J84" s="127"/>
    </row>
    <row r="85" spans="1:10" s="18" customFormat="1" ht="20" customHeight="1" x14ac:dyDescent="0.4">
      <c r="A85" s="1" t="s">
        <v>61</v>
      </c>
      <c r="B85" s="131" t="s">
        <v>62</v>
      </c>
      <c r="C85" s="119"/>
      <c r="D85" s="120"/>
      <c r="E85" s="131" t="s">
        <v>63</v>
      </c>
      <c r="F85" s="120"/>
      <c r="G85" s="1" t="s">
        <v>64</v>
      </c>
      <c r="H85" s="1" t="s">
        <v>6</v>
      </c>
      <c r="I85" s="131" t="s">
        <v>0</v>
      </c>
      <c r="J85" s="120"/>
    </row>
    <row r="86" spans="1:10" s="18" customFormat="1" ht="48" customHeight="1" x14ac:dyDescent="0.4">
      <c r="A86" s="50">
        <v>1</v>
      </c>
      <c r="B86" s="129" t="s">
        <v>136</v>
      </c>
      <c r="C86" s="119"/>
      <c r="D86" s="120"/>
      <c r="E86" s="124" t="s">
        <v>65</v>
      </c>
      <c r="F86" s="120"/>
      <c r="G86" s="51" t="s">
        <v>340</v>
      </c>
      <c r="H86" s="51">
        <v>4701</v>
      </c>
      <c r="I86" s="121"/>
      <c r="J86" s="120"/>
    </row>
    <row r="87" spans="1:10" s="18" customFormat="1" ht="48" customHeight="1" x14ac:dyDescent="0.4">
      <c r="A87" s="50">
        <v>2</v>
      </c>
      <c r="B87" s="128" t="s">
        <v>137</v>
      </c>
      <c r="C87" s="119"/>
      <c r="D87" s="120"/>
      <c r="E87" s="124" t="s">
        <v>66</v>
      </c>
      <c r="F87" s="120"/>
      <c r="G87" s="52" t="s">
        <v>340</v>
      </c>
      <c r="H87" s="52"/>
      <c r="I87" s="122"/>
      <c r="J87" s="120"/>
    </row>
    <row r="88" spans="1:10" s="18" customFormat="1" ht="67" customHeight="1" x14ac:dyDescent="0.4">
      <c r="A88" s="50">
        <v>3</v>
      </c>
      <c r="B88" s="129" t="s">
        <v>138</v>
      </c>
      <c r="C88" s="119"/>
      <c r="D88" s="120"/>
      <c r="E88" s="124" t="s">
        <v>68</v>
      </c>
      <c r="F88" s="120"/>
      <c r="G88" s="51" t="s">
        <v>340</v>
      </c>
      <c r="H88" s="51">
        <v>4760</v>
      </c>
      <c r="I88" s="121"/>
      <c r="J88" s="120"/>
    </row>
    <row r="89" spans="1:10" s="18" customFormat="1" ht="48" customHeight="1" x14ac:dyDescent="0.4">
      <c r="A89" s="50">
        <v>4</v>
      </c>
      <c r="B89" s="129" t="s">
        <v>139</v>
      </c>
      <c r="C89" s="119"/>
      <c r="D89" s="120"/>
      <c r="E89" s="124" t="s">
        <v>140</v>
      </c>
      <c r="F89" s="120"/>
      <c r="G89" s="51" t="s">
        <v>340</v>
      </c>
      <c r="H89" s="51">
        <v>4740</v>
      </c>
      <c r="I89" s="121"/>
      <c r="J89" s="120"/>
    </row>
    <row r="90" spans="1:10" s="18" customFormat="1" ht="48" customHeight="1" x14ac:dyDescent="0.4">
      <c r="A90" s="50">
        <v>5</v>
      </c>
      <c r="B90" s="128" t="s">
        <v>141</v>
      </c>
      <c r="C90" s="119"/>
      <c r="D90" s="120"/>
      <c r="E90" s="124" t="s">
        <v>67</v>
      </c>
      <c r="F90" s="120"/>
      <c r="G90" s="52" t="s">
        <v>341</v>
      </c>
      <c r="H90" s="52"/>
      <c r="I90" s="121" t="s">
        <v>342</v>
      </c>
      <c r="J90" s="120"/>
    </row>
    <row r="91" spans="1:10" s="18" customFormat="1" ht="48" customHeight="1" x14ac:dyDescent="0.4">
      <c r="A91" s="50">
        <v>6</v>
      </c>
      <c r="B91" s="129" t="s">
        <v>142</v>
      </c>
      <c r="C91" s="119"/>
      <c r="D91" s="120"/>
      <c r="E91" s="124" t="s">
        <v>143</v>
      </c>
      <c r="F91" s="120"/>
      <c r="G91" s="51" t="s">
        <v>345</v>
      </c>
      <c r="H91" s="51"/>
      <c r="I91" s="121"/>
      <c r="J91" s="120"/>
    </row>
    <row r="92" spans="1:10" s="18" customFormat="1" ht="48" customHeight="1" x14ac:dyDescent="0.4">
      <c r="A92" s="50">
        <v>7</v>
      </c>
      <c r="B92" s="129" t="s">
        <v>144</v>
      </c>
      <c r="C92" s="119"/>
      <c r="D92" s="120"/>
      <c r="E92" s="124" t="s">
        <v>69</v>
      </c>
      <c r="F92" s="120"/>
      <c r="G92" s="51" t="s">
        <v>345</v>
      </c>
      <c r="H92" s="51"/>
      <c r="I92" s="121"/>
      <c r="J92" s="120"/>
    </row>
    <row r="93" spans="1:10" s="18" customFormat="1" ht="48" customHeight="1" x14ac:dyDescent="0.4">
      <c r="A93" s="50">
        <v>8</v>
      </c>
      <c r="B93" s="128" t="s">
        <v>145</v>
      </c>
      <c r="C93" s="119"/>
      <c r="D93" s="120"/>
      <c r="E93" s="124" t="s">
        <v>70</v>
      </c>
      <c r="F93" s="120"/>
      <c r="G93" s="52" t="s">
        <v>340</v>
      </c>
      <c r="H93" s="52">
        <v>4750</v>
      </c>
      <c r="I93" s="122"/>
      <c r="J93" s="120"/>
    </row>
    <row r="94" spans="1:10" s="18" customFormat="1" ht="18" customHeight="1" x14ac:dyDescent="0.4">
      <c r="A94" s="35"/>
      <c r="B94" s="35"/>
      <c r="C94" s="35"/>
      <c r="D94" s="35"/>
      <c r="E94" s="35"/>
      <c r="F94" s="35"/>
      <c r="G94" s="35"/>
      <c r="H94" s="35"/>
      <c r="I94" s="35"/>
      <c r="J94" s="35"/>
    </row>
    <row r="95" spans="1:10" s="18" customFormat="1" ht="22" customHeight="1" x14ac:dyDescent="0.4">
      <c r="A95" s="125" t="s">
        <v>71</v>
      </c>
      <c r="B95" s="126"/>
      <c r="C95" s="126"/>
      <c r="D95" s="126"/>
      <c r="E95" s="126"/>
      <c r="F95" s="126"/>
      <c r="G95" s="126"/>
      <c r="H95" s="126"/>
      <c r="I95" s="126"/>
      <c r="J95" s="127"/>
    </row>
    <row r="96" spans="1:10" s="18" customFormat="1" ht="24" customHeight="1" x14ac:dyDescent="0.4">
      <c r="A96" s="118"/>
      <c r="B96" s="119"/>
      <c r="C96" s="119"/>
      <c r="D96" s="119"/>
      <c r="E96" s="119"/>
      <c r="F96" s="119"/>
      <c r="G96" s="119"/>
      <c r="H96" s="119"/>
      <c r="I96" s="119"/>
      <c r="J96" s="120"/>
    </row>
    <row r="97" spans="1:10" s="18" customFormat="1" ht="24" customHeight="1" x14ac:dyDescent="0.4">
      <c r="A97" s="118"/>
      <c r="B97" s="119"/>
      <c r="C97" s="119"/>
      <c r="D97" s="119"/>
      <c r="E97" s="119"/>
      <c r="F97" s="119"/>
      <c r="G97" s="119"/>
      <c r="H97" s="119"/>
      <c r="I97" s="119"/>
      <c r="J97" s="120"/>
    </row>
    <row r="98" spans="1:10" s="18" customFormat="1" ht="24" customHeight="1" x14ac:dyDescent="0.4">
      <c r="A98" s="118"/>
      <c r="B98" s="119"/>
      <c r="C98" s="119"/>
      <c r="D98" s="119"/>
      <c r="E98" s="119"/>
      <c r="F98" s="119"/>
      <c r="G98" s="119"/>
      <c r="H98" s="119"/>
      <c r="I98" s="119"/>
      <c r="J98" s="120"/>
    </row>
    <row r="99" spans="1:10" s="18" customFormat="1" ht="18" customHeight="1" x14ac:dyDescent="0.4">
      <c r="A99" s="35"/>
      <c r="B99" s="35"/>
      <c r="C99" s="35"/>
      <c r="D99" s="35"/>
      <c r="E99" s="35"/>
      <c r="F99" s="35"/>
      <c r="G99" s="35"/>
      <c r="H99" s="35"/>
      <c r="I99" s="35"/>
      <c r="J99" s="35"/>
    </row>
    <row r="100" spans="1:10" s="18" customFormat="1" ht="18" customHeight="1" x14ac:dyDescent="0.4">
      <c r="A100" s="144" t="s">
        <v>72</v>
      </c>
      <c r="B100" s="145"/>
      <c r="C100" s="145"/>
      <c r="D100" s="145"/>
      <c r="E100" s="145"/>
      <c r="F100" s="145"/>
      <c r="G100" s="145"/>
      <c r="H100" s="145"/>
      <c r="I100" s="145"/>
      <c r="J100" s="145"/>
    </row>
    <row r="101" spans="1:10" s="18" customFormat="1" ht="18" customHeight="1" x14ac:dyDescent="0.4">
      <c r="A101" s="35"/>
      <c r="B101" s="35"/>
      <c r="C101" s="35"/>
      <c r="D101" s="35"/>
      <c r="E101" s="35"/>
      <c r="F101" s="35"/>
      <c r="G101" s="35"/>
      <c r="H101" s="35"/>
      <c r="I101" s="35"/>
      <c r="J101" s="35"/>
    </row>
    <row r="102" spans="1:10" s="18" customFormat="1" ht="18" customHeight="1" x14ac:dyDescent="0.4">
      <c r="A102" s="35"/>
      <c r="B102" s="35"/>
      <c r="C102" s="35"/>
      <c r="D102" s="35"/>
      <c r="E102" s="35"/>
      <c r="F102" s="35"/>
      <c r="G102" s="35"/>
      <c r="H102" s="35"/>
      <c r="I102" s="35"/>
      <c r="J102" s="35"/>
    </row>
    <row r="103" spans="1:10" s="18" customFormat="1" ht="18" customHeight="1" x14ac:dyDescent="0.4">
      <c r="A103" s="35"/>
      <c r="B103" s="35"/>
      <c r="C103" s="35"/>
      <c r="D103" s="35"/>
      <c r="E103" s="35"/>
      <c r="F103" s="35"/>
      <c r="G103" s="35"/>
      <c r="H103" s="35"/>
      <c r="I103" s="35"/>
      <c r="J103" s="35"/>
    </row>
    <row r="104" spans="1:10" s="18" customFormat="1" ht="18" customHeight="1" x14ac:dyDescent="0.4">
      <c r="A104" s="35"/>
      <c r="B104" s="35"/>
      <c r="C104" s="35"/>
      <c r="D104" s="35"/>
      <c r="E104" s="35"/>
      <c r="F104" s="35"/>
      <c r="G104" s="35"/>
      <c r="H104" s="35"/>
      <c r="I104" s="35"/>
      <c r="J104" s="35"/>
    </row>
    <row r="105" spans="1:10" s="18" customFormat="1" ht="18" customHeight="1" x14ac:dyDescent="0.4">
      <c r="A105" s="35"/>
      <c r="B105" s="35"/>
      <c r="C105" s="35"/>
      <c r="D105" s="35"/>
      <c r="E105" s="35"/>
      <c r="F105" s="35"/>
      <c r="G105" s="35"/>
      <c r="H105" s="35"/>
      <c r="I105" s="35"/>
      <c r="J105" s="35"/>
    </row>
    <row r="106" spans="1:10" s="18" customFormat="1" ht="18" customHeight="1" x14ac:dyDescent="0.4">
      <c r="A106" s="35"/>
      <c r="B106" s="35"/>
      <c r="C106" s="35"/>
      <c r="D106" s="35"/>
      <c r="E106" s="35"/>
      <c r="F106" s="35"/>
      <c r="G106" s="35"/>
      <c r="H106" s="35"/>
      <c r="I106" s="35"/>
      <c r="J106" s="35"/>
    </row>
    <row r="107" spans="1:10" s="18" customFormat="1" ht="18" customHeight="1" x14ac:dyDescent="0.4">
      <c r="A107" s="35"/>
      <c r="B107" s="35"/>
      <c r="C107" s="35"/>
      <c r="D107" s="35"/>
      <c r="E107" s="35"/>
      <c r="F107" s="35"/>
      <c r="G107" s="35"/>
      <c r="H107" s="35"/>
      <c r="I107" s="35"/>
      <c r="J107" s="35"/>
    </row>
    <row r="108" spans="1:10" s="18" customFormat="1" ht="18" customHeight="1" x14ac:dyDescent="0.4">
      <c r="A108" s="35"/>
      <c r="B108" s="35"/>
      <c r="C108" s="35"/>
      <c r="D108" s="35"/>
      <c r="E108" s="35"/>
      <c r="F108" s="35"/>
      <c r="G108" s="35"/>
      <c r="H108" s="35"/>
      <c r="I108" s="35"/>
      <c r="J108" s="35"/>
    </row>
    <row r="109" spans="1:10" s="18" customFormat="1" ht="18" customHeight="1" x14ac:dyDescent="0.4">
      <c r="A109" s="35"/>
      <c r="B109" s="35"/>
      <c r="C109" s="35"/>
      <c r="D109" s="35"/>
      <c r="E109" s="35"/>
      <c r="F109" s="35"/>
      <c r="G109" s="35"/>
      <c r="H109" s="35"/>
      <c r="I109" s="35"/>
      <c r="J109" s="35"/>
    </row>
    <row r="110" spans="1:10" s="18" customFormat="1" ht="18" customHeight="1" x14ac:dyDescent="0.4">
      <c r="A110" s="35"/>
      <c r="B110" s="35"/>
      <c r="C110" s="35"/>
      <c r="D110" s="35"/>
      <c r="E110" s="35"/>
      <c r="F110" s="35"/>
      <c r="G110" s="35"/>
      <c r="H110" s="35"/>
      <c r="I110" s="35"/>
      <c r="J110" s="35"/>
    </row>
    <row r="111" spans="1:10" s="18" customFormat="1" ht="18" customHeight="1" x14ac:dyDescent="0.4">
      <c r="A111" s="35"/>
      <c r="B111" s="35"/>
      <c r="C111" s="35"/>
      <c r="D111" s="35"/>
      <c r="E111" s="35"/>
      <c r="F111" s="35"/>
      <c r="G111" s="35"/>
      <c r="H111" s="35"/>
      <c r="I111" s="35"/>
      <c r="J111" s="35"/>
    </row>
    <row r="112" spans="1:10" s="18" customFormat="1" ht="18" customHeight="1" x14ac:dyDescent="0.4">
      <c r="A112" s="35"/>
      <c r="B112" s="35"/>
      <c r="C112" s="35"/>
      <c r="D112" s="35"/>
      <c r="E112" s="35"/>
      <c r="F112" s="35"/>
      <c r="G112" s="35"/>
      <c r="H112" s="35"/>
      <c r="I112" s="35"/>
      <c r="J112" s="35"/>
    </row>
    <row r="113" spans="1:10" s="18" customFormat="1" ht="18" customHeight="1" x14ac:dyDescent="0.4">
      <c r="A113" s="35"/>
      <c r="B113" s="35"/>
      <c r="C113" s="35"/>
      <c r="D113" s="35"/>
      <c r="E113" s="35"/>
      <c r="F113" s="35"/>
      <c r="G113" s="35"/>
      <c r="H113" s="35"/>
      <c r="I113" s="35"/>
      <c r="J113" s="35"/>
    </row>
    <row r="114" spans="1:10" s="18" customFormat="1" ht="18" customHeight="1" x14ac:dyDescent="0.4">
      <c r="A114" s="35"/>
      <c r="B114" s="35"/>
      <c r="C114" s="35"/>
      <c r="D114" s="35"/>
      <c r="E114" s="35"/>
      <c r="F114" s="35"/>
      <c r="G114" s="35"/>
      <c r="H114" s="35"/>
      <c r="I114" s="35"/>
      <c r="J114" s="35"/>
    </row>
    <row r="115" spans="1:10" s="18" customFormat="1" ht="18" customHeight="1" x14ac:dyDescent="0.4">
      <c r="A115" s="35"/>
      <c r="B115" s="35"/>
      <c r="C115" s="35"/>
      <c r="D115" s="35"/>
      <c r="E115" s="35"/>
      <c r="F115" s="35"/>
      <c r="G115" s="35"/>
      <c r="H115" s="35"/>
      <c r="I115" s="35"/>
      <c r="J115" s="35"/>
    </row>
    <row r="116" spans="1:10" s="18" customFormat="1" ht="18" customHeight="1" x14ac:dyDescent="0.4">
      <c r="A116" s="35"/>
      <c r="B116" s="35"/>
      <c r="C116" s="35"/>
      <c r="D116" s="35"/>
      <c r="E116" s="35"/>
      <c r="F116" s="35"/>
      <c r="G116" s="35"/>
      <c r="H116" s="35"/>
      <c r="I116" s="35"/>
      <c r="J116" s="35"/>
    </row>
    <row r="117" spans="1:10" s="18" customFormat="1" ht="18" customHeight="1" x14ac:dyDescent="0.4">
      <c r="A117" s="35"/>
      <c r="B117" s="35"/>
      <c r="C117" s="35"/>
      <c r="D117" s="35"/>
      <c r="E117" s="35"/>
      <c r="F117" s="35"/>
      <c r="G117" s="35"/>
      <c r="H117" s="35"/>
      <c r="I117" s="35"/>
      <c r="J117" s="35"/>
    </row>
    <row r="118" spans="1:10" s="18" customFormat="1" ht="18" customHeight="1" x14ac:dyDescent="0.4">
      <c r="A118" s="35"/>
      <c r="B118" s="35"/>
      <c r="C118" s="35"/>
      <c r="D118" s="35"/>
      <c r="E118" s="35"/>
      <c r="F118" s="35"/>
      <c r="G118" s="35"/>
      <c r="H118" s="35"/>
      <c r="I118" s="35"/>
      <c r="J118" s="35"/>
    </row>
    <row r="119" spans="1:10" s="18" customFormat="1" ht="18" customHeight="1" x14ac:dyDescent="0.4">
      <c r="A119" s="35"/>
      <c r="B119" s="35"/>
      <c r="C119" s="35"/>
      <c r="D119" s="35"/>
      <c r="E119" s="35"/>
      <c r="F119" s="35"/>
      <c r="G119" s="35"/>
      <c r="H119" s="35"/>
      <c r="I119" s="35"/>
      <c r="J119" s="35"/>
    </row>
    <row r="120" spans="1:10" ht="18" customHeight="1" x14ac:dyDescent="0.45"/>
    <row r="121" spans="1:10" ht="18" customHeight="1" x14ac:dyDescent="0.45"/>
    <row r="122" spans="1:10" ht="18" customHeight="1" x14ac:dyDescent="0.45"/>
    <row r="123" spans="1:10" ht="18" customHeight="1" x14ac:dyDescent="0.45"/>
    <row r="124" spans="1:10" ht="18" customHeight="1" x14ac:dyDescent="0.45"/>
  </sheetData>
  <mergeCells count="75">
    <mergeCell ref="A1:J1"/>
    <mergeCell ref="E51:J51"/>
    <mergeCell ref="A97:J97"/>
    <mergeCell ref="I88:J88"/>
    <mergeCell ref="E53:J53"/>
    <mergeCell ref="G6:J6"/>
    <mergeCell ref="E52:J52"/>
    <mergeCell ref="B91:D91"/>
    <mergeCell ref="G5:J5"/>
    <mergeCell ref="G2:J2"/>
    <mergeCell ref="E89:F89"/>
    <mergeCell ref="B86:D86"/>
    <mergeCell ref="E6:F6"/>
    <mergeCell ref="A3:J3"/>
    <mergeCell ref="E5:F5"/>
    <mergeCell ref="A98:J98"/>
    <mergeCell ref="A5:B5"/>
    <mergeCell ref="E90:F90"/>
    <mergeCell ref="I85:J85"/>
    <mergeCell ref="I92:J92"/>
    <mergeCell ref="B87:D87"/>
    <mergeCell ref="C7:D7"/>
    <mergeCell ref="E7:F7"/>
    <mergeCell ref="E49:J49"/>
    <mergeCell ref="A95:J95"/>
    <mergeCell ref="I86:J86"/>
    <mergeCell ref="B90:D90"/>
    <mergeCell ref="I89:J89"/>
    <mergeCell ref="C5:D5"/>
    <mergeCell ref="E88:F88"/>
    <mergeCell ref="A100:J100"/>
    <mergeCell ref="I90:J90"/>
    <mergeCell ref="B10:D10"/>
    <mergeCell ref="A2:F2"/>
    <mergeCell ref="E55:J55"/>
    <mergeCell ref="B93:D93"/>
    <mergeCell ref="E54:J54"/>
    <mergeCell ref="I24:J24"/>
    <mergeCell ref="E47:J47"/>
    <mergeCell ref="G7:J7"/>
    <mergeCell ref="I10:J10"/>
    <mergeCell ref="E87:F87"/>
    <mergeCell ref="A60:A61"/>
    <mergeCell ref="E48:J48"/>
    <mergeCell ref="A4:J4"/>
    <mergeCell ref="E50:J50"/>
    <mergeCell ref="B60:D60"/>
    <mergeCell ref="B88:D88"/>
    <mergeCell ref="B36:D36"/>
    <mergeCell ref="E36:H36"/>
    <mergeCell ref="I36:J36"/>
    <mergeCell ref="B89:D89"/>
    <mergeCell ref="A6:B6"/>
    <mergeCell ref="E60:G60"/>
    <mergeCell ref="A9:J9"/>
    <mergeCell ref="A59:J59"/>
    <mergeCell ref="C6:D6"/>
    <mergeCell ref="E56:J56"/>
    <mergeCell ref="A7:B7"/>
    <mergeCell ref="E10:H10"/>
    <mergeCell ref="A96:J96"/>
    <mergeCell ref="I91:J91"/>
    <mergeCell ref="I87:J87"/>
    <mergeCell ref="E24:H24"/>
    <mergeCell ref="E86:F86"/>
    <mergeCell ref="A46:J46"/>
    <mergeCell ref="B92:D92"/>
    <mergeCell ref="I93:J93"/>
    <mergeCell ref="E93:F93"/>
    <mergeCell ref="B24:D24"/>
    <mergeCell ref="B85:D85"/>
    <mergeCell ref="E91:F91"/>
    <mergeCell ref="E85:F85"/>
    <mergeCell ref="A84:J84"/>
    <mergeCell ref="E92:F92"/>
  </mergeCells>
  <phoneticPr fontId="11" type="noConversion"/>
  <dataValidations count="1">
    <dataValidation type="list" allowBlank="1" sqref="G86:G93" xr:uid="{00000000-0002-0000-0B00-000000000000}">
      <formula1>"완료,해당없음,미수행,진행중"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1"/>
  <sheetViews>
    <sheetView workbookViewId="0">
      <selection activeCell="A3" sqref="A3:J3"/>
    </sheetView>
  </sheetViews>
  <sheetFormatPr defaultRowHeight="17" x14ac:dyDescent="0.45"/>
  <cols>
    <col min="2" max="2" width="11.75" customWidth="1"/>
    <col min="3" max="3" width="12.6640625" customWidth="1"/>
    <col min="4" max="4" width="13" customWidth="1"/>
  </cols>
  <sheetData>
    <row r="1" spans="1:10" x14ac:dyDescent="0.45">
      <c r="A1" s="137"/>
      <c r="B1" s="138"/>
      <c r="C1" s="138"/>
      <c r="D1" s="138"/>
      <c r="E1" s="138"/>
      <c r="F1" s="138"/>
      <c r="G1" s="138"/>
      <c r="H1" s="138"/>
      <c r="I1" s="138"/>
      <c r="J1" s="138"/>
    </row>
    <row r="2" spans="1:10" ht="17.5" customHeight="1" x14ac:dyDescent="0.45">
      <c r="A2" s="146" t="s">
        <v>1</v>
      </c>
      <c r="B2" s="138"/>
      <c r="C2" s="138"/>
      <c r="D2" s="138"/>
      <c r="E2" s="138"/>
      <c r="F2" s="138"/>
      <c r="G2" s="153" t="s">
        <v>334</v>
      </c>
      <c r="H2" s="138"/>
      <c r="I2" s="138"/>
      <c r="J2" s="138"/>
    </row>
    <row r="3" spans="1:10" ht="25.5" customHeight="1" x14ac:dyDescent="0.45">
      <c r="A3" s="154" t="s">
        <v>121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 x14ac:dyDescent="0.45">
      <c r="A4" s="142" t="s">
        <v>146</v>
      </c>
      <c r="B4" s="138"/>
      <c r="C4" s="138"/>
      <c r="D4" s="138"/>
      <c r="E4" s="138"/>
      <c r="F4" s="138"/>
      <c r="G4" s="138"/>
      <c r="H4" s="138"/>
      <c r="I4" s="138"/>
      <c r="J4" s="138"/>
    </row>
    <row r="7" spans="1:10" s="18" customFormat="1" ht="14.5" customHeight="1" x14ac:dyDescent="0.4">
      <c r="A7" s="18">
        <v>1</v>
      </c>
      <c r="B7" s="18" t="s">
        <v>147</v>
      </c>
      <c r="C7" s="18" t="s">
        <v>31</v>
      </c>
      <c r="D7" s="18" t="s">
        <v>148</v>
      </c>
    </row>
    <row r="8" spans="1:10" s="18" customFormat="1" ht="14.5" customHeight="1" x14ac:dyDescent="0.4">
      <c r="C8" s="18" t="s">
        <v>149</v>
      </c>
      <c r="D8" s="18" t="s">
        <v>150</v>
      </c>
    </row>
    <row r="9" spans="1:10" s="18" customFormat="1" ht="14.5" customHeight="1" x14ac:dyDescent="0.4">
      <c r="A9" s="18">
        <v>2</v>
      </c>
      <c r="B9" s="18" t="s">
        <v>151</v>
      </c>
      <c r="C9" s="18" t="s">
        <v>73</v>
      </c>
    </row>
    <row r="10" spans="1:10" s="18" customFormat="1" ht="14.5" customHeight="1" x14ac:dyDescent="0.4">
      <c r="A10" s="18">
        <v>3</v>
      </c>
      <c r="B10" s="18" t="s">
        <v>152</v>
      </c>
    </row>
    <row r="11" spans="1:10" s="18" customFormat="1" ht="14.5" customHeight="1" x14ac:dyDescent="0.4">
      <c r="C11" s="16" t="s">
        <v>153</v>
      </c>
      <c r="D11" s="17" t="s">
        <v>154</v>
      </c>
    </row>
    <row r="12" spans="1:10" s="18" customFormat="1" ht="14.5" customHeight="1" x14ac:dyDescent="0.4">
      <c r="C12" s="12" t="s">
        <v>28</v>
      </c>
      <c r="D12" s="13" t="s">
        <v>155</v>
      </c>
    </row>
    <row r="13" spans="1:10" s="18" customFormat="1" ht="14.5" customHeight="1" x14ac:dyDescent="0.4">
      <c r="C13" s="12" t="s">
        <v>123</v>
      </c>
      <c r="D13" s="13" t="s">
        <v>156</v>
      </c>
    </row>
    <row r="14" spans="1:10" s="18" customFormat="1" ht="14.5" customHeight="1" x14ac:dyDescent="0.4">
      <c r="C14" s="12" t="s">
        <v>24</v>
      </c>
      <c r="D14" s="13" t="s">
        <v>157</v>
      </c>
    </row>
    <row r="15" spans="1:10" s="18" customFormat="1" ht="14.5" customHeight="1" x14ac:dyDescent="0.4">
      <c r="C15" s="12" t="s">
        <v>21</v>
      </c>
      <c r="D15" s="13" t="s">
        <v>158</v>
      </c>
    </row>
    <row r="16" spans="1:10" s="18" customFormat="1" ht="14.5" customHeight="1" x14ac:dyDescent="0.4">
      <c r="C16" s="12" t="s">
        <v>25</v>
      </c>
      <c r="D16" s="13" t="s">
        <v>159</v>
      </c>
    </row>
    <row r="17" spans="1:4" s="18" customFormat="1" ht="14.5" customHeight="1" x14ac:dyDescent="0.4">
      <c r="C17" s="14" t="s">
        <v>127</v>
      </c>
      <c r="D17" s="15" t="s">
        <v>160</v>
      </c>
    </row>
    <row r="18" spans="1:4" s="18" customFormat="1" ht="14.5" customHeight="1" x14ac:dyDescent="0.4"/>
    <row r="19" spans="1:4" s="18" customFormat="1" ht="14.5" customHeight="1" x14ac:dyDescent="0.4">
      <c r="A19" s="18">
        <v>4</v>
      </c>
      <c r="B19" s="18" t="s">
        <v>294</v>
      </c>
    </row>
    <row r="20" spans="1:4" s="18" customFormat="1" ht="14.5" customHeight="1" x14ac:dyDescent="0.4">
      <c r="C20" s="18" t="s">
        <v>295</v>
      </c>
    </row>
    <row r="21" spans="1:4" s="18" customFormat="1" ht="14.5" customHeight="1" x14ac:dyDescent="0.4"/>
  </sheetData>
  <mergeCells count="5">
    <mergeCell ref="A2:F2"/>
    <mergeCell ref="A1:J1"/>
    <mergeCell ref="A3:J3"/>
    <mergeCell ref="A4:J4"/>
    <mergeCell ref="G2:J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6AA0-F0F2-4B35-9425-2172E44E793F}">
  <dimension ref="A1:J25"/>
  <sheetViews>
    <sheetView workbookViewId="0">
      <selection activeCell="A3" sqref="A3:J3"/>
    </sheetView>
  </sheetViews>
  <sheetFormatPr defaultRowHeight="17" x14ac:dyDescent="0.45"/>
  <cols>
    <col min="1" max="1" width="23.6640625" bestFit="1" customWidth="1"/>
    <col min="2" max="2" width="17.08203125" bestFit="1" customWidth="1"/>
    <col min="3" max="3" width="21" bestFit="1" customWidth="1"/>
    <col min="4" max="5" width="12.6640625" bestFit="1" customWidth="1"/>
    <col min="6" max="6" width="17.08203125" bestFit="1" customWidth="1"/>
    <col min="7" max="7" width="21" bestFit="1" customWidth="1"/>
    <col min="8" max="10" width="12.6640625" bestFit="1" customWidth="1"/>
  </cols>
  <sheetData>
    <row r="1" spans="1:10" x14ac:dyDescent="0.45">
      <c r="A1" s="137"/>
      <c r="B1" s="138"/>
      <c r="C1" s="138"/>
      <c r="D1" s="138"/>
      <c r="E1" s="138"/>
      <c r="F1" s="138"/>
      <c r="G1" s="138"/>
      <c r="H1" s="138"/>
      <c r="I1" s="138"/>
      <c r="J1" s="138"/>
    </row>
    <row r="2" spans="1:10" ht="17.5" customHeight="1" x14ac:dyDescent="0.45">
      <c r="A2" s="146" t="s">
        <v>1</v>
      </c>
      <c r="B2" s="138"/>
      <c r="C2" s="138"/>
      <c r="D2" s="138"/>
      <c r="E2" s="138"/>
      <c r="F2" s="138"/>
      <c r="G2" s="153" t="s">
        <v>335</v>
      </c>
      <c r="H2" s="138"/>
      <c r="I2" s="138"/>
      <c r="J2" s="138"/>
    </row>
    <row r="3" spans="1:10" ht="25.5" customHeight="1" x14ac:dyDescent="0.45">
      <c r="A3" s="154" t="s">
        <v>121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 x14ac:dyDescent="0.45">
      <c r="A4" s="142" t="s">
        <v>296</v>
      </c>
      <c r="B4" s="138"/>
      <c r="C4" s="138"/>
      <c r="D4" s="138"/>
      <c r="E4" s="138"/>
      <c r="F4" s="138"/>
      <c r="G4" s="138"/>
      <c r="H4" s="138"/>
      <c r="I4" s="138"/>
      <c r="J4" s="138"/>
    </row>
    <row r="8" spans="1:10" s="18" customFormat="1" ht="14.5" x14ac:dyDescent="0.4">
      <c r="A8" s="86"/>
      <c r="B8" s="155" t="s">
        <v>297</v>
      </c>
      <c r="C8" s="155"/>
      <c r="D8" s="155"/>
      <c r="E8" s="155"/>
      <c r="F8" s="155" t="s">
        <v>298</v>
      </c>
      <c r="G8" s="155"/>
      <c r="H8" s="155"/>
      <c r="I8" s="155"/>
    </row>
    <row r="9" spans="1:10" s="18" customFormat="1" ht="14.5" x14ac:dyDescent="0.4">
      <c r="A9" s="86" t="s">
        <v>16</v>
      </c>
      <c r="B9" s="87" t="s">
        <v>299</v>
      </c>
      <c r="C9" s="87" t="s">
        <v>300</v>
      </c>
      <c r="D9" s="87" t="s">
        <v>301</v>
      </c>
      <c r="E9" s="87" t="s">
        <v>56</v>
      </c>
      <c r="F9" s="87" t="s">
        <v>299</v>
      </c>
      <c r="G9" s="87" t="s">
        <v>300</v>
      </c>
      <c r="H9" s="87" t="s">
        <v>301</v>
      </c>
      <c r="I9" s="87" t="s">
        <v>56</v>
      </c>
      <c r="J9" s="88" t="s">
        <v>58</v>
      </c>
    </row>
    <row r="10" spans="1:10" s="18" customFormat="1" ht="14.5" x14ac:dyDescent="0.4">
      <c r="A10" s="86" t="s">
        <v>17</v>
      </c>
      <c r="B10" s="65">
        <v>148761889</v>
      </c>
      <c r="C10" s="65"/>
      <c r="D10" s="65"/>
      <c r="E10" s="65">
        <v>148761889</v>
      </c>
      <c r="F10" s="65">
        <v>88097949</v>
      </c>
      <c r="G10" s="65"/>
      <c r="H10" s="65"/>
      <c r="I10" s="89">
        <v>88097949</v>
      </c>
      <c r="J10" s="67">
        <v>60663940</v>
      </c>
    </row>
    <row r="11" spans="1:10" s="18" customFormat="1" ht="14.5" x14ac:dyDescent="0.4">
      <c r="A11" s="86" t="s">
        <v>302</v>
      </c>
      <c r="B11" s="65">
        <v>83536465</v>
      </c>
      <c r="C11" s="65"/>
      <c r="D11" s="65">
        <v>81748293</v>
      </c>
      <c r="E11" s="65">
        <v>165284758</v>
      </c>
      <c r="F11" s="65">
        <v>77177898</v>
      </c>
      <c r="G11" s="65"/>
      <c r="H11" s="65">
        <v>107508014</v>
      </c>
      <c r="I11" s="89">
        <v>184685912</v>
      </c>
      <c r="J11" s="67">
        <v>-19401154</v>
      </c>
    </row>
    <row r="12" spans="1:10" s="18" customFormat="1" ht="14.5" x14ac:dyDescent="0.4">
      <c r="A12" s="86" t="s">
        <v>303</v>
      </c>
      <c r="B12" s="65"/>
      <c r="C12" s="65"/>
      <c r="D12" s="65">
        <v>11466131</v>
      </c>
      <c r="E12" s="65">
        <v>11466131</v>
      </c>
      <c r="F12" s="65"/>
      <c r="G12" s="65"/>
      <c r="H12" s="65">
        <v>6932798</v>
      </c>
      <c r="I12" s="89">
        <v>6932798</v>
      </c>
      <c r="J12" s="67">
        <v>4533333</v>
      </c>
    </row>
    <row r="13" spans="1:10" s="18" customFormat="1" ht="14.5" x14ac:dyDescent="0.4">
      <c r="A13" s="86" t="s">
        <v>304</v>
      </c>
      <c r="B13" s="65"/>
      <c r="C13" s="65">
        <v>704994</v>
      </c>
      <c r="D13" s="65">
        <v>174451831</v>
      </c>
      <c r="E13" s="65">
        <v>175156825</v>
      </c>
      <c r="F13" s="65"/>
      <c r="G13" s="65">
        <v>1872386</v>
      </c>
      <c r="H13" s="65">
        <v>176198105</v>
      </c>
      <c r="I13" s="89">
        <v>178070491</v>
      </c>
      <c r="J13" s="67">
        <v>-2913666</v>
      </c>
    </row>
    <row r="14" spans="1:10" s="18" customFormat="1" ht="14.5" x14ac:dyDescent="0.4">
      <c r="A14" s="86" t="s">
        <v>305</v>
      </c>
      <c r="B14" s="65"/>
      <c r="C14" s="65"/>
      <c r="D14" s="65">
        <v>6056359</v>
      </c>
      <c r="E14" s="65">
        <v>6056359</v>
      </c>
      <c r="F14" s="65"/>
      <c r="G14" s="65"/>
      <c r="H14" s="65">
        <v>368320</v>
      </c>
      <c r="I14" s="89">
        <v>368320</v>
      </c>
      <c r="J14" s="67">
        <v>5688039</v>
      </c>
    </row>
    <row r="15" spans="1:10" s="18" customFormat="1" ht="14.5" x14ac:dyDescent="0.4">
      <c r="A15" s="86" t="s">
        <v>306</v>
      </c>
      <c r="B15" s="65">
        <v>1535453</v>
      </c>
      <c r="C15" s="65"/>
      <c r="D15" s="65">
        <v>16112192</v>
      </c>
      <c r="E15" s="65">
        <v>17647645</v>
      </c>
      <c r="F15" s="65">
        <v>1901587</v>
      </c>
      <c r="G15" s="65"/>
      <c r="H15" s="65">
        <v>20370470</v>
      </c>
      <c r="I15" s="89">
        <v>22272057</v>
      </c>
      <c r="J15" s="67">
        <v>-4624412</v>
      </c>
    </row>
    <row r="16" spans="1:10" s="18" customFormat="1" ht="14.5" x14ac:dyDescent="0.4">
      <c r="A16" s="86" t="s">
        <v>307</v>
      </c>
      <c r="B16" s="65">
        <v>5173581</v>
      </c>
      <c r="C16" s="65"/>
      <c r="D16" s="65">
        <v>130966701</v>
      </c>
      <c r="E16" s="65">
        <v>136140282</v>
      </c>
      <c r="F16" s="65">
        <v>21574220</v>
      </c>
      <c r="G16" s="65"/>
      <c r="H16" s="65">
        <v>156858695</v>
      </c>
      <c r="I16" s="89">
        <v>178432915</v>
      </c>
      <c r="J16" s="67">
        <v>-42292633</v>
      </c>
    </row>
    <row r="17" spans="1:10" s="18" customFormat="1" ht="14.5" x14ac:dyDescent="0.4">
      <c r="A17" s="86" t="s">
        <v>308</v>
      </c>
      <c r="B17" s="65">
        <v>138195162</v>
      </c>
      <c r="C17" s="65"/>
      <c r="D17" s="65">
        <v>8744684.052557053</v>
      </c>
      <c r="E17" s="65">
        <v>146939846.05255705</v>
      </c>
      <c r="F17" s="65">
        <v>117741257</v>
      </c>
      <c r="G17" s="65"/>
      <c r="H17" s="65">
        <v>7883211</v>
      </c>
      <c r="I17" s="89">
        <v>125624468</v>
      </c>
      <c r="J17" s="67">
        <v>21315378.052557051</v>
      </c>
    </row>
    <row r="18" spans="1:10" s="18" customFormat="1" ht="14.5" x14ac:dyDescent="0.4">
      <c r="A18" s="86" t="s">
        <v>56</v>
      </c>
      <c r="B18" s="65">
        <v>377202550</v>
      </c>
      <c r="C18" s="65">
        <v>704994</v>
      </c>
      <c r="D18" s="65">
        <v>429546191.05255705</v>
      </c>
      <c r="E18" s="65">
        <v>807453735.05255699</v>
      </c>
      <c r="F18" s="65">
        <v>306492911</v>
      </c>
      <c r="G18" s="65">
        <v>1872386</v>
      </c>
      <c r="H18" s="65">
        <v>476119613</v>
      </c>
      <c r="I18" s="65">
        <v>784484910</v>
      </c>
      <c r="J18" s="67">
        <v>22968825.052557051</v>
      </c>
    </row>
    <row r="19" spans="1:10" s="18" customFormat="1" ht="14.5" x14ac:dyDescent="0.4"/>
    <row r="20" spans="1:10" s="18" customFormat="1" ht="14.5" x14ac:dyDescent="0.4">
      <c r="A20" s="18" t="s">
        <v>17</v>
      </c>
      <c r="B20" s="18" t="s">
        <v>309</v>
      </c>
    </row>
    <row r="21" spans="1:10" x14ac:dyDescent="0.45">
      <c r="E21" s="66"/>
    </row>
    <row r="22" spans="1:10" x14ac:dyDescent="0.45">
      <c r="A22" s="18" t="s">
        <v>310</v>
      </c>
      <c r="B22" s="59">
        <v>658691846.05255699</v>
      </c>
    </row>
    <row r="23" spans="1:10" x14ac:dyDescent="0.45">
      <c r="A23" s="18" t="s">
        <v>311</v>
      </c>
      <c r="B23" s="59">
        <v>148761889</v>
      </c>
    </row>
    <row r="24" spans="1:10" ht="17.5" thickBot="1" x14ac:dyDescent="0.5">
      <c r="B24" s="159">
        <f>SUM(B22:B23)</f>
        <v>807453735.05255699</v>
      </c>
    </row>
    <row r="25" spans="1:10" ht="17.5" thickTop="1" x14ac:dyDescent="0.45"/>
  </sheetData>
  <mergeCells count="7">
    <mergeCell ref="B8:E8"/>
    <mergeCell ref="F8:I8"/>
    <mergeCell ref="A1:J1"/>
    <mergeCell ref="A2:F2"/>
    <mergeCell ref="G2:J2"/>
    <mergeCell ref="A3:J3"/>
    <mergeCell ref="A4:J4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65"/>
  <sheetViews>
    <sheetView topLeftCell="A34" workbookViewId="0">
      <selection activeCell="A3" sqref="A3:J3"/>
    </sheetView>
  </sheetViews>
  <sheetFormatPr defaultRowHeight="17" x14ac:dyDescent="0.45"/>
  <cols>
    <col min="1" max="1" width="17.83203125" bestFit="1" customWidth="1"/>
    <col min="5" max="5" width="12.33203125" bestFit="1" customWidth="1"/>
    <col min="7" max="7" width="14.33203125" bestFit="1" customWidth="1"/>
    <col min="8" max="8" width="8.75" bestFit="1" customWidth="1"/>
    <col min="9" max="9" width="50.25" customWidth="1"/>
    <col min="17" max="17" width="15.58203125" bestFit="1" customWidth="1"/>
  </cols>
  <sheetData>
    <row r="1" spans="1:23" x14ac:dyDescent="0.45">
      <c r="A1" s="137"/>
      <c r="B1" s="138"/>
      <c r="C1" s="138"/>
      <c r="D1" s="138"/>
      <c r="E1" s="138"/>
      <c r="F1" s="138"/>
      <c r="G1" s="138"/>
      <c r="H1" s="138"/>
      <c r="I1" s="138"/>
      <c r="J1" s="138"/>
    </row>
    <row r="2" spans="1:23" ht="17.5" customHeight="1" x14ac:dyDescent="0.45">
      <c r="A2" s="146" t="s">
        <v>1</v>
      </c>
      <c r="B2" s="138"/>
      <c r="C2" s="138"/>
      <c r="D2" s="138"/>
      <c r="E2" s="138"/>
      <c r="F2" s="138"/>
      <c r="G2" s="153" t="s">
        <v>336</v>
      </c>
      <c r="H2" s="138"/>
      <c r="I2" s="138"/>
      <c r="J2" s="138"/>
    </row>
    <row r="3" spans="1:23" ht="25.5" customHeight="1" x14ac:dyDescent="0.45">
      <c r="A3" s="154" t="s">
        <v>121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23" x14ac:dyDescent="0.45">
      <c r="A4" s="142" t="s">
        <v>312</v>
      </c>
      <c r="B4" s="138"/>
      <c r="C4" s="138"/>
      <c r="D4" s="138"/>
      <c r="E4" s="138"/>
      <c r="F4" s="138"/>
      <c r="G4" s="138"/>
      <c r="H4" s="138"/>
      <c r="I4" s="138"/>
      <c r="J4" s="138"/>
    </row>
    <row r="6" spans="1:23" s="18" customFormat="1" ht="14.5" x14ac:dyDescent="0.4"/>
    <row r="7" spans="1:23" s="26" customFormat="1" ht="18.5" customHeight="1" x14ac:dyDescent="0.4">
      <c r="A7" s="25" t="s">
        <v>74</v>
      </c>
      <c r="B7" s="25" t="s">
        <v>75</v>
      </c>
      <c r="C7" s="25" t="s">
        <v>76</v>
      </c>
      <c r="D7" s="25" t="s">
        <v>77</v>
      </c>
      <c r="E7" s="25" t="s">
        <v>16</v>
      </c>
      <c r="F7" s="25" t="s">
        <v>78</v>
      </c>
      <c r="G7" s="25" t="s">
        <v>79</v>
      </c>
      <c r="H7" s="25" t="s">
        <v>80</v>
      </c>
      <c r="I7" s="25" t="s">
        <v>81</v>
      </c>
      <c r="J7" s="25" t="s">
        <v>82</v>
      </c>
      <c r="K7" s="25" t="s">
        <v>83</v>
      </c>
      <c r="L7" s="25" t="s">
        <v>84</v>
      </c>
      <c r="M7" s="25" t="s">
        <v>85</v>
      </c>
      <c r="N7" s="25" t="s">
        <v>86</v>
      </c>
      <c r="O7" s="25" t="s">
        <v>87</v>
      </c>
      <c r="P7" s="25" t="s">
        <v>88</v>
      </c>
      <c r="Q7" s="25" t="s">
        <v>89</v>
      </c>
      <c r="R7" s="25" t="s">
        <v>90</v>
      </c>
      <c r="S7" s="25" t="s">
        <v>91</v>
      </c>
      <c r="T7" s="25" t="s">
        <v>92</v>
      </c>
      <c r="U7" s="25" t="s">
        <v>14</v>
      </c>
      <c r="V7" s="25" t="s">
        <v>93</v>
      </c>
      <c r="W7" s="25" t="s">
        <v>313</v>
      </c>
    </row>
    <row r="8" spans="1:23" s="18" customFormat="1" ht="14.5" x14ac:dyDescent="0.4">
      <c r="A8" s="19">
        <v>46023</v>
      </c>
      <c r="B8" s="18" t="s">
        <v>101</v>
      </c>
      <c r="C8" s="18" t="s">
        <v>95</v>
      </c>
      <c r="D8" s="18" t="s">
        <v>8</v>
      </c>
      <c r="E8" s="18" t="s">
        <v>31</v>
      </c>
      <c r="F8" s="18" t="s">
        <v>79</v>
      </c>
      <c r="G8" s="20">
        <v>545209561</v>
      </c>
      <c r="H8" s="18">
        <v>0</v>
      </c>
      <c r="I8" s="18" t="s">
        <v>114</v>
      </c>
      <c r="O8" s="18" t="s">
        <v>97</v>
      </c>
      <c r="Q8" s="19">
        <v>46023</v>
      </c>
      <c r="R8" s="18" t="s">
        <v>115</v>
      </c>
      <c r="T8" s="18" t="s">
        <v>99</v>
      </c>
      <c r="U8" s="18" t="s">
        <v>15</v>
      </c>
      <c r="V8" s="18" t="s">
        <v>104</v>
      </c>
      <c r="W8" s="18" t="s">
        <v>55</v>
      </c>
    </row>
    <row r="9" spans="1:23" s="18" customFormat="1" ht="14.5" x14ac:dyDescent="0.4">
      <c r="A9" s="19">
        <v>46023</v>
      </c>
      <c r="B9" s="18" t="s">
        <v>101</v>
      </c>
      <c r="C9" s="18" t="s">
        <v>95</v>
      </c>
      <c r="D9" s="18" t="s">
        <v>8</v>
      </c>
      <c r="E9" s="18" t="s">
        <v>31</v>
      </c>
      <c r="F9" s="18" t="s">
        <v>79</v>
      </c>
      <c r="G9" s="20">
        <v>594368641</v>
      </c>
      <c r="H9" s="18">
        <v>0</v>
      </c>
      <c r="I9" s="18" t="s">
        <v>116</v>
      </c>
      <c r="O9" s="18" t="s">
        <v>97</v>
      </c>
      <c r="Q9" s="19">
        <v>46023</v>
      </c>
      <c r="R9" s="18" t="s">
        <v>115</v>
      </c>
      <c r="T9" s="18" t="s">
        <v>99</v>
      </c>
      <c r="U9" s="18" t="s">
        <v>15</v>
      </c>
      <c r="V9" s="18" t="s">
        <v>104</v>
      </c>
      <c r="W9" s="18" t="s">
        <v>55</v>
      </c>
    </row>
    <row r="10" spans="1:23" s="18" customFormat="1" ht="14.5" x14ac:dyDescent="0.4">
      <c r="A10" s="19">
        <v>46113</v>
      </c>
      <c r="B10" s="18" t="s">
        <v>117</v>
      </c>
      <c r="C10" s="18" t="s">
        <v>95</v>
      </c>
      <c r="D10" s="18" t="s">
        <v>8</v>
      </c>
      <c r="E10" s="18" t="s">
        <v>31</v>
      </c>
      <c r="F10" s="18" t="s">
        <v>79</v>
      </c>
      <c r="G10" s="20">
        <v>-545209561</v>
      </c>
      <c r="H10" s="18">
        <v>0</v>
      </c>
      <c r="I10" s="18" t="s">
        <v>114</v>
      </c>
      <c r="O10" s="18" t="s">
        <v>97</v>
      </c>
      <c r="Q10" s="19">
        <v>46113</v>
      </c>
      <c r="R10" s="18" t="s">
        <v>118</v>
      </c>
      <c r="T10" s="18" t="s">
        <v>99</v>
      </c>
      <c r="U10" s="18" t="s">
        <v>15</v>
      </c>
      <c r="V10" s="18" t="s">
        <v>119</v>
      </c>
      <c r="W10" s="18" t="s">
        <v>55</v>
      </c>
    </row>
    <row r="11" spans="1:23" s="18" customFormat="1" ht="14.5" x14ac:dyDescent="0.4">
      <c r="A11" s="19">
        <v>46113</v>
      </c>
      <c r="B11" s="18" t="s">
        <v>117</v>
      </c>
      <c r="C11" s="18" t="s">
        <v>95</v>
      </c>
      <c r="D11" s="18" t="s">
        <v>8</v>
      </c>
      <c r="E11" s="18" t="s">
        <v>31</v>
      </c>
      <c r="F11" s="18" t="s">
        <v>79</v>
      </c>
      <c r="G11" s="20">
        <v>-594368641</v>
      </c>
      <c r="H11" s="18">
        <v>0</v>
      </c>
      <c r="I11" s="18" t="s">
        <v>116</v>
      </c>
      <c r="O11" s="18" t="s">
        <v>97</v>
      </c>
      <c r="Q11" s="19">
        <v>46113</v>
      </c>
      <c r="R11" s="18" t="s">
        <v>118</v>
      </c>
      <c r="T11" s="18" t="s">
        <v>99</v>
      </c>
      <c r="U11" s="18" t="s">
        <v>15</v>
      </c>
      <c r="V11" s="18" t="s">
        <v>119</v>
      </c>
      <c r="W11" s="18" t="s">
        <v>55</v>
      </c>
    </row>
    <row r="12" spans="1:23" s="18" customFormat="1" ht="14.5" x14ac:dyDescent="0.4">
      <c r="G12" s="20"/>
    </row>
    <row r="13" spans="1:23" s="18" customFormat="1" ht="15" thickBot="1" x14ac:dyDescent="0.45">
      <c r="G13" s="21">
        <v>0</v>
      </c>
      <c r="H13" s="18" t="b">
        <v>1</v>
      </c>
    </row>
    <row r="14" spans="1:23" s="18" customFormat="1" ht="15" thickTop="1" x14ac:dyDescent="0.4">
      <c r="G14" s="20"/>
    </row>
    <row r="15" spans="1:23" s="18" customFormat="1" ht="14.5" x14ac:dyDescent="0.4">
      <c r="G15" s="20"/>
    </row>
    <row r="16" spans="1:23" s="18" customFormat="1" ht="14.5" x14ac:dyDescent="0.4">
      <c r="G16" s="20"/>
    </row>
    <row r="17" spans="1:23" s="18" customFormat="1" ht="14.5" x14ac:dyDescent="0.4">
      <c r="G17" s="20"/>
    </row>
    <row r="18" spans="1:23" s="18" customFormat="1" ht="14.5" x14ac:dyDescent="0.4">
      <c r="G18" s="20"/>
    </row>
    <row r="19" spans="1:23" s="18" customFormat="1" ht="14.5" x14ac:dyDescent="0.4">
      <c r="G19" s="20"/>
    </row>
    <row r="20" spans="1:23" s="26" customFormat="1" ht="14.5" x14ac:dyDescent="0.4">
      <c r="A20" s="25" t="s">
        <v>74</v>
      </c>
      <c r="B20" s="25" t="s">
        <v>75</v>
      </c>
      <c r="C20" s="25" t="s">
        <v>76</v>
      </c>
      <c r="D20" s="25" t="s">
        <v>77</v>
      </c>
      <c r="E20" s="25" t="s">
        <v>16</v>
      </c>
      <c r="F20" s="25" t="s">
        <v>78</v>
      </c>
      <c r="G20" s="27" t="s">
        <v>79</v>
      </c>
      <c r="H20" s="25" t="s">
        <v>80</v>
      </c>
      <c r="I20" s="25" t="s">
        <v>81</v>
      </c>
      <c r="J20" s="25" t="s">
        <v>82</v>
      </c>
      <c r="K20" s="25" t="s">
        <v>83</v>
      </c>
      <c r="L20" s="25" t="s">
        <v>84</v>
      </c>
      <c r="M20" s="25" t="s">
        <v>85</v>
      </c>
      <c r="N20" s="25" t="s">
        <v>86</v>
      </c>
      <c r="O20" s="25" t="s">
        <v>87</v>
      </c>
      <c r="P20" s="25" t="s">
        <v>88</v>
      </c>
      <c r="Q20" s="25" t="s">
        <v>89</v>
      </c>
      <c r="R20" s="25" t="s">
        <v>90</v>
      </c>
      <c r="S20" s="25" t="s">
        <v>91</v>
      </c>
      <c r="T20" s="25" t="s">
        <v>92</v>
      </c>
      <c r="U20" s="25" t="s">
        <v>14</v>
      </c>
      <c r="V20" s="25" t="s">
        <v>93</v>
      </c>
      <c r="W20" s="25"/>
    </row>
    <row r="21" spans="1:23" s="18" customFormat="1" ht="14.5" x14ac:dyDescent="0.4">
      <c r="A21" s="19">
        <v>46023</v>
      </c>
      <c r="B21" s="18" t="s">
        <v>101</v>
      </c>
      <c r="C21" s="18" t="s">
        <v>95</v>
      </c>
      <c r="D21" s="18" t="s">
        <v>8</v>
      </c>
      <c r="E21" s="18" t="s">
        <v>28</v>
      </c>
      <c r="F21" s="18" t="s">
        <v>79</v>
      </c>
      <c r="G21" s="20">
        <v>145771227</v>
      </c>
      <c r="H21" s="18">
        <v>0</v>
      </c>
      <c r="I21" s="18" t="s">
        <v>114</v>
      </c>
      <c r="O21" s="18" t="s">
        <v>97</v>
      </c>
      <c r="Q21" s="19">
        <v>46023</v>
      </c>
      <c r="R21" s="18" t="s">
        <v>115</v>
      </c>
      <c r="T21" s="18" t="s">
        <v>99</v>
      </c>
      <c r="U21" s="18" t="s">
        <v>15</v>
      </c>
      <c r="V21" s="18" t="s">
        <v>104</v>
      </c>
      <c r="W21" s="18" t="s">
        <v>55</v>
      </c>
    </row>
    <row r="22" spans="1:23" s="18" customFormat="1" ht="14.5" x14ac:dyDescent="0.4">
      <c r="A22" s="19">
        <v>46023</v>
      </c>
      <c r="B22" s="18" t="s">
        <v>101</v>
      </c>
      <c r="C22" s="18" t="s">
        <v>95</v>
      </c>
      <c r="D22" s="18" t="s">
        <v>8</v>
      </c>
      <c r="E22" s="18" t="s">
        <v>28</v>
      </c>
      <c r="F22" s="18" t="s">
        <v>79</v>
      </c>
      <c r="G22" s="20">
        <v>158914758</v>
      </c>
      <c r="H22" s="18">
        <v>0</v>
      </c>
      <c r="I22" s="18" t="s">
        <v>116</v>
      </c>
      <c r="O22" s="18" t="s">
        <v>97</v>
      </c>
      <c r="Q22" s="19">
        <v>46023</v>
      </c>
      <c r="R22" s="18" t="s">
        <v>115</v>
      </c>
      <c r="T22" s="18" t="s">
        <v>99</v>
      </c>
      <c r="U22" s="18" t="s">
        <v>15</v>
      </c>
      <c r="V22" s="18" t="s">
        <v>104</v>
      </c>
      <c r="W22" s="18" t="s">
        <v>55</v>
      </c>
    </row>
    <row r="23" spans="1:23" s="18" customFormat="1" ht="14.5" x14ac:dyDescent="0.4">
      <c r="A23" s="19">
        <v>46113</v>
      </c>
      <c r="B23" s="18" t="s">
        <v>117</v>
      </c>
      <c r="C23" s="18" t="s">
        <v>95</v>
      </c>
      <c r="D23" s="18" t="s">
        <v>8</v>
      </c>
      <c r="E23" s="18" t="s">
        <v>28</v>
      </c>
      <c r="F23" s="18" t="s">
        <v>79</v>
      </c>
      <c r="G23" s="20">
        <v>-145771227</v>
      </c>
      <c r="H23" s="18">
        <v>0</v>
      </c>
      <c r="I23" s="18" t="s">
        <v>114</v>
      </c>
      <c r="O23" s="18" t="s">
        <v>97</v>
      </c>
      <c r="Q23" s="19">
        <v>46113</v>
      </c>
      <c r="R23" s="18" t="s">
        <v>118</v>
      </c>
      <c r="T23" s="18" t="s">
        <v>99</v>
      </c>
      <c r="U23" s="18" t="s">
        <v>15</v>
      </c>
      <c r="V23" s="18" t="s">
        <v>119</v>
      </c>
      <c r="W23" s="18" t="s">
        <v>55</v>
      </c>
    </row>
    <row r="24" spans="1:23" s="18" customFormat="1" ht="14.5" x14ac:dyDescent="0.4">
      <c r="A24" s="19">
        <v>46113</v>
      </c>
      <c r="B24" s="18" t="s">
        <v>117</v>
      </c>
      <c r="C24" s="18" t="s">
        <v>95</v>
      </c>
      <c r="D24" s="18" t="s">
        <v>8</v>
      </c>
      <c r="E24" s="18" t="s">
        <v>28</v>
      </c>
      <c r="F24" s="18" t="s">
        <v>79</v>
      </c>
      <c r="G24" s="20">
        <v>-158914758</v>
      </c>
      <c r="H24" s="18">
        <v>0</v>
      </c>
      <c r="I24" s="18" t="s">
        <v>116</v>
      </c>
      <c r="O24" s="18" t="s">
        <v>97</v>
      </c>
      <c r="Q24" s="19">
        <v>46113</v>
      </c>
      <c r="R24" s="18" t="s">
        <v>118</v>
      </c>
      <c r="T24" s="18" t="s">
        <v>99</v>
      </c>
      <c r="U24" s="18" t="s">
        <v>15</v>
      </c>
      <c r="V24" s="18" t="s">
        <v>119</v>
      </c>
      <c r="W24" s="18" t="s">
        <v>55</v>
      </c>
    </row>
    <row r="25" spans="1:23" s="18" customFormat="1" ht="14.5" x14ac:dyDescent="0.4">
      <c r="G25" s="20"/>
    </row>
    <row r="26" spans="1:23" s="18" customFormat="1" ht="14.5" x14ac:dyDescent="0.4">
      <c r="G26" s="20"/>
    </row>
    <row r="27" spans="1:23" s="18" customFormat="1" ht="15" thickBot="1" x14ac:dyDescent="0.45">
      <c r="G27" s="21">
        <v>0</v>
      </c>
      <c r="H27" s="18" t="b">
        <v>1</v>
      </c>
    </row>
    <row r="28" spans="1:23" s="18" customFormat="1" ht="15" thickTop="1" x14ac:dyDescent="0.4">
      <c r="G28" s="20"/>
    </row>
    <row r="29" spans="1:23" s="26" customFormat="1" ht="14.5" x14ac:dyDescent="0.4">
      <c r="A29" s="25" t="s">
        <v>74</v>
      </c>
      <c r="B29" s="25" t="s">
        <v>75</v>
      </c>
      <c r="C29" s="25" t="s">
        <v>76</v>
      </c>
      <c r="D29" s="25" t="s">
        <v>77</v>
      </c>
      <c r="E29" s="25" t="s">
        <v>16</v>
      </c>
      <c r="F29" s="25" t="s">
        <v>78</v>
      </c>
      <c r="G29" s="27" t="s">
        <v>79</v>
      </c>
      <c r="H29" s="25" t="s">
        <v>80</v>
      </c>
      <c r="I29" s="25" t="s">
        <v>81</v>
      </c>
      <c r="J29" s="25" t="s">
        <v>82</v>
      </c>
      <c r="K29" s="25" t="s">
        <v>83</v>
      </c>
      <c r="L29" s="25" t="s">
        <v>84</v>
      </c>
      <c r="M29" s="25" t="s">
        <v>85</v>
      </c>
      <c r="N29" s="25" t="s">
        <v>86</v>
      </c>
      <c r="O29" s="25" t="s">
        <v>87</v>
      </c>
      <c r="P29" s="25" t="s">
        <v>88</v>
      </c>
      <c r="Q29" s="25" t="s">
        <v>89</v>
      </c>
      <c r="R29" s="25" t="s">
        <v>90</v>
      </c>
      <c r="S29" s="25" t="s">
        <v>91</v>
      </c>
      <c r="T29" s="25" t="s">
        <v>92</v>
      </c>
      <c r="U29" s="25" t="s">
        <v>14</v>
      </c>
      <c r="V29" s="25" t="s">
        <v>93</v>
      </c>
      <c r="W29" s="25"/>
    </row>
    <row r="30" spans="1:23" s="18" customFormat="1" ht="14.5" x14ac:dyDescent="0.4">
      <c r="A30" s="19">
        <v>46112</v>
      </c>
      <c r="B30" s="18" t="s">
        <v>117</v>
      </c>
      <c r="C30" s="18" t="s">
        <v>95</v>
      </c>
      <c r="D30" s="18" t="s">
        <v>8</v>
      </c>
      <c r="E30" s="18" t="s">
        <v>21</v>
      </c>
      <c r="F30" s="18" t="s">
        <v>79</v>
      </c>
      <c r="G30" s="20">
        <v>72676310</v>
      </c>
      <c r="H30" s="18">
        <v>0</v>
      </c>
      <c r="I30" s="18" t="s">
        <v>161</v>
      </c>
      <c r="M30" s="18" t="s">
        <v>162</v>
      </c>
      <c r="N30" s="18" t="s">
        <v>163</v>
      </c>
      <c r="O30" s="18" t="s">
        <v>97</v>
      </c>
      <c r="Q30" s="19">
        <v>46112</v>
      </c>
      <c r="R30" s="18" t="s">
        <v>164</v>
      </c>
      <c r="T30" s="18" t="s">
        <v>99</v>
      </c>
      <c r="U30" s="18" t="s">
        <v>15</v>
      </c>
      <c r="V30" s="18" t="s">
        <v>119</v>
      </c>
      <c r="W30" s="18" t="s">
        <v>55</v>
      </c>
    </row>
    <row r="31" spans="1:23" s="18" customFormat="1" ht="14.5" x14ac:dyDescent="0.4">
      <c r="G31" s="20"/>
    </row>
    <row r="32" spans="1:23" s="18" customFormat="1" ht="15" thickBot="1" x14ac:dyDescent="0.45">
      <c r="G32" s="21">
        <v>72676310</v>
      </c>
      <c r="H32" s="18" t="b">
        <v>1</v>
      </c>
      <c r="W32" s="18" t="s">
        <v>48</v>
      </c>
    </row>
    <row r="33" spans="1:23" s="18" customFormat="1" ht="15" thickTop="1" x14ac:dyDescent="0.4">
      <c r="G33" s="20"/>
    </row>
    <row r="34" spans="1:23" s="18" customFormat="1" ht="14.5" x14ac:dyDescent="0.4">
      <c r="G34" s="20"/>
    </row>
    <row r="35" spans="1:23" s="26" customFormat="1" ht="14.5" x14ac:dyDescent="0.4">
      <c r="A35" s="28" t="s">
        <v>74</v>
      </c>
      <c r="B35" s="28" t="s">
        <v>75</v>
      </c>
      <c r="C35" s="28" t="s">
        <v>76</v>
      </c>
      <c r="D35" s="28" t="s">
        <v>77</v>
      </c>
      <c r="E35" s="28" t="s">
        <v>16</v>
      </c>
      <c r="F35" s="28" t="s">
        <v>78</v>
      </c>
      <c r="G35" s="28" t="s">
        <v>79</v>
      </c>
      <c r="H35" s="28" t="s">
        <v>80</v>
      </c>
      <c r="I35" s="28" t="s">
        <v>81</v>
      </c>
      <c r="J35" s="28" t="s">
        <v>82</v>
      </c>
      <c r="K35" s="28" t="s">
        <v>83</v>
      </c>
      <c r="L35" s="28" t="s">
        <v>84</v>
      </c>
      <c r="M35" s="28" t="s">
        <v>85</v>
      </c>
      <c r="N35" s="28" t="s">
        <v>86</v>
      </c>
      <c r="O35" s="28" t="s">
        <v>87</v>
      </c>
      <c r="P35" s="28" t="s">
        <v>88</v>
      </c>
      <c r="Q35" s="28" t="s">
        <v>89</v>
      </c>
      <c r="R35" s="28" t="s">
        <v>90</v>
      </c>
      <c r="S35" s="28" t="s">
        <v>91</v>
      </c>
      <c r="T35" s="28" t="s">
        <v>92</v>
      </c>
      <c r="U35" s="28" t="s">
        <v>14</v>
      </c>
      <c r="V35" s="28" t="s">
        <v>93</v>
      </c>
      <c r="W35" s="22"/>
    </row>
    <row r="36" spans="1:23" s="18" customFormat="1" ht="14.5" x14ac:dyDescent="0.4">
      <c r="A36" s="23">
        <v>46168</v>
      </c>
      <c r="B36" s="18" t="s">
        <v>106</v>
      </c>
      <c r="C36" s="18" t="s">
        <v>239</v>
      </c>
      <c r="D36" s="18" t="s">
        <v>240</v>
      </c>
      <c r="E36" s="18" t="s">
        <v>24</v>
      </c>
      <c r="F36" s="18" t="s">
        <v>79</v>
      </c>
      <c r="G36" s="18">
        <v>12000000</v>
      </c>
      <c r="H36" s="18">
        <v>0</v>
      </c>
      <c r="I36" s="18" t="s">
        <v>241</v>
      </c>
      <c r="J36" s="113">
        <v>46168</v>
      </c>
      <c r="M36" s="18" t="s">
        <v>242</v>
      </c>
      <c r="N36" s="18" t="s">
        <v>243</v>
      </c>
      <c r="O36" s="18" t="s">
        <v>97</v>
      </c>
      <c r="Q36" s="23">
        <v>46168</v>
      </c>
      <c r="R36" s="18" t="s">
        <v>244</v>
      </c>
      <c r="S36" s="18" t="s">
        <v>8</v>
      </c>
      <c r="T36" s="18" t="s">
        <v>105</v>
      </c>
      <c r="U36" s="18" t="s">
        <v>15</v>
      </c>
      <c r="V36" s="18" t="s">
        <v>107</v>
      </c>
      <c r="W36" s="18" t="s">
        <v>54</v>
      </c>
    </row>
    <row r="37" spans="1:23" s="18" customFormat="1" ht="14.5" x14ac:dyDescent="0.4">
      <c r="A37" s="23">
        <v>46170</v>
      </c>
      <c r="B37" s="18" t="s">
        <v>245</v>
      </c>
      <c r="C37" s="18" t="s">
        <v>246</v>
      </c>
      <c r="D37" s="18" t="s">
        <v>247</v>
      </c>
      <c r="E37" s="18" t="s">
        <v>24</v>
      </c>
      <c r="F37" s="18" t="s">
        <v>79</v>
      </c>
      <c r="G37" s="18">
        <v>2000000</v>
      </c>
      <c r="H37" s="18">
        <v>0</v>
      </c>
      <c r="I37" s="18" t="s">
        <v>248</v>
      </c>
      <c r="J37" s="113">
        <v>46170</v>
      </c>
      <c r="M37" s="18" t="s">
        <v>216</v>
      </c>
      <c r="N37" s="18" t="s">
        <v>217</v>
      </c>
      <c r="O37" s="18" t="s">
        <v>97</v>
      </c>
      <c r="P37" s="18" t="s">
        <v>249</v>
      </c>
      <c r="Q37" s="23">
        <v>46170</v>
      </c>
      <c r="R37" s="18" t="s">
        <v>250</v>
      </c>
      <c r="S37" s="18" t="s">
        <v>10</v>
      </c>
      <c r="T37" s="18" t="s">
        <v>105</v>
      </c>
      <c r="U37" s="18" t="s">
        <v>15</v>
      </c>
      <c r="V37" s="18" t="s">
        <v>251</v>
      </c>
      <c r="W37" s="18" t="s">
        <v>54</v>
      </c>
    </row>
    <row r="38" spans="1:23" s="18" customFormat="1" ht="14.5" x14ac:dyDescent="0.4">
      <c r="G38" s="20"/>
    </row>
    <row r="39" spans="1:23" s="18" customFormat="1" ht="15" thickBot="1" x14ac:dyDescent="0.45">
      <c r="G39" s="21">
        <v>14000000</v>
      </c>
      <c r="H39" s="18" t="b">
        <v>1</v>
      </c>
    </row>
    <row r="40" spans="1:23" s="18" customFormat="1" ht="15" thickTop="1" x14ac:dyDescent="0.4">
      <c r="G40" s="20"/>
    </row>
    <row r="41" spans="1:23" s="26" customFormat="1" ht="14.5" x14ac:dyDescent="0.4">
      <c r="A41" s="25" t="s">
        <v>74</v>
      </c>
      <c r="B41" s="25" t="s">
        <v>75</v>
      </c>
      <c r="C41" s="25" t="s">
        <v>76</v>
      </c>
      <c r="D41" s="25" t="s">
        <v>77</v>
      </c>
      <c r="E41" s="25" t="s">
        <v>16</v>
      </c>
      <c r="F41" s="25" t="s">
        <v>78</v>
      </c>
      <c r="G41" s="27" t="s">
        <v>79</v>
      </c>
      <c r="H41" s="25" t="s">
        <v>80</v>
      </c>
      <c r="I41" s="25" t="s">
        <v>81</v>
      </c>
      <c r="J41" s="25" t="s">
        <v>82</v>
      </c>
      <c r="K41" s="25" t="s">
        <v>83</v>
      </c>
      <c r="L41" s="25" t="s">
        <v>84</v>
      </c>
      <c r="M41" s="25" t="s">
        <v>85</v>
      </c>
      <c r="N41" s="25" t="s">
        <v>86</v>
      </c>
      <c r="O41" s="25" t="s">
        <v>87</v>
      </c>
      <c r="P41" s="25" t="s">
        <v>88</v>
      </c>
      <c r="Q41" s="25" t="s">
        <v>89</v>
      </c>
      <c r="R41" s="25" t="s">
        <v>90</v>
      </c>
      <c r="S41" s="25" t="s">
        <v>91</v>
      </c>
      <c r="T41" s="25" t="s">
        <v>92</v>
      </c>
      <c r="U41" s="25" t="s">
        <v>14</v>
      </c>
      <c r="V41" s="25" t="s">
        <v>93</v>
      </c>
      <c r="W41" s="25"/>
    </row>
    <row r="42" spans="1:23" s="18" customFormat="1" ht="14.5" x14ac:dyDescent="0.4">
      <c r="A42" s="19">
        <v>46102</v>
      </c>
      <c r="B42" s="18" t="s">
        <v>106</v>
      </c>
      <c r="C42" s="18" t="s">
        <v>165</v>
      </c>
      <c r="D42" s="18" t="s">
        <v>166</v>
      </c>
      <c r="E42" s="18" t="s">
        <v>25</v>
      </c>
      <c r="F42" s="18" t="s">
        <v>79</v>
      </c>
      <c r="G42" s="20">
        <v>8030000</v>
      </c>
      <c r="H42" s="18">
        <v>0</v>
      </c>
      <c r="I42" s="18" t="s">
        <v>167</v>
      </c>
      <c r="J42" s="113">
        <v>46102</v>
      </c>
      <c r="M42" s="18" t="s">
        <v>168</v>
      </c>
      <c r="N42" s="18" t="s">
        <v>169</v>
      </c>
      <c r="O42" s="18" t="s">
        <v>97</v>
      </c>
      <c r="Q42" s="19">
        <v>46102</v>
      </c>
      <c r="R42" s="18" t="s">
        <v>170</v>
      </c>
      <c r="S42" s="18" t="s">
        <v>10</v>
      </c>
      <c r="T42" s="18" t="s">
        <v>105</v>
      </c>
      <c r="U42" s="18" t="s">
        <v>15</v>
      </c>
      <c r="V42" s="18" t="s">
        <v>107</v>
      </c>
      <c r="W42" s="18" t="s">
        <v>54</v>
      </c>
    </row>
    <row r="43" spans="1:23" s="18" customFormat="1" ht="14.5" x14ac:dyDescent="0.4">
      <c r="G43" s="20"/>
    </row>
    <row r="44" spans="1:23" s="18" customFormat="1" ht="14.5" x14ac:dyDescent="0.4">
      <c r="G44" s="20"/>
    </row>
    <row r="45" spans="1:23" s="18" customFormat="1" ht="15" thickBot="1" x14ac:dyDescent="0.45">
      <c r="G45" s="21">
        <v>8030000</v>
      </c>
      <c r="H45" s="18" t="b">
        <v>1</v>
      </c>
    </row>
    <row r="46" spans="1:23" s="18" customFormat="1" ht="15" thickTop="1" x14ac:dyDescent="0.4">
      <c r="G46" s="20"/>
    </row>
    <row r="47" spans="1:23" s="18" customFormat="1" ht="14.5" x14ac:dyDescent="0.4">
      <c r="G47" s="20"/>
    </row>
    <row r="48" spans="1:23" s="18" customFormat="1" ht="14.5" x14ac:dyDescent="0.4">
      <c r="G48" s="20"/>
    </row>
    <row r="49" spans="1:23" s="26" customFormat="1" ht="14.5" x14ac:dyDescent="0.4">
      <c r="A49" s="25" t="s">
        <v>74</v>
      </c>
      <c r="B49" s="25" t="s">
        <v>75</v>
      </c>
      <c r="C49" s="25" t="s">
        <v>76</v>
      </c>
      <c r="D49" s="25" t="s">
        <v>77</v>
      </c>
      <c r="E49" s="25" t="s">
        <v>16</v>
      </c>
      <c r="F49" s="25" t="s">
        <v>78</v>
      </c>
      <c r="G49" s="27" t="s">
        <v>79</v>
      </c>
      <c r="H49" s="25" t="s">
        <v>80</v>
      </c>
      <c r="I49" s="25" t="s">
        <v>81</v>
      </c>
      <c r="J49" s="25" t="s">
        <v>82</v>
      </c>
      <c r="K49" s="25" t="s">
        <v>83</v>
      </c>
      <c r="L49" s="25" t="s">
        <v>84</v>
      </c>
      <c r="M49" s="25" t="s">
        <v>85</v>
      </c>
      <c r="N49" s="25" t="s">
        <v>86</v>
      </c>
      <c r="O49" s="25" t="s">
        <v>87</v>
      </c>
      <c r="P49" s="25" t="s">
        <v>88</v>
      </c>
      <c r="Q49" s="25" t="s">
        <v>89</v>
      </c>
      <c r="R49" s="25" t="s">
        <v>90</v>
      </c>
      <c r="S49" s="25" t="s">
        <v>91</v>
      </c>
      <c r="T49" s="25" t="s">
        <v>92</v>
      </c>
      <c r="U49" s="25" t="s">
        <v>14</v>
      </c>
      <c r="V49" s="25" t="s">
        <v>93</v>
      </c>
      <c r="W49" s="25"/>
    </row>
    <row r="50" spans="1:23" s="18" customFormat="1" ht="14.5" x14ac:dyDescent="0.4">
      <c r="A50" s="19">
        <v>46049</v>
      </c>
      <c r="B50" s="18" t="s">
        <v>110</v>
      </c>
      <c r="C50" s="18" t="s">
        <v>171</v>
      </c>
      <c r="D50" s="18" t="s">
        <v>172</v>
      </c>
      <c r="E50" s="18" t="s">
        <v>18</v>
      </c>
      <c r="F50" s="18" t="s">
        <v>79</v>
      </c>
      <c r="G50" s="20">
        <v>15500000</v>
      </c>
      <c r="H50" s="18">
        <v>0</v>
      </c>
      <c r="I50" s="18" t="s">
        <v>173</v>
      </c>
      <c r="J50" s="113">
        <v>46049</v>
      </c>
      <c r="M50" s="18" t="s">
        <v>174</v>
      </c>
      <c r="N50" s="18" t="s">
        <v>175</v>
      </c>
      <c r="O50" s="18" t="s">
        <v>97</v>
      </c>
      <c r="Q50" s="19">
        <v>46049</v>
      </c>
      <c r="R50" s="18" t="s">
        <v>176</v>
      </c>
      <c r="S50" s="18" t="s">
        <v>11</v>
      </c>
      <c r="T50" s="18" t="s">
        <v>105</v>
      </c>
      <c r="U50" s="18" t="s">
        <v>15</v>
      </c>
      <c r="V50" s="18" t="s">
        <v>111</v>
      </c>
      <c r="W50" s="18" t="s">
        <v>54</v>
      </c>
    </row>
    <row r="51" spans="1:23" s="18" customFormat="1" ht="14.5" x14ac:dyDescent="0.4">
      <c r="A51" s="19">
        <v>46079</v>
      </c>
      <c r="B51" s="18" t="s">
        <v>177</v>
      </c>
      <c r="C51" s="18" t="s">
        <v>171</v>
      </c>
      <c r="D51" s="18" t="s">
        <v>172</v>
      </c>
      <c r="E51" s="18" t="s">
        <v>18</v>
      </c>
      <c r="F51" s="18" t="s">
        <v>79</v>
      </c>
      <c r="G51" s="20">
        <v>215000000</v>
      </c>
      <c r="H51" s="18">
        <v>0</v>
      </c>
      <c r="I51" s="18" t="s">
        <v>178</v>
      </c>
      <c r="J51" s="113">
        <v>46079</v>
      </c>
      <c r="M51" s="18" t="s">
        <v>179</v>
      </c>
      <c r="N51" s="18" t="s">
        <v>180</v>
      </c>
      <c r="O51" s="18" t="s">
        <v>97</v>
      </c>
      <c r="P51" s="18" t="s">
        <v>181</v>
      </c>
      <c r="Q51" s="19">
        <v>46079</v>
      </c>
      <c r="R51" s="18" t="s">
        <v>182</v>
      </c>
      <c r="S51" s="18" t="s">
        <v>10</v>
      </c>
      <c r="T51" s="18" t="s">
        <v>105</v>
      </c>
      <c r="U51" s="18" t="s">
        <v>15</v>
      </c>
      <c r="V51" s="18" t="s">
        <v>183</v>
      </c>
      <c r="W51" s="18" t="s">
        <v>54</v>
      </c>
    </row>
    <row r="52" spans="1:23" s="18" customFormat="1" ht="14.5" x14ac:dyDescent="0.4">
      <c r="A52" s="19">
        <v>46092</v>
      </c>
      <c r="B52" s="18" t="s">
        <v>112</v>
      </c>
      <c r="C52" s="18" t="s">
        <v>184</v>
      </c>
      <c r="D52" s="18" t="s">
        <v>185</v>
      </c>
      <c r="E52" s="18" t="s">
        <v>18</v>
      </c>
      <c r="F52" s="18" t="s">
        <v>79</v>
      </c>
      <c r="G52" s="20">
        <v>32550000</v>
      </c>
      <c r="H52" s="18">
        <v>0</v>
      </c>
      <c r="I52" s="18" t="s">
        <v>186</v>
      </c>
      <c r="J52" s="113">
        <v>46092</v>
      </c>
      <c r="M52" s="18" t="s">
        <v>187</v>
      </c>
      <c r="N52" s="18" t="s">
        <v>188</v>
      </c>
      <c r="O52" s="18" t="s">
        <v>97</v>
      </c>
      <c r="P52" s="18" t="s">
        <v>189</v>
      </c>
      <c r="Q52" s="19">
        <v>46092</v>
      </c>
      <c r="R52" s="18" t="s">
        <v>190</v>
      </c>
      <c r="S52" s="18" t="s">
        <v>10</v>
      </c>
      <c r="T52" s="18" t="s">
        <v>105</v>
      </c>
      <c r="U52" s="18" t="s">
        <v>15</v>
      </c>
      <c r="V52" s="18" t="s">
        <v>113</v>
      </c>
      <c r="W52" s="18" t="s">
        <v>54</v>
      </c>
    </row>
    <row r="53" spans="1:23" s="18" customFormat="1" ht="14.5" x14ac:dyDescent="0.4">
      <c r="A53" s="19">
        <v>46106</v>
      </c>
      <c r="B53" s="18" t="s">
        <v>191</v>
      </c>
      <c r="C53" s="18" t="s">
        <v>171</v>
      </c>
      <c r="D53" s="18" t="s">
        <v>172</v>
      </c>
      <c r="E53" s="18" t="s">
        <v>18</v>
      </c>
      <c r="F53" s="18" t="s">
        <v>79</v>
      </c>
      <c r="G53" s="20">
        <v>435600000</v>
      </c>
      <c r="H53" s="18">
        <v>0</v>
      </c>
      <c r="I53" s="18" t="s">
        <v>192</v>
      </c>
      <c r="J53" s="113">
        <v>46106</v>
      </c>
      <c r="M53" s="18" t="s">
        <v>179</v>
      </c>
      <c r="N53" s="18" t="s">
        <v>180</v>
      </c>
      <c r="O53" s="18" t="s">
        <v>97</v>
      </c>
      <c r="Q53" s="19">
        <v>46106</v>
      </c>
      <c r="R53" s="18" t="s">
        <v>193</v>
      </c>
      <c r="S53" s="18" t="s">
        <v>10</v>
      </c>
      <c r="T53" s="18" t="s">
        <v>105</v>
      </c>
      <c r="U53" s="18" t="s">
        <v>15</v>
      </c>
      <c r="V53" s="18" t="s">
        <v>194</v>
      </c>
      <c r="W53" s="18" t="s">
        <v>54</v>
      </c>
    </row>
    <row r="54" spans="1:23" s="18" customFormat="1" ht="14.5" x14ac:dyDescent="0.4">
      <c r="A54" s="19">
        <v>46111</v>
      </c>
      <c r="B54" s="18" t="s">
        <v>108</v>
      </c>
      <c r="C54" s="18" t="s">
        <v>195</v>
      </c>
      <c r="D54" s="18" t="s">
        <v>196</v>
      </c>
      <c r="E54" s="18" t="s">
        <v>18</v>
      </c>
      <c r="F54" s="18" t="s">
        <v>79</v>
      </c>
      <c r="G54" s="20">
        <v>68900000</v>
      </c>
      <c r="H54" s="18">
        <v>0</v>
      </c>
      <c r="I54" s="18" t="s">
        <v>197</v>
      </c>
      <c r="J54" s="113">
        <v>46111</v>
      </c>
      <c r="M54" s="18" t="s">
        <v>162</v>
      </c>
      <c r="N54" s="18" t="s">
        <v>163</v>
      </c>
      <c r="O54" s="18" t="s">
        <v>97</v>
      </c>
      <c r="Q54" s="19">
        <v>46111</v>
      </c>
      <c r="R54" s="18" t="s">
        <v>198</v>
      </c>
      <c r="S54" s="18" t="s">
        <v>8</v>
      </c>
      <c r="T54" s="18" t="s">
        <v>105</v>
      </c>
      <c r="U54" s="18" t="s">
        <v>15</v>
      </c>
      <c r="V54" s="18" t="s">
        <v>109</v>
      </c>
      <c r="W54" s="18" t="s">
        <v>54</v>
      </c>
    </row>
    <row r="55" spans="1:23" s="18" customFormat="1" ht="14.5" x14ac:dyDescent="0.4">
      <c r="A55" s="19">
        <v>46112</v>
      </c>
      <c r="B55" s="18" t="s">
        <v>220</v>
      </c>
      <c r="C55" s="18" t="s">
        <v>195</v>
      </c>
      <c r="D55" s="18" t="s">
        <v>196</v>
      </c>
      <c r="E55" s="18" t="s">
        <v>18</v>
      </c>
      <c r="F55" s="18" t="s">
        <v>79</v>
      </c>
      <c r="G55" s="20">
        <v>3545810</v>
      </c>
      <c r="H55" s="18">
        <v>0</v>
      </c>
      <c r="I55" s="18" t="s">
        <v>221</v>
      </c>
      <c r="J55" s="113">
        <v>46112</v>
      </c>
      <c r="M55" s="18" t="s">
        <v>162</v>
      </c>
      <c r="N55" s="18" t="s">
        <v>163</v>
      </c>
      <c r="O55" s="18" t="s">
        <v>97</v>
      </c>
      <c r="Q55" s="18">
        <v>46112</v>
      </c>
      <c r="R55" s="18" t="s">
        <v>222</v>
      </c>
      <c r="S55" s="18" t="s">
        <v>9</v>
      </c>
      <c r="T55" s="18" t="s">
        <v>105</v>
      </c>
      <c r="U55" s="18" t="s">
        <v>15</v>
      </c>
      <c r="V55" s="18" t="s">
        <v>223</v>
      </c>
      <c r="W55" s="18" t="s">
        <v>54</v>
      </c>
    </row>
    <row r="56" spans="1:23" s="18" customFormat="1" ht="14.5" x14ac:dyDescent="0.4">
      <c r="A56" s="19">
        <v>46112</v>
      </c>
      <c r="B56" s="18" t="s">
        <v>220</v>
      </c>
      <c r="C56" s="18" t="s">
        <v>195</v>
      </c>
      <c r="D56" s="18" t="s">
        <v>196</v>
      </c>
      <c r="E56" s="18" t="s">
        <v>18</v>
      </c>
      <c r="F56" s="18" t="s">
        <v>79</v>
      </c>
      <c r="G56" s="20">
        <v>230000</v>
      </c>
      <c r="H56" s="18">
        <v>0</v>
      </c>
      <c r="I56" s="18" t="s">
        <v>221</v>
      </c>
      <c r="J56" s="113">
        <v>46112</v>
      </c>
      <c r="M56" s="18" t="s">
        <v>206</v>
      </c>
      <c r="N56" s="18" t="s">
        <v>207</v>
      </c>
      <c r="O56" s="18" t="s">
        <v>97</v>
      </c>
      <c r="Q56" s="18">
        <v>46112</v>
      </c>
      <c r="R56" s="18" t="s">
        <v>222</v>
      </c>
      <c r="S56" s="18" t="s">
        <v>9</v>
      </c>
      <c r="T56" s="18" t="s">
        <v>105</v>
      </c>
      <c r="U56" s="18" t="s">
        <v>15</v>
      </c>
      <c r="V56" s="18" t="s">
        <v>223</v>
      </c>
      <c r="W56" s="18" t="s">
        <v>54</v>
      </c>
    </row>
    <row r="57" spans="1:23" s="18" customFormat="1" ht="14.5" x14ac:dyDescent="0.4">
      <c r="A57" s="19">
        <v>46112</v>
      </c>
      <c r="B57" s="18" t="s">
        <v>220</v>
      </c>
      <c r="C57" s="18" t="s">
        <v>195</v>
      </c>
      <c r="D57" s="18" t="s">
        <v>196</v>
      </c>
      <c r="E57" s="18" t="s">
        <v>18</v>
      </c>
      <c r="F57" s="18" t="s">
        <v>79</v>
      </c>
      <c r="G57" s="18">
        <v>500</v>
      </c>
      <c r="H57" s="18">
        <v>0</v>
      </c>
      <c r="I57" s="18" t="s">
        <v>221</v>
      </c>
      <c r="J57" s="113">
        <v>46112</v>
      </c>
      <c r="M57" s="18" t="s">
        <v>162</v>
      </c>
      <c r="N57" s="18" t="s">
        <v>163</v>
      </c>
      <c r="O57" s="18" t="s">
        <v>97</v>
      </c>
      <c r="Q57" s="18">
        <v>46112</v>
      </c>
      <c r="R57" s="18" t="s">
        <v>222</v>
      </c>
      <c r="S57" s="18" t="s">
        <v>9</v>
      </c>
      <c r="T57" s="18" t="s">
        <v>105</v>
      </c>
      <c r="U57" s="18" t="s">
        <v>15</v>
      </c>
      <c r="V57" s="18" t="s">
        <v>223</v>
      </c>
      <c r="W57" s="18" t="s">
        <v>54</v>
      </c>
    </row>
    <row r="58" spans="1:23" s="18" customFormat="1" ht="14.5" x14ac:dyDescent="0.4">
      <c r="A58" s="19">
        <v>46121</v>
      </c>
      <c r="B58" s="18" t="s">
        <v>224</v>
      </c>
      <c r="C58" s="18" t="s">
        <v>95</v>
      </c>
      <c r="D58" s="18" t="s">
        <v>8</v>
      </c>
      <c r="E58" s="18" t="s">
        <v>18</v>
      </c>
      <c r="F58" s="18" t="s">
        <v>79</v>
      </c>
      <c r="G58" s="20">
        <v>2981000000</v>
      </c>
      <c r="H58" s="18">
        <v>0</v>
      </c>
      <c r="I58" s="18" t="s">
        <v>225</v>
      </c>
      <c r="M58" s="18" t="s">
        <v>214</v>
      </c>
      <c r="N58" s="18" t="s">
        <v>215</v>
      </c>
      <c r="O58" s="18" t="s">
        <v>97</v>
      </c>
      <c r="Q58" s="18">
        <v>46121</v>
      </c>
      <c r="R58" s="18" t="s">
        <v>226</v>
      </c>
      <c r="T58" s="18" t="s">
        <v>99</v>
      </c>
      <c r="U58" s="18" t="s">
        <v>15</v>
      </c>
      <c r="V58" s="18" t="s">
        <v>227</v>
      </c>
      <c r="W58" s="18" t="s">
        <v>54</v>
      </c>
    </row>
    <row r="59" spans="1:23" s="18" customFormat="1" ht="14.5" x14ac:dyDescent="0.4">
      <c r="A59" s="19">
        <v>46129</v>
      </c>
      <c r="B59" s="18" t="s">
        <v>228</v>
      </c>
      <c r="C59" s="18" t="s">
        <v>95</v>
      </c>
      <c r="D59" s="18" t="s">
        <v>8</v>
      </c>
      <c r="E59" s="18" t="s">
        <v>18</v>
      </c>
      <c r="F59" s="18" t="s">
        <v>79</v>
      </c>
      <c r="G59" s="20">
        <v>3000000</v>
      </c>
      <c r="H59" s="18">
        <v>0</v>
      </c>
      <c r="I59" s="18" t="s">
        <v>229</v>
      </c>
      <c r="M59" s="18" t="s">
        <v>210</v>
      </c>
      <c r="N59" s="18" t="s">
        <v>211</v>
      </c>
      <c r="O59" s="18" t="s">
        <v>97</v>
      </c>
      <c r="Q59" s="18">
        <v>46129</v>
      </c>
      <c r="R59" s="18" t="s">
        <v>230</v>
      </c>
      <c r="T59" s="18" t="s">
        <v>99</v>
      </c>
      <c r="U59" s="18" t="s">
        <v>15</v>
      </c>
      <c r="V59" s="18" t="s">
        <v>231</v>
      </c>
      <c r="W59" s="18" t="s">
        <v>54</v>
      </c>
    </row>
    <row r="60" spans="1:23" s="18" customFormat="1" ht="14.5" x14ac:dyDescent="0.4">
      <c r="A60" s="19">
        <v>46140</v>
      </c>
      <c r="B60" s="18" t="s">
        <v>232</v>
      </c>
      <c r="C60" s="18" t="s">
        <v>171</v>
      </c>
      <c r="D60" s="18" t="s">
        <v>172</v>
      </c>
      <c r="E60" s="18" t="s">
        <v>18</v>
      </c>
      <c r="F60" s="18" t="s">
        <v>79</v>
      </c>
      <c r="G60" s="20">
        <v>392000000</v>
      </c>
      <c r="H60" s="18">
        <v>0</v>
      </c>
      <c r="I60" s="18" t="s">
        <v>233</v>
      </c>
      <c r="J60" s="113">
        <v>46140</v>
      </c>
      <c r="M60" s="18" t="s">
        <v>179</v>
      </c>
      <c r="N60" s="18" t="s">
        <v>180</v>
      </c>
      <c r="O60" s="18" t="s">
        <v>97</v>
      </c>
      <c r="P60" s="18" t="s">
        <v>234</v>
      </c>
      <c r="Q60" s="18">
        <v>46140</v>
      </c>
      <c r="R60" s="18" t="s">
        <v>235</v>
      </c>
      <c r="S60" s="18" t="s">
        <v>11</v>
      </c>
      <c r="T60" s="18" t="s">
        <v>105</v>
      </c>
      <c r="U60" s="18" t="s">
        <v>15</v>
      </c>
      <c r="V60" s="18" t="s">
        <v>236</v>
      </c>
      <c r="W60" s="18" t="s">
        <v>54</v>
      </c>
    </row>
    <row r="61" spans="1:23" s="18" customFormat="1" ht="14.5" x14ac:dyDescent="0.4">
      <c r="A61" s="19">
        <v>46181</v>
      </c>
      <c r="B61" s="18" t="s">
        <v>218</v>
      </c>
      <c r="C61" s="18" t="s">
        <v>171</v>
      </c>
      <c r="D61" s="18" t="s">
        <v>172</v>
      </c>
      <c r="E61" s="18" t="s">
        <v>18</v>
      </c>
      <c r="F61" s="18" t="s">
        <v>79</v>
      </c>
      <c r="G61" s="20">
        <v>370000000</v>
      </c>
      <c r="H61" s="18">
        <v>0</v>
      </c>
      <c r="I61" s="18" t="s">
        <v>237</v>
      </c>
      <c r="J61" s="113">
        <v>46181</v>
      </c>
      <c r="M61" s="18" t="s">
        <v>179</v>
      </c>
      <c r="N61" s="18" t="s">
        <v>180</v>
      </c>
      <c r="O61" s="18" t="s">
        <v>97</v>
      </c>
      <c r="Q61" s="18">
        <v>46181</v>
      </c>
      <c r="R61" s="18" t="s">
        <v>238</v>
      </c>
      <c r="S61" s="18" t="s">
        <v>9</v>
      </c>
      <c r="T61" s="18" t="s">
        <v>105</v>
      </c>
      <c r="U61" s="18" t="s">
        <v>15</v>
      </c>
      <c r="V61" s="18" t="s">
        <v>219</v>
      </c>
      <c r="W61" s="18" t="s">
        <v>54</v>
      </c>
    </row>
    <row r="62" spans="1:23" s="18" customFormat="1" ht="14.5" x14ac:dyDescent="0.4">
      <c r="G62" s="20"/>
    </row>
    <row r="63" spans="1:23" s="18" customFormat="1" ht="15" thickBot="1" x14ac:dyDescent="0.45">
      <c r="G63" s="24">
        <v>4517326310</v>
      </c>
      <c r="H63" s="18" t="b">
        <v>1</v>
      </c>
    </row>
    <row r="64" spans="1:23" s="18" customFormat="1" ht="15" thickTop="1" x14ac:dyDescent="0.4"/>
    <row r="65" s="18" customFormat="1" ht="14.5" x14ac:dyDescent="0.4"/>
  </sheetData>
  <mergeCells count="5">
    <mergeCell ref="A2:F2"/>
    <mergeCell ref="A1:J1"/>
    <mergeCell ref="A3:J3"/>
    <mergeCell ref="A4:J4"/>
    <mergeCell ref="G2:J2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60"/>
  <sheetViews>
    <sheetView workbookViewId="0">
      <selection activeCell="E32" sqref="E32"/>
    </sheetView>
  </sheetViews>
  <sheetFormatPr defaultRowHeight="17" x14ac:dyDescent="0.45"/>
  <cols>
    <col min="1" max="1" width="17.83203125" bestFit="1" customWidth="1"/>
    <col min="4" max="4" width="16.1640625" bestFit="1" customWidth="1"/>
    <col min="5" max="5" width="12.4140625" bestFit="1" customWidth="1"/>
    <col min="6" max="6" width="11.6640625" bestFit="1" customWidth="1"/>
    <col min="7" max="7" width="8.83203125" bestFit="1" customWidth="1"/>
    <col min="8" max="8" width="14.4140625" bestFit="1" customWidth="1"/>
    <col min="9" max="9" width="30.25" customWidth="1"/>
    <col min="12" max="12" width="15.58203125" bestFit="1" customWidth="1"/>
    <col min="14" max="14" width="22.9140625" bestFit="1" customWidth="1"/>
    <col min="17" max="17" width="14.6640625" bestFit="1" customWidth="1"/>
  </cols>
  <sheetData>
    <row r="1" spans="1:23" x14ac:dyDescent="0.45">
      <c r="A1" s="137"/>
      <c r="B1" s="138"/>
      <c r="C1" s="138"/>
      <c r="D1" s="138"/>
      <c r="E1" s="138"/>
      <c r="F1" s="138"/>
      <c r="G1" s="138"/>
      <c r="H1" s="138"/>
      <c r="I1" s="138"/>
      <c r="J1" s="138"/>
    </row>
    <row r="2" spans="1:23" ht="17.5" customHeight="1" x14ac:dyDescent="0.45">
      <c r="A2" s="146" t="s">
        <v>1</v>
      </c>
      <c r="B2" s="138"/>
      <c r="C2" s="138"/>
      <c r="D2" s="138"/>
      <c r="E2" s="138"/>
      <c r="F2" s="138"/>
      <c r="G2" s="153" t="s">
        <v>337</v>
      </c>
      <c r="H2" s="138"/>
      <c r="I2" s="138"/>
      <c r="J2" s="138"/>
    </row>
    <row r="3" spans="1:23" ht="25.5" customHeight="1" x14ac:dyDescent="0.45">
      <c r="A3" s="154" t="s">
        <v>121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23" x14ac:dyDescent="0.45">
      <c r="A4" s="142" t="s">
        <v>199</v>
      </c>
      <c r="B4" s="138"/>
      <c r="C4" s="138"/>
      <c r="D4" s="138"/>
      <c r="E4" s="138"/>
      <c r="F4" s="138"/>
      <c r="G4" s="138"/>
      <c r="H4" s="138"/>
      <c r="I4" s="138"/>
      <c r="J4" s="138"/>
    </row>
    <row r="6" spans="1:23" s="53" customFormat="1" ht="14.5" x14ac:dyDescent="0.4"/>
    <row r="7" spans="1:23" s="26" customFormat="1" ht="14.5" x14ac:dyDescent="0.4">
      <c r="A7" s="25" t="s">
        <v>74</v>
      </c>
      <c r="B7" s="25" t="s">
        <v>75</v>
      </c>
      <c r="C7" s="25" t="s">
        <v>76</v>
      </c>
      <c r="D7" s="25" t="s">
        <v>77</v>
      </c>
      <c r="E7" s="25" t="s">
        <v>16</v>
      </c>
      <c r="F7" s="25" t="s">
        <v>78</v>
      </c>
      <c r="G7" s="27" t="s">
        <v>79</v>
      </c>
      <c r="H7" s="25" t="s">
        <v>80</v>
      </c>
      <c r="I7" s="25" t="s">
        <v>81</v>
      </c>
      <c r="J7" s="25" t="s">
        <v>82</v>
      </c>
      <c r="K7" s="25" t="s">
        <v>83</v>
      </c>
      <c r="L7" s="25" t="s">
        <v>84</v>
      </c>
      <c r="M7" s="25" t="s">
        <v>85</v>
      </c>
      <c r="N7" s="25" t="s">
        <v>86</v>
      </c>
      <c r="O7" s="25" t="s">
        <v>87</v>
      </c>
      <c r="P7" s="25" t="s">
        <v>88</v>
      </c>
      <c r="Q7" s="25" t="s">
        <v>89</v>
      </c>
      <c r="R7" s="25" t="s">
        <v>90</v>
      </c>
      <c r="S7" s="25" t="s">
        <v>91</v>
      </c>
      <c r="T7" s="25" t="s">
        <v>92</v>
      </c>
      <c r="U7" s="25" t="s">
        <v>14</v>
      </c>
      <c r="V7" s="25" t="s">
        <v>93</v>
      </c>
      <c r="W7" s="25"/>
    </row>
    <row r="8" spans="1:23" s="53" customFormat="1" ht="14.5" x14ac:dyDescent="0.4">
      <c r="A8" s="19">
        <v>46175</v>
      </c>
      <c r="B8" s="53" t="s">
        <v>94</v>
      </c>
      <c r="C8" s="53" t="s">
        <v>95</v>
      </c>
      <c r="D8" s="53" t="s">
        <v>8</v>
      </c>
      <c r="E8" s="53" t="s">
        <v>31</v>
      </c>
      <c r="F8" s="53" t="s">
        <v>80</v>
      </c>
      <c r="G8" s="53">
        <v>0</v>
      </c>
      <c r="H8" s="20">
        <v>2140392339</v>
      </c>
      <c r="I8" s="53" t="s">
        <v>96</v>
      </c>
      <c r="O8" s="53" t="s">
        <v>97</v>
      </c>
      <c r="Q8" s="19">
        <v>46175</v>
      </c>
      <c r="R8" s="53" t="s">
        <v>98</v>
      </c>
      <c r="T8" s="53" t="s">
        <v>99</v>
      </c>
      <c r="U8" s="53" t="s">
        <v>15</v>
      </c>
      <c r="V8" s="53" t="s">
        <v>100</v>
      </c>
      <c r="W8" s="53" t="s">
        <v>55</v>
      </c>
    </row>
    <row r="9" spans="1:23" s="53" customFormat="1" ht="14.5" x14ac:dyDescent="0.4">
      <c r="A9" s="19">
        <v>46175</v>
      </c>
      <c r="B9" s="53" t="s">
        <v>101</v>
      </c>
      <c r="C9" s="53" t="s">
        <v>95</v>
      </c>
      <c r="D9" s="53" t="s">
        <v>8</v>
      </c>
      <c r="E9" s="53" t="s">
        <v>31</v>
      </c>
      <c r="F9" s="53" t="s">
        <v>80</v>
      </c>
      <c r="G9" s="53">
        <v>0</v>
      </c>
      <c r="H9" s="20">
        <v>2140392339</v>
      </c>
      <c r="I9" s="53" t="s">
        <v>102</v>
      </c>
      <c r="O9" s="53" t="s">
        <v>97</v>
      </c>
      <c r="Q9" s="19">
        <v>46175</v>
      </c>
      <c r="R9" s="53" t="s">
        <v>103</v>
      </c>
      <c r="T9" s="53" t="s">
        <v>99</v>
      </c>
      <c r="U9" s="53" t="s">
        <v>15</v>
      </c>
      <c r="V9" s="53" t="s">
        <v>104</v>
      </c>
      <c r="W9" s="53" t="s">
        <v>55</v>
      </c>
    </row>
    <row r="10" spans="1:23" s="53" customFormat="1" ht="14.5" x14ac:dyDescent="0.4">
      <c r="H10" s="20"/>
    </row>
    <row r="11" spans="1:23" s="53" customFormat="1" ht="14.5" x14ac:dyDescent="0.4">
      <c r="H11" s="20"/>
    </row>
    <row r="12" spans="1:23" s="53" customFormat="1" ht="15" thickBot="1" x14ac:dyDescent="0.45">
      <c r="H12" s="56">
        <v>4280784678</v>
      </c>
    </row>
    <row r="13" spans="1:23" s="53" customFormat="1" ht="14.5" x14ac:dyDescent="0.4">
      <c r="H13" s="20"/>
    </row>
    <row r="14" spans="1:23" s="53" customFormat="1" ht="14.5" x14ac:dyDescent="0.4">
      <c r="H14" s="20"/>
    </row>
    <row r="15" spans="1:23" s="53" customFormat="1" ht="14.5" x14ac:dyDescent="0.4">
      <c r="H15" s="20"/>
    </row>
    <row r="16" spans="1:23" s="53" customFormat="1" ht="14.5" x14ac:dyDescent="0.4">
      <c r="H16" s="20"/>
    </row>
    <row r="17" spans="1:23" s="53" customFormat="1" ht="14.5" x14ac:dyDescent="0.4">
      <c r="H17" s="20"/>
    </row>
    <row r="18" spans="1:23" s="53" customFormat="1" ht="14.5" x14ac:dyDescent="0.4">
      <c r="H18" s="20"/>
    </row>
    <row r="19" spans="1:23" s="53" customFormat="1" ht="14.5" x14ac:dyDescent="0.4">
      <c r="H19" s="20"/>
    </row>
    <row r="20" spans="1:23" s="26" customFormat="1" ht="14.5" x14ac:dyDescent="0.4">
      <c r="A20" s="25" t="s">
        <v>74</v>
      </c>
      <c r="B20" s="25" t="s">
        <v>75</v>
      </c>
      <c r="C20" s="25" t="s">
        <v>76</v>
      </c>
      <c r="D20" s="25" t="s">
        <v>77</v>
      </c>
      <c r="E20" s="25" t="s">
        <v>16</v>
      </c>
      <c r="F20" s="25" t="s">
        <v>78</v>
      </c>
      <c r="G20" s="27" t="s">
        <v>79</v>
      </c>
      <c r="H20" s="25" t="s">
        <v>80</v>
      </c>
      <c r="I20" s="25" t="s">
        <v>81</v>
      </c>
      <c r="J20" s="25" t="s">
        <v>82</v>
      </c>
      <c r="K20" s="25" t="s">
        <v>83</v>
      </c>
      <c r="L20" s="25" t="s">
        <v>84</v>
      </c>
      <c r="M20" s="25" t="s">
        <v>85</v>
      </c>
      <c r="N20" s="25" t="s">
        <v>86</v>
      </c>
      <c r="O20" s="25" t="s">
        <v>87</v>
      </c>
      <c r="P20" s="25" t="s">
        <v>88</v>
      </c>
      <c r="Q20" s="25" t="s">
        <v>89</v>
      </c>
      <c r="R20" s="25" t="s">
        <v>90</v>
      </c>
      <c r="S20" s="25" t="s">
        <v>91</v>
      </c>
      <c r="T20" s="25" t="s">
        <v>92</v>
      </c>
      <c r="U20" s="25" t="s">
        <v>14</v>
      </c>
      <c r="V20" s="25" t="s">
        <v>93</v>
      </c>
      <c r="W20" s="25"/>
    </row>
    <row r="21" spans="1:23" s="53" customFormat="1" ht="14.5" x14ac:dyDescent="0.4">
      <c r="A21" s="19">
        <v>46175</v>
      </c>
      <c r="B21" s="53" t="s">
        <v>94</v>
      </c>
      <c r="C21" s="53" t="s">
        <v>95</v>
      </c>
      <c r="D21" s="53" t="s">
        <v>8</v>
      </c>
      <c r="E21" s="53" t="s">
        <v>28</v>
      </c>
      <c r="F21" s="53" t="s">
        <v>80</v>
      </c>
      <c r="G21" s="53">
        <v>0</v>
      </c>
      <c r="H21" s="20">
        <v>572270991</v>
      </c>
      <c r="I21" s="53" t="s">
        <v>96</v>
      </c>
      <c r="O21" s="53" t="s">
        <v>97</v>
      </c>
      <c r="Q21" s="19">
        <v>46175</v>
      </c>
      <c r="R21" s="53" t="s">
        <v>98</v>
      </c>
      <c r="T21" s="53" t="s">
        <v>99</v>
      </c>
      <c r="U21" s="53" t="s">
        <v>15</v>
      </c>
      <c r="V21" s="53" t="s">
        <v>100</v>
      </c>
      <c r="W21" s="53" t="s">
        <v>55</v>
      </c>
    </row>
    <row r="22" spans="1:23" s="53" customFormat="1" ht="14.5" x14ac:dyDescent="0.4">
      <c r="A22" s="19">
        <v>46175</v>
      </c>
      <c r="B22" s="53" t="s">
        <v>101</v>
      </c>
      <c r="C22" s="53" t="s">
        <v>95</v>
      </c>
      <c r="D22" s="53" t="s">
        <v>8</v>
      </c>
      <c r="E22" s="53" t="s">
        <v>28</v>
      </c>
      <c r="F22" s="53" t="s">
        <v>80</v>
      </c>
      <c r="G22" s="53">
        <v>0</v>
      </c>
      <c r="H22" s="20">
        <v>572270991</v>
      </c>
      <c r="I22" s="53" t="s">
        <v>102</v>
      </c>
      <c r="O22" s="53" t="s">
        <v>97</v>
      </c>
      <c r="Q22" s="19">
        <v>46175</v>
      </c>
      <c r="R22" s="53" t="s">
        <v>103</v>
      </c>
      <c r="T22" s="53" t="s">
        <v>99</v>
      </c>
      <c r="U22" s="53" t="s">
        <v>15</v>
      </c>
      <c r="V22" s="53" t="s">
        <v>104</v>
      </c>
      <c r="W22" s="53" t="s">
        <v>55</v>
      </c>
    </row>
    <row r="23" spans="1:23" s="53" customFormat="1" ht="14.5" x14ac:dyDescent="0.4">
      <c r="H23" s="20"/>
    </row>
    <row r="24" spans="1:23" s="53" customFormat="1" ht="14.5" x14ac:dyDescent="0.4">
      <c r="H24" s="20"/>
    </row>
    <row r="25" spans="1:23" s="53" customFormat="1" ht="15" thickBot="1" x14ac:dyDescent="0.45">
      <c r="H25" s="56">
        <v>1144541982</v>
      </c>
    </row>
    <row r="26" spans="1:23" s="53" customFormat="1" ht="14.5" x14ac:dyDescent="0.4">
      <c r="H26" s="20"/>
    </row>
    <row r="27" spans="1:23" s="53" customFormat="1" ht="14.5" x14ac:dyDescent="0.4">
      <c r="H27" s="20"/>
    </row>
    <row r="28" spans="1:23" s="53" customFormat="1" ht="14.5" x14ac:dyDescent="0.4">
      <c r="H28" s="20"/>
    </row>
    <row r="29" spans="1:23" s="26" customFormat="1" ht="14.5" x14ac:dyDescent="0.4">
      <c r="A29" s="25" t="s">
        <v>74</v>
      </c>
      <c r="B29" s="25" t="s">
        <v>75</v>
      </c>
      <c r="C29" s="25" t="s">
        <v>76</v>
      </c>
      <c r="D29" s="25" t="s">
        <v>77</v>
      </c>
      <c r="E29" s="25" t="s">
        <v>16</v>
      </c>
      <c r="F29" s="25" t="s">
        <v>78</v>
      </c>
      <c r="G29" s="27" t="s">
        <v>79</v>
      </c>
      <c r="H29" s="25" t="s">
        <v>80</v>
      </c>
      <c r="I29" s="25" t="s">
        <v>81</v>
      </c>
      <c r="J29" s="25" t="s">
        <v>82</v>
      </c>
      <c r="K29" s="25" t="s">
        <v>83</v>
      </c>
      <c r="L29" s="25" t="s">
        <v>84</v>
      </c>
      <c r="M29" s="25" t="s">
        <v>85</v>
      </c>
      <c r="N29" s="25" t="s">
        <v>86</v>
      </c>
      <c r="O29" s="25" t="s">
        <v>87</v>
      </c>
      <c r="P29" s="25" t="s">
        <v>88</v>
      </c>
      <c r="Q29" s="25" t="s">
        <v>89</v>
      </c>
      <c r="R29" s="25" t="s">
        <v>90</v>
      </c>
      <c r="S29" s="25" t="s">
        <v>91</v>
      </c>
      <c r="T29" s="25" t="s">
        <v>92</v>
      </c>
      <c r="U29" s="25" t="s">
        <v>14</v>
      </c>
      <c r="V29" s="25" t="s">
        <v>93</v>
      </c>
      <c r="W29" s="25"/>
    </row>
    <row r="30" spans="1:23" s="53" customFormat="1" ht="14.5" x14ac:dyDescent="0.4">
      <c r="A30" s="19">
        <v>46139</v>
      </c>
      <c r="B30" s="53" t="s">
        <v>108</v>
      </c>
      <c r="C30" s="53" t="s">
        <v>95</v>
      </c>
      <c r="D30" s="53" t="s">
        <v>8</v>
      </c>
      <c r="E30" s="53" t="s">
        <v>21</v>
      </c>
      <c r="F30" s="53" t="s">
        <v>80</v>
      </c>
      <c r="G30" s="53">
        <v>0</v>
      </c>
      <c r="H30" s="20">
        <v>39674148</v>
      </c>
      <c r="I30" s="53" t="s">
        <v>200</v>
      </c>
      <c r="J30" s="114">
        <v>46139</v>
      </c>
      <c r="M30" s="53" t="s">
        <v>201</v>
      </c>
      <c r="N30" s="53" t="s">
        <v>202</v>
      </c>
      <c r="O30" s="53" t="s">
        <v>97</v>
      </c>
      <c r="Q30" s="19">
        <v>46139</v>
      </c>
      <c r="R30" s="53" t="s">
        <v>203</v>
      </c>
      <c r="S30" s="53" t="s">
        <v>9</v>
      </c>
      <c r="T30" s="53" t="s">
        <v>105</v>
      </c>
      <c r="U30" s="53" t="s">
        <v>15</v>
      </c>
      <c r="V30" s="53" t="s">
        <v>109</v>
      </c>
    </row>
    <row r="31" spans="1:23" s="53" customFormat="1" ht="14.5" x14ac:dyDescent="0.4">
      <c r="H31" s="20"/>
    </row>
    <row r="32" spans="1:23" s="53" customFormat="1" ht="14.5" x14ac:dyDescent="0.4">
      <c r="H32" s="20"/>
    </row>
    <row r="33" spans="1:23" s="53" customFormat="1" ht="15" thickBot="1" x14ac:dyDescent="0.45">
      <c r="H33" s="21">
        <v>39674148</v>
      </c>
      <c r="I33" s="53" t="b">
        <v>1</v>
      </c>
    </row>
    <row r="34" spans="1:23" s="53" customFormat="1" ht="15" thickTop="1" x14ac:dyDescent="0.4">
      <c r="H34" s="20"/>
    </row>
    <row r="35" spans="1:23" s="53" customFormat="1" ht="14.5" x14ac:dyDescent="0.4">
      <c r="H35" s="20"/>
    </row>
    <row r="36" spans="1:23" s="53" customFormat="1" ht="14.5" x14ac:dyDescent="0.4"/>
    <row r="37" spans="1:23" s="53" customFormat="1" ht="14.5" x14ac:dyDescent="0.4"/>
    <row r="38" spans="1:23" s="53" customFormat="1" ht="14.5" x14ac:dyDescent="0.4"/>
    <row r="39" spans="1:23" s="53" customFormat="1" ht="14.5" x14ac:dyDescent="0.4"/>
    <row r="40" spans="1:23" s="53" customFormat="1" ht="14.5" x14ac:dyDescent="0.4"/>
    <row r="41" spans="1:23" s="26" customFormat="1" ht="14.5" x14ac:dyDescent="0.4">
      <c r="A41" s="25" t="s">
        <v>74</v>
      </c>
      <c r="B41" s="25" t="s">
        <v>75</v>
      </c>
      <c r="C41" s="25" t="s">
        <v>76</v>
      </c>
      <c r="D41" s="25" t="s">
        <v>77</v>
      </c>
      <c r="E41" s="25" t="s">
        <v>16</v>
      </c>
      <c r="F41" s="25" t="s">
        <v>78</v>
      </c>
      <c r="G41" s="27" t="s">
        <v>79</v>
      </c>
      <c r="H41" s="25" t="s">
        <v>80</v>
      </c>
      <c r="I41" s="25" t="s">
        <v>81</v>
      </c>
      <c r="J41" s="25" t="s">
        <v>82</v>
      </c>
      <c r="K41" s="25" t="s">
        <v>83</v>
      </c>
      <c r="L41" s="25" t="s">
        <v>84</v>
      </c>
      <c r="M41" s="25" t="s">
        <v>85</v>
      </c>
      <c r="N41" s="25" t="s">
        <v>86</v>
      </c>
      <c r="O41" s="25" t="s">
        <v>87</v>
      </c>
      <c r="P41" s="25" t="s">
        <v>88</v>
      </c>
      <c r="Q41" s="25" t="s">
        <v>89</v>
      </c>
      <c r="R41" s="25" t="s">
        <v>90</v>
      </c>
      <c r="S41" s="25" t="s">
        <v>91</v>
      </c>
      <c r="T41" s="25" t="s">
        <v>92</v>
      </c>
      <c r="U41" s="25" t="s">
        <v>14</v>
      </c>
      <c r="V41" s="25" t="s">
        <v>93</v>
      </c>
      <c r="W41" s="25"/>
    </row>
    <row r="42" spans="1:23" s="53" customFormat="1" ht="14.5" x14ac:dyDescent="0.4">
      <c r="A42" s="19">
        <v>46092</v>
      </c>
      <c r="B42" s="53" t="s">
        <v>94</v>
      </c>
      <c r="C42" s="53" t="s">
        <v>95</v>
      </c>
      <c r="D42" s="53" t="s">
        <v>8</v>
      </c>
      <c r="E42" s="53" t="s">
        <v>18</v>
      </c>
      <c r="F42" s="53" t="s">
        <v>80</v>
      </c>
      <c r="G42" s="53">
        <v>0</v>
      </c>
      <c r="H42" s="20">
        <v>217000000</v>
      </c>
      <c r="I42" s="53" t="s">
        <v>204</v>
      </c>
      <c r="M42" s="53" t="s">
        <v>187</v>
      </c>
      <c r="N42" s="53" t="s">
        <v>188</v>
      </c>
      <c r="O42" s="53" t="s">
        <v>97</v>
      </c>
      <c r="Q42" s="19">
        <v>46092</v>
      </c>
      <c r="R42" s="53" t="s">
        <v>205</v>
      </c>
      <c r="T42" s="53" t="s">
        <v>99</v>
      </c>
      <c r="U42" s="53" t="s">
        <v>15</v>
      </c>
      <c r="V42" s="53" t="s">
        <v>100</v>
      </c>
      <c r="W42" s="53" t="s">
        <v>55</v>
      </c>
    </row>
    <row r="43" spans="1:23" s="53" customFormat="1" ht="14.5" x14ac:dyDescent="0.4">
      <c r="A43" s="19">
        <v>46112</v>
      </c>
      <c r="B43" s="53" t="s">
        <v>117</v>
      </c>
      <c r="C43" s="53" t="s">
        <v>95</v>
      </c>
      <c r="D43" s="53" t="s">
        <v>8</v>
      </c>
      <c r="E43" s="53" t="s">
        <v>18</v>
      </c>
      <c r="F43" s="53" t="s">
        <v>80</v>
      </c>
      <c r="G43" s="53">
        <v>0</v>
      </c>
      <c r="H43" s="20">
        <v>72446310</v>
      </c>
      <c r="I43" s="53" t="s">
        <v>161</v>
      </c>
      <c r="M43" s="53" t="s">
        <v>162</v>
      </c>
      <c r="N43" s="53" t="s">
        <v>163</v>
      </c>
      <c r="O43" s="53" t="s">
        <v>97</v>
      </c>
      <c r="Q43" s="19">
        <v>46112</v>
      </c>
      <c r="R43" s="53" t="s">
        <v>164</v>
      </c>
      <c r="T43" s="53" t="s">
        <v>99</v>
      </c>
      <c r="U43" s="53" t="s">
        <v>15</v>
      </c>
      <c r="V43" s="53" t="s">
        <v>119</v>
      </c>
      <c r="W43" s="53" t="s">
        <v>55</v>
      </c>
    </row>
    <row r="44" spans="1:23" s="53" customFormat="1" ht="14.5" x14ac:dyDescent="0.4">
      <c r="A44" s="19">
        <v>46112</v>
      </c>
      <c r="B44" s="53" t="s">
        <v>117</v>
      </c>
      <c r="C44" s="53" t="s">
        <v>95</v>
      </c>
      <c r="D44" s="53" t="s">
        <v>8</v>
      </c>
      <c r="E44" s="53" t="s">
        <v>18</v>
      </c>
      <c r="F44" s="53" t="s">
        <v>80</v>
      </c>
      <c r="G44" s="53">
        <v>0</v>
      </c>
      <c r="H44" s="20">
        <v>230000</v>
      </c>
      <c r="I44" s="53" t="s">
        <v>161</v>
      </c>
      <c r="M44" s="53" t="s">
        <v>206</v>
      </c>
      <c r="N44" s="53" t="s">
        <v>207</v>
      </c>
      <c r="O44" s="53" t="s">
        <v>97</v>
      </c>
      <c r="Q44" s="19">
        <v>46112</v>
      </c>
      <c r="R44" s="53" t="s">
        <v>164</v>
      </c>
      <c r="T44" s="53" t="s">
        <v>99</v>
      </c>
      <c r="U44" s="53" t="s">
        <v>15</v>
      </c>
      <c r="V44" s="53" t="s">
        <v>119</v>
      </c>
      <c r="W44" s="53" t="s">
        <v>55</v>
      </c>
    </row>
    <row r="45" spans="1:23" s="53" customFormat="1" ht="14.5" x14ac:dyDescent="0.4">
      <c r="A45" s="19">
        <v>46129</v>
      </c>
      <c r="B45" s="53" t="s">
        <v>208</v>
      </c>
      <c r="C45" s="53" t="s">
        <v>95</v>
      </c>
      <c r="D45" s="53" t="s">
        <v>8</v>
      </c>
      <c r="E45" s="53" t="s">
        <v>18</v>
      </c>
      <c r="F45" s="53" t="s">
        <v>80</v>
      </c>
      <c r="G45" s="53">
        <v>0</v>
      </c>
      <c r="H45" s="20">
        <v>3000000</v>
      </c>
      <c r="I45" s="53" t="s">
        <v>209</v>
      </c>
      <c r="M45" s="53" t="s">
        <v>210</v>
      </c>
      <c r="N45" s="53" t="s">
        <v>211</v>
      </c>
      <c r="O45" s="53" t="s">
        <v>97</v>
      </c>
      <c r="Q45" s="19">
        <v>46129</v>
      </c>
      <c r="R45" s="53" t="s">
        <v>212</v>
      </c>
      <c r="T45" s="53" t="s">
        <v>99</v>
      </c>
      <c r="U45" s="53" t="s">
        <v>15</v>
      </c>
      <c r="V45" s="53" t="s">
        <v>213</v>
      </c>
      <c r="W45" s="53" t="s">
        <v>55</v>
      </c>
    </row>
    <row r="46" spans="1:23" s="53" customFormat="1" ht="14.5" x14ac:dyDescent="0.4">
      <c r="A46" s="19">
        <v>46129</v>
      </c>
      <c r="B46" s="53" t="s">
        <v>208</v>
      </c>
      <c r="C46" s="53" t="s">
        <v>95</v>
      </c>
      <c r="D46" s="53" t="s">
        <v>8</v>
      </c>
      <c r="E46" s="53" t="s">
        <v>18</v>
      </c>
      <c r="F46" s="53" t="s">
        <v>80</v>
      </c>
      <c r="G46" s="53">
        <v>0</v>
      </c>
      <c r="H46" s="20">
        <v>2981000000</v>
      </c>
      <c r="I46" s="53" t="s">
        <v>209</v>
      </c>
      <c r="M46" s="53" t="s">
        <v>214</v>
      </c>
      <c r="N46" s="53" t="s">
        <v>215</v>
      </c>
      <c r="O46" s="53" t="s">
        <v>97</v>
      </c>
      <c r="Q46" s="19">
        <v>46129</v>
      </c>
      <c r="R46" s="53" t="s">
        <v>212</v>
      </c>
      <c r="T46" s="53" t="s">
        <v>99</v>
      </c>
      <c r="U46" s="53" t="s">
        <v>15</v>
      </c>
      <c r="V46" s="53" t="s">
        <v>213</v>
      </c>
      <c r="W46" s="53" t="s">
        <v>55</v>
      </c>
    </row>
    <row r="47" spans="1:23" s="53" customFormat="1" ht="14.5" x14ac:dyDescent="0.4">
      <c r="H47" s="20"/>
    </row>
    <row r="48" spans="1:23" s="53" customFormat="1" ht="15" thickBot="1" x14ac:dyDescent="0.45">
      <c r="H48" s="21">
        <v>3273676310</v>
      </c>
      <c r="I48" s="53" t="b">
        <v>1</v>
      </c>
    </row>
    <row r="49" spans="1:14" s="53" customFormat="1" ht="15" thickTop="1" x14ac:dyDescent="0.4">
      <c r="H49" s="20"/>
    </row>
    <row r="50" spans="1:14" s="53" customFormat="1" ht="14.5" x14ac:dyDescent="0.4">
      <c r="H50" s="20"/>
    </row>
    <row r="51" spans="1:14" s="53" customFormat="1" ht="14.5" x14ac:dyDescent="0.4">
      <c r="H51" s="20"/>
    </row>
    <row r="52" spans="1:14" s="53" customFormat="1" ht="14.5" x14ac:dyDescent="0.4">
      <c r="A52" s="53" t="s">
        <v>314</v>
      </c>
      <c r="H52" s="20"/>
    </row>
    <row r="53" spans="1:14" s="53" customFormat="1" ht="14.5" x14ac:dyDescent="0.4"/>
    <row r="54" spans="1:14" s="53" customFormat="1" ht="14.5" x14ac:dyDescent="0.4">
      <c r="B54" s="62" t="s">
        <v>16</v>
      </c>
      <c r="C54" s="62" t="s">
        <v>74</v>
      </c>
      <c r="D54" s="62" t="s">
        <v>262</v>
      </c>
      <c r="E54" s="62" t="s">
        <v>37</v>
      </c>
      <c r="F54" s="62" t="s">
        <v>280</v>
      </c>
      <c r="G54" s="62" t="s">
        <v>269</v>
      </c>
      <c r="H54" s="62" t="s">
        <v>315</v>
      </c>
      <c r="I54" s="62" t="s">
        <v>316</v>
      </c>
      <c r="J54" s="71" t="s">
        <v>317</v>
      </c>
      <c r="K54" s="71" t="s">
        <v>318</v>
      </c>
      <c r="L54" s="71" t="s">
        <v>7</v>
      </c>
      <c r="N54" s="69" t="s">
        <v>12</v>
      </c>
    </row>
    <row r="55" spans="1:14" s="53" customFormat="1" ht="14.5" x14ac:dyDescent="0.4">
      <c r="B55" s="53" t="s">
        <v>21</v>
      </c>
      <c r="C55" s="114">
        <v>46139</v>
      </c>
      <c r="D55" s="53" t="s">
        <v>319</v>
      </c>
      <c r="E55" s="59">
        <v>39674148</v>
      </c>
      <c r="F55" s="59">
        <v>39673148</v>
      </c>
      <c r="G55" s="59">
        <v>1000</v>
      </c>
      <c r="H55" s="59">
        <v>4200000</v>
      </c>
      <c r="I55" s="59">
        <v>4199000</v>
      </c>
      <c r="J55" s="59">
        <v>4397582</v>
      </c>
      <c r="K55" s="63">
        <v>198582</v>
      </c>
      <c r="L55" s="53" t="s">
        <v>320</v>
      </c>
      <c r="N55" s="68" t="s">
        <v>26</v>
      </c>
    </row>
    <row r="56" spans="1:14" s="53" customFormat="1" ht="14.5" x14ac:dyDescent="0.4">
      <c r="I56" s="53">
        <v>0</v>
      </c>
      <c r="J56" s="59">
        <v>63590</v>
      </c>
      <c r="K56" s="63">
        <v>63590</v>
      </c>
      <c r="L56" s="53" t="s">
        <v>321</v>
      </c>
      <c r="N56" s="70" t="s">
        <v>12</v>
      </c>
    </row>
    <row r="57" spans="1:14" s="53" customFormat="1" ht="14.5" x14ac:dyDescent="0.4">
      <c r="I57" s="59"/>
    </row>
    <row r="58" spans="1:14" s="53" customFormat="1" ht="14.5" x14ac:dyDescent="0.4"/>
    <row r="59" spans="1:14" s="53" customFormat="1" ht="14.5" x14ac:dyDescent="0.4">
      <c r="J59" s="63"/>
    </row>
    <row r="60" spans="1:14" s="53" customFormat="1" ht="14.5" x14ac:dyDescent="0.4"/>
  </sheetData>
  <mergeCells count="5">
    <mergeCell ref="A2:F2"/>
    <mergeCell ref="A1:J1"/>
    <mergeCell ref="A3:J3"/>
    <mergeCell ref="A4:J4"/>
    <mergeCell ref="G2:J2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4"/>
  <sheetViews>
    <sheetView topLeftCell="A20" workbookViewId="0">
      <selection activeCell="A51" sqref="A51"/>
    </sheetView>
  </sheetViews>
  <sheetFormatPr defaultRowHeight="14.5" x14ac:dyDescent="0.4"/>
  <cols>
    <col min="1" max="1" width="17.1640625" style="18" customWidth="1"/>
    <col min="2" max="3" width="14.33203125" style="18" bestFit="1" customWidth="1"/>
    <col min="4" max="4" width="13.83203125" style="18" bestFit="1" customWidth="1"/>
    <col min="5" max="5" width="8.6640625" style="18"/>
    <col min="6" max="6" width="15.25" style="18" customWidth="1"/>
    <col min="7" max="7" width="8.9140625" style="18" bestFit="1" customWidth="1"/>
    <col min="8" max="8" width="8.6640625" style="18"/>
    <col min="9" max="9" width="16.83203125" style="18" customWidth="1"/>
    <col min="10" max="10" width="12.08203125" style="18" customWidth="1"/>
    <col min="11" max="11" width="12.5" style="18" customWidth="1"/>
    <col min="12" max="12" width="15.33203125" style="18" bestFit="1" customWidth="1"/>
    <col min="13" max="16384" width="8.6640625" style="18"/>
  </cols>
  <sheetData>
    <row r="1" spans="1:11" customFormat="1" ht="17" x14ac:dyDescent="0.45">
      <c r="A1" s="137"/>
      <c r="B1" s="138"/>
      <c r="C1" s="138"/>
      <c r="D1" s="138"/>
      <c r="E1" s="138"/>
      <c r="F1" s="138"/>
      <c r="G1" s="138"/>
      <c r="H1" s="138"/>
      <c r="I1" s="138"/>
      <c r="J1" s="138"/>
    </row>
    <row r="2" spans="1:11" customFormat="1" ht="17.5" customHeight="1" x14ac:dyDescent="0.45">
      <c r="A2" s="146" t="s">
        <v>1</v>
      </c>
      <c r="B2" s="138"/>
      <c r="C2" s="138"/>
      <c r="D2" s="138"/>
      <c r="E2" s="138"/>
      <c r="F2" s="138"/>
      <c r="G2" s="153" t="s">
        <v>339</v>
      </c>
      <c r="H2" s="138"/>
      <c r="I2" s="138"/>
      <c r="J2" s="138"/>
    </row>
    <row r="3" spans="1:11" customFormat="1" ht="25.5" customHeight="1" x14ac:dyDescent="0.45">
      <c r="A3" s="154" t="s">
        <v>121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1" customFormat="1" ht="17" x14ac:dyDescent="0.45">
      <c r="A4" s="142" t="s">
        <v>338</v>
      </c>
      <c r="B4" s="138"/>
      <c r="C4" s="138"/>
      <c r="D4" s="138"/>
      <c r="E4" s="138"/>
      <c r="F4" s="138"/>
      <c r="G4" s="138"/>
      <c r="H4" s="138"/>
      <c r="I4" s="138"/>
      <c r="J4" s="138"/>
    </row>
    <row r="7" spans="1:11" x14ac:dyDescent="0.4">
      <c r="A7" s="73" t="s">
        <v>322</v>
      </c>
      <c r="B7" s="73"/>
      <c r="C7" s="73"/>
      <c r="D7" s="73"/>
      <c r="E7" s="73"/>
      <c r="F7" s="73"/>
      <c r="G7" s="73"/>
      <c r="H7" s="73"/>
      <c r="I7" s="73"/>
      <c r="J7" s="73"/>
      <c r="K7" s="73"/>
    </row>
    <row r="8" spans="1:11" x14ac:dyDescent="0.4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</row>
    <row r="9" spans="1:11" x14ac:dyDescent="0.4">
      <c r="A9" s="115" t="s">
        <v>275</v>
      </c>
      <c r="B9" s="116"/>
      <c r="C9" s="117"/>
      <c r="D9" s="73"/>
      <c r="E9" s="73"/>
      <c r="F9" s="73"/>
      <c r="G9" s="73"/>
      <c r="H9" s="73"/>
      <c r="I9" s="73"/>
      <c r="J9" s="73"/>
      <c r="K9" s="73"/>
    </row>
    <row r="10" spans="1:11" x14ac:dyDescent="0.4">
      <c r="A10" s="97" t="s">
        <v>253</v>
      </c>
      <c r="B10" s="72" t="s">
        <v>264</v>
      </c>
      <c r="C10" s="98" t="s">
        <v>263</v>
      </c>
      <c r="D10" s="73"/>
      <c r="E10" s="73"/>
      <c r="F10" s="73"/>
      <c r="G10" s="73"/>
      <c r="H10" s="73"/>
      <c r="I10" s="73"/>
      <c r="J10" s="73"/>
      <c r="K10" s="73"/>
    </row>
    <row r="11" spans="1:11" x14ac:dyDescent="0.4">
      <c r="A11" s="99" t="s">
        <v>276</v>
      </c>
      <c r="B11" s="100">
        <v>35081353816</v>
      </c>
      <c r="C11" s="100">
        <v>32327298843</v>
      </c>
      <c r="D11" s="101">
        <v>12880849</v>
      </c>
      <c r="E11" s="73"/>
      <c r="F11" s="73"/>
      <c r="G11" s="73"/>
      <c r="H11" s="73"/>
      <c r="I11" s="73"/>
      <c r="J11" s="73"/>
      <c r="K11" s="73"/>
    </row>
    <row r="12" spans="1:11" x14ac:dyDescent="0.4">
      <c r="A12" s="99" t="s">
        <v>252</v>
      </c>
      <c r="B12" s="100">
        <v>4917089305</v>
      </c>
      <c r="C12" s="100">
        <v>1258200336</v>
      </c>
      <c r="D12" s="101" t="b">
        <v>1</v>
      </c>
      <c r="E12" s="73"/>
      <c r="F12" s="102"/>
      <c r="G12" s="73"/>
      <c r="H12" s="73"/>
      <c r="I12" s="73"/>
      <c r="J12" s="73"/>
      <c r="K12" s="73"/>
    </row>
    <row r="13" spans="1:11" x14ac:dyDescent="0.4">
      <c r="A13" s="99" t="s">
        <v>254</v>
      </c>
      <c r="B13" s="100">
        <v>-2159014</v>
      </c>
      <c r="C13" s="100">
        <v>-8991622</v>
      </c>
      <c r="D13" s="96" t="b">
        <v>1</v>
      </c>
      <c r="E13" s="73"/>
      <c r="F13" s="73"/>
      <c r="G13" s="73"/>
      <c r="H13" s="73"/>
      <c r="I13" s="73"/>
      <c r="J13" s="73"/>
      <c r="K13" s="73"/>
    </row>
    <row r="14" spans="1:11" x14ac:dyDescent="0.4">
      <c r="A14" s="99" t="s">
        <v>270</v>
      </c>
      <c r="B14" s="100">
        <v>-658691848</v>
      </c>
      <c r="C14" s="100">
        <v>-696386961</v>
      </c>
      <c r="D14" s="73"/>
      <c r="E14" s="73"/>
      <c r="F14" s="73"/>
      <c r="G14" s="73"/>
      <c r="H14" s="73"/>
      <c r="I14" s="73"/>
      <c r="J14" s="73"/>
      <c r="K14" s="73"/>
    </row>
    <row r="15" spans="1:11" x14ac:dyDescent="0.4">
      <c r="A15" s="99" t="s">
        <v>277</v>
      </c>
      <c r="B15" s="100">
        <v>0</v>
      </c>
      <c r="C15" s="100">
        <v>0</v>
      </c>
      <c r="D15" s="73"/>
      <c r="E15" s="73"/>
      <c r="F15" s="73"/>
      <c r="G15" s="73"/>
      <c r="H15" s="73"/>
      <c r="I15" s="73"/>
      <c r="J15" s="73"/>
      <c r="K15" s="73"/>
    </row>
    <row r="16" spans="1:11" x14ac:dyDescent="0.4">
      <c r="A16" s="99" t="s">
        <v>278</v>
      </c>
      <c r="B16" s="100">
        <v>-8473273872</v>
      </c>
      <c r="C16" s="100">
        <v>-7250000</v>
      </c>
      <c r="D16" s="96" t="b">
        <v>1</v>
      </c>
      <c r="E16" s="73"/>
      <c r="F16" s="73"/>
      <c r="G16" s="73"/>
      <c r="H16" s="73"/>
      <c r="I16" s="73"/>
      <c r="J16" s="73"/>
      <c r="K16" s="73"/>
    </row>
    <row r="17" spans="1:12" x14ac:dyDescent="0.4">
      <c r="A17" s="103" t="s">
        <v>279</v>
      </c>
      <c r="B17" s="104">
        <v>30864318387</v>
      </c>
      <c r="C17" s="105">
        <v>32872870596</v>
      </c>
      <c r="D17" s="73"/>
      <c r="E17" s="73"/>
      <c r="F17" s="73"/>
      <c r="G17" s="73"/>
      <c r="H17" s="73"/>
      <c r="I17" s="73"/>
      <c r="J17" s="73"/>
      <c r="K17" s="73"/>
    </row>
    <row r="18" spans="1:12" x14ac:dyDescent="0.4">
      <c r="A18" s="106"/>
      <c r="B18" s="107"/>
      <c r="C18" s="107"/>
      <c r="D18" s="73"/>
      <c r="E18" s="73"/>
      <c r="F18" s="73"/>
      <c r="G18" s="73"/>
      <c r="H18" s="73"/>
      <c r="I18" s="73"/>
      <c r="J18" s="73"/>
      <c r="K18" s="73"/>
    </row>
    <row r="19" spans="1:12" x14ac:dyDescent="0.4">
      <c r="A19" s="73"/>
      <c r="B19" s="73" t="b">
        <v>1</v>
      </c>
      <c r="C19" s="73"/>
      <c r="D19" s="73"/>
      <c r="E19" s="73"/>
      <c r="F19" s="73"/>
      <c r="G19" s="73"/>
      <c r="H19" s="73"/>
      <c r="I19" s="73"/>
      <c r="J19" s="73"/>
      <c r="K19" s="73"/>
    </row>
    <row r="20" spans="1:12" x14ac:dyDescent="0.4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</row>
    <row r="21" spans="1:12" x14ac:dyDescent="0.4">
      <c r="A21" s="73" t="s">
        <v>323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</row>
    <row r="22" spans="1:12" x14ac:dyDescent="0.4">
      <c r="A22" s="73" t="s">
        <v>324</v>
      </c>
      <c r="B22" s="73"/>
      <c r="C22" s="73"/>
      <c r="D22" s="73"/>
      <c r="E22" s="73"/>
      <c r="F22" s="73"/>
      <c r="G22" s="73"/>
      <c r="H22" s="108"/>
      <c r="I22" s="108"/>
      <c r="J22" s="108"/>
      <c r="K22" s="108"/>
    </row>
    <row r="23" spans="1:12" x14ac:dyDescent="0.4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</row>
    <row r="24" spans="1:12" x14ac:dyDescent="0.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</row>
    <row r="25" spans="1:12" x14ac:dyDescent="0.4">
      <c r="A25" s="90" t="s">
        <v>325</v>
      </c>
      <c r="B25" s="109" t="s">
        <v>256</v>
      </c>
      <c r="C25" s="110" t="s">
        <v>257</v>
      </c>
      <c r="D25" s="110" t="s">
        <v>326</v>
      </c>
      <c r="E25" s="110" t="s">
        <v>272</v>
      </c>
      <c r="F25" s="110" t="s">
        <v>265</v>
      </c>
      <c r="G25" s="110" t="s">
        <v>327</v>
      </c>
      <c r="H25" s="110" t="s">
        <v>273</v>
      </c>
      <c r="I25" s="110" t="s">
        <v>266</v>
      </c>
      <c r="J25" s="110" t="s">
        <v>271</v>
      </c>
      <c r="K25" s="110" t="s">
        <v>328</v>
      </c>
    </row>
    <row r="26" spans="1:12" x14ac:dyDescent="0.4">
      <c r="A26" s="91" t="s">
        <v>329</v>
      </c>
      <c r="B26" s="111"/>
      <c r="C26" s="112"/>
      <c r="D26" s="112"/>
      <c r="E26" s="112"/>
      <c r="F26" s="112"/>
      <c r="G26" s="112"/>
      <c r="H26" s="112"/>
      <c r="I26" s="112"/>
      <c r="J26" s="112"/>
      <c r="K26" s="112"/>
    </row>
    <row r="27" spans="1:12" x14ac:dyDescent="0.4">
      <c r="A27" s="92" t="s">
        <v>276</v>
      </c>
      <c r="B27" s="74">
        <v>22189289848</v>
      </c>
      <c r="C27" s="75">
        <v>11609712365</v>
      </c>
      <c r="D27" s="75">
        <v>613530000</v>
      </c>
      <c r="E27" s="75">
        <v>9099800904</v>
      </c>
      <c r="F27" s="75">
        <v>137351362</v>
      </c>
      <c r="G27" s="75">
        <v>1387225020</v>
      </c>
      <c r="H27" s="75">
        <v>3781172913</v>
      </c>
      <c r="I27" s="75">
        <v>485800000</v>
      </c>
      <c r="J27" s="75">
        <v>837404701</v>
      </c>
      <c r="K27" s="75">
        <v>50141287113</v>
      </c>
      <c r="L27" s="84">
        <v>2</v>
      </c>
    </row>
    <row r="28" spans="1:12" x14ac:dyDescent="0.4">
      <c r="A28" s="93" t="s">
        <v>252</v>
      </c>
      <c r="B28" s="76">
        <v>0</v>
      </c>
      <c r="C28" s="75">
        <v>0</v>
      </c>
      <c r="D28" s="75">
        <v>0</v>
      </c>
      <c r="E28" s="75">
        <v>14000000</v>
      </c>
      <c r="F28" s="75">
        <v>72676310</v>
      </c>
      <c r="G28" s="75">
        <v>0</v>
      </c>
      <c r="H28" s="75">
        <v>8030000</v>
      </c>
      <c r="I28" s="77">
        <v>4517326310</v>
      </c>
      <c r="J28" s="75">
        <v>305056685</v>
      </c>
      <c r="K28" s="75">
        <v>4917089305</v>
      </c>
      <c r="L28" s="18" t="b">
        <v>1</v>
      </c>
    </row>
    <row r="29" spans="1:12" x14ac:dyDescent="0.4">
      <c r="A29" s="92" t="s">
        <v>255</v>
      </c>
      <c r="B29" s="74">
        <v>-4280784678</v>
      </c>
      <c r="C29" s="78">
        <v>-1144541982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7">
        <v>-3273676310</v>
      </c>
      <c r="J29" s="75">
        <v>0</v>
      </c>
      <c r="K29" s="75">
        <v>-8699002970</v>
      </c>
      <c r="L29" s="67">
        <v>0</v>
      </c>
    </row>
    <row r="30" spans="1:12" x14ac:dyDescent="0.4">
      <c r="A30" s="92" t="s">
        <v>254</v>
      </c>
      <c r="B30" s="74">
        <v>0</v>
      </c>
      <c r="C30" s="75">
        <v>0</v>
      </c>
      <c r="D30" s="75">
        <v>0</v>
      </c>
      <c r="E30" s="75">
        <v>0</v>
      </c>
      <c r="F30" s="75">
        <v>-39674148</v>
      </c>
      <c r="G30" s="75">
        <v>0</v>
      </c>
      <c r="H30" s="75">
        <v>0</v>
      </c>
      <c r="I30" s="75">
        <v>0</v>
      </c>
      <c r="J30" s="79">
        <v>-34093121</v>
      </c>
      <c r="K30" s="75">
        <v>-73767269</v>
      </c>
      <c r="L30" s="84">
        <v>-2</v>
      </c>
    </row>
    <row r="31" spans="1:12" x14ac:dyDescent="0.4">
      <c r="A31" s="92" t="s">
        <v>330</v>
      </c>
      <c r="B31" s="74">
        <v>17908505170</v>
      </c>
      <c r="C31" s="74">
        <v>10465170383</v>
      </c>
      <c r="D31" s="74">
        <v>613530000</v>
      </c>
      <c r="E31" s="74">
        <v>9113800904</v>
      </c>
      <c r="F31" s="74">
        <v>170353524</v>
      </c>
      <c r="G31" s="74">
        <v>1387225020</v>
      </c>
      <c r="H31" s="74">
        <v>3789202913</v>
      </c>
      <c r="I31" s="74">
        <v>1729450000</v>
      </c>
      <c r="J31" s="74">
        <v>1108368265</v>
      </c>
      <c r="K31" s="75">
        <v>46285606179</v>
      </c>
      <c r="L31" s="84">
        <v>0</v>
      </c>
    </row>
    <row r="32" spans="1:12" x14ac:dyDescent="0.4">
      <c r="A32" s="91" t="s">
        <v>331</v>
      </c>
      <c r="B32" s="74"/>
      <c r="C32" s="75"/>
      <c r="D32" s="75"/>
      <c r="E32" s="75"/>
      <c r="F32" s="75"/>
      <c r="G32" s="75"/>
      <c r="H32" s="75"/>
      <c r="I32" s="75"/>
      <c r="J32" s="75"/>
      <c r="K32" s="75"/>
    </row>
    <row r="33" spans="1:12" x14ac:dyDescent="0.4">
      <c r="A33" s="92" t="s">
        <v>276</v>
      </c>
      <c r="B33" s="74">
        <v>0</v>
      </c>
      <c r="C33" s="75">
        <v>-5528301608</v>
      </c>
      <c r="D33" s="75">
        <v>-307087106</v>
      </c>
      <c r="E33" s="75">
        <v>-3908029045</v>
      </c>
      <c r="F33" s="75">
        <v>-137343362</v>
      </c>
      <c r="G33" s="75">
        <v>-1274972951</v>
      </c>
      <c r="H33" s="75">
        <v>-3309110669</v>
      </c>
      <c r="I33" s="75">
        <v>0</v>
      </c>
      <c r="J33" s="75">
        <v>-237158748</v>
      </c>
      <c r="K33" s="75">
        <v>-14702003489</v>
      </c>
      <c r="L33" s="84">
        <v>1</v>
      </c>
    </row>
    <row r="34" spans="1:12" x14ac:dyDescent="0.4">
      <c r="A34" s="92" t="s">
        <v>332</v>
      </c>
      <c r="B34" s="74">
        <v>0</v>
      </c>
      <c r="C34" s="75">
        <v>0</v>
      </c>
      <c r="D34" s="75">
        <v>0</v>
      </c>
      <c r="E34" s="75">
        <v>0</v>
      </c>
      <c r="F34" s="75">
        <v>39673148</v>
      </c>
      <c r="G34" s="75">
        <v>0</v>
      </c>
      <c r="H34" s="75">
        <v>0</v>
      </c>
      <c r="I34" s="75">
        <v>0</v>
      </c>
      <c r="J34" s="75">
        <v>31935107</v>
      </c>
      <c r="K34" s="75">
        <v>71608255</v>
      </c>
      <c r="L34" s="84">
        <v>1</v>
      </c>
    </row>
    <row r="35" spans="1:12" x14ac:dyDescent="0.4">
      <c r="A35" s="92" t="s">
        <v>270</v>
      </c>
      <c r="B35" s="74">
        <v>0</v>
      </c>
      <c r="C35" s="75">
        <v>-165284758</v>
      </c>
      <c r="D35" s="75">
        <v>-11466131</v>
      </c>
      <c r="E35" s="75">
        <v>-175156825</v>
      </c>
      <c r="F35" s="75">
        <v>-6056359</v>
      </c>
      <c r="G35" s="75">
        <v>-17647645</v>
      </c>
      <c r="H35" s="75">
        <v>-136140282</v>
      </c>
      <c r="I35" s="75">
        <v>0</v>
      </c>
      <c r="J35" s="75">
        <v>-146939848</v>
      </c>
      <c r="K35" s="75">
        <v>-658691848</v>
      </c>
    </row>
    <row r="36" spans="1:12" x14ac:dyDescent="0.4">
      <c r="A36" s="92" t="s">
        <v>255</v>
      </c>
      <c r="B36" s="74">
        <v>0</v>
      </c>
      <c r="C36" s="78">
        <v>225729098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225729098</v>
      </c>
      <c r="L36" s="67" t="b">
        <v>1</v>
      </c>
    </row>
    <row r="37" spans="1:12" x14ac:dyDescent="0.4">
      <c r="A37" s="92" t="s">
        <v>330</v>
      </c>
      <c r="B37" s="74">
        <v>0</v>
      </c>
      <c r="C37" s="75">
        <v>-5467857268</v>
      </c>
      <c r="D37" s="75">
        <v>-318553237</v>
      </c>
      <c r="E37" s="75">
        <v>-4083185870</v>
      </c>
      <c r="F37" s="75">
        <v>-103726573</v>
      </c>
      <c r="G37" s="75">
        <v>-1292620596</v>
      </c>
      <c r="H37" s="75">
        <v>-3445250951</v>
      </c>
      <c r="I37" s="75">
        <v>0</v>
      </c>
      <c r="J37" s="78">
        <v>-352163489</v>
      </c>
      <c r="K37" s="75">
        <v>-15063357984</v>
      </c>
      <c r="L37" s="18" t="b">
        <v>1</v>
      </c>
    </row>
    <row r="38" spans="1:12" x14ac:dyDescent="0.4">
      <c r="A38" s="94" t="s">
        <v>333</v>
      </c>
      <c r="B38" s="74"/>
      <c r="C38" s="75"/>
      <c r="D38" s="75"/>
      <c r="E38" s="75">
        <v>-326984578</v>
      </c>
      <c r="F38" s="75"/>
      <c r="G38" s="75">
        <v>-6560834</v>
      </c>
      <c r="H38" s="75"/>
      <c r="I38" s="80">
        <v>-21044418.706772331</v>
      </c>
      <c r="J38" s="80">
        <v>-3339977</v>
      </c>
      <c r="K38" s="75">
        <v>-357929807.70677233</v>
      </c>
      <c r="L38" s="84">
        <v>0.2932276725769043</v>
      </c>
    </row>
    <row r="39" spans="1:12" x14ac:dyDescent="0.4">
      <c r="A39" s="95" t="s">
        <v>267</v>
      </c>
      <c r="B39" s="81">
        <v>17908505170</v>
      </c>
      <c r="C39" s="82">
        <v>4997313115</v>
      </c>
      <c r="D39" s="82">
        <v>294976763</v>
      </c>
      <c r="E39" s="82">
        <v>4703630456</v>
      </c>
      <c r="F39" s="82">
        <v>66626951</v>
      </c>
      <c r="G39" s="82">
        <v>88043590</v>
      </c>
      <c r="H39" s="82">
        <v>343951962</v>
      </c>
      <c r="I39" s="82">
        <v>1708405581.2932277</v>
      </c>
      <c r="J39" s="82">
        <v>752864799</v>
      </c>
      <c r="K39" s="82">
        <v>30864318387.293228</v>
      </c>
    </row>
    <row r="40" spans="1:12" x14ac:dyDescent="0.4">
      <c r="B40" s="18" t="b">
        <v>1</v>
      </c>
      <c r="C40" s="18" t="b">
        <v>1</v>
      </c>
      <c r="D40" s="18" t="b">
        <v>1</v>
      </c>
      <c r="E40" s="18" t="b">
        <v>1</v>
      </c>
      <c r="F40" s="84" t="b">
        <v>1</v>
      </c>
      <c r="G40" s="84" t="b">
        <v>1</v>
      </c>
      <c r="H40" s="18" t="b">
        <v>1</v>
      </c>
      <c r="I40" s="85">
        <v>-0.2932276725769043</v>
      </c>
      <c r="J40" s="18" t="b">
        <v>1</v>
      </c>
    </row>
    <row r="43" spans="1:12" x14ac:dyDescent="0.4">
      <c r="A43" s="18" t="s">
        <v>343</v>
      </c>
    </row>
    <row r="44" spans="1:12" x14ac:dyDescent="0.4">
      <c r="B44" s="18" t="s">
        <v>344</v>
      </c>
    </row>
  </sheetData>
  <mergeCells count="6">
    <mergeCell ref="A9:C9"/>
    <mergeCell ref="A1:J1"/>
    <mergeCell ref="A2:F2"/>
    <mergeCell ref="G2:J2"/>
    <mergeCell ref="A3:J3"/>
    <mergeCell ref="A4:J4"/>
  </mergeCells>
  <phoneticPr fontId="11" type="noConversion"/>
  <conditionalFormatting sqref="A7:K18 A19:D19 J19:K19 A20:K39">
    <cfRule type="containsText" dxfId="1" priority="1" operator="containsText" text="FALSE">
      <formula>NOT(ISERROR(SEARCH("FALSE",A7)))</formula>
    </cfRule>
    <cfRule type="containsText" dxfId="0" priority="2" operator="containsText" text="TRUE">
      <formula>NOT(ISERROR(SEARCH("TRUE",A7)))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4700_유형자산</vt:lpstr>
      <vt:lpstr>4700_유형자산_회계처리</vt:lpstr>
      <vt:lpstr>4700_유형자산_분석적검토</vt:lpstr>
      <vt:lpstr>4700_유형자산_증가</vt:lpstr>
      <vt:lpstr>4700_유형자산_감소</vt:lpstr>
      <vt:lpstr>4700_유형자산_주석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2026-07-30T02:03:54Z</dcterms:modified>
</cp:coreProperties>
</file>