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report\templet\"/>
    </mc:Choice>
  </mc:AlternateContent>
  <xr:revisionPtr revIDLastSave="0" documentId="13_ncr:1_{AF5131B9-C6DE-4BCA-AA30-665DA6EB5447}" xr6:coauthVersionLast="47" xr6:coauthVersionMax="47" xr10:uidLastSave="{00000000-0000-0000-0000-000000000000}"/>
  <bookViews>
    <workbookView xWindow="-110" yWindow="-110" windowWidth="25820" windowHeight="16220" xr2:uid="{2F9D291D-F5F1-4116-825E-B2BAA0208D5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1" l="1"/>
  <c r="B8" i="1" s="1"/>
  <c r="B23" i="1"/>
  <c r="F10" i="1" l="1"/>
  <c r="G10" i="1"/>
  <c r="B10" i="1"/>
  <c r="D9" i="1"/>
  <c r="D10" i="1" s="1"/>
  <c r="C9" i="1"/>
  <c r="G3" i="1"/>
  <c r="B3" i="1"/>
  <c r="E9" i="1" l="1"/>
  <c r="H9" i="1" s="1"/>
  <c r="C10" i="1"/>
  <c r="E8" i="1"/>
  <c r="H8" i="1" l="1"/>
  <c r="H10" i="1" s="1"/>
  <c r="E10" i="1"/>
</calcChain>
</file>

<file path=xl/sharedStrings.xml><?xml version="1.0" encoding="utf-8"?>
<sst xmlns="http://schemas.openxmlformats.org/spreadsheetml/2006/main" count="45" uniqueCount="39">
  <si>
    <t>삼덕회계법인</t>
    <phoneticPr fontId="5" type="noConversion"/>
  </si>
  <si>
    <t>Client</t>
    <phoneticPr fontId="10" type="noConversion"/>
  </si>
  <si>
    <t>Period-end</t>
    <phoneticPr fontId="7" type="noConversion"/>
  </si>
  <si>
    <t>Title</t>
    <phoneticPr fontId="4" type="noConversion"/>
  </si>
  <si>
    <t>Prepared by</t>
  </si>
  <si>
    <t>Date</t>
    <phoneticPr fontId="7" type="noConversion"/>
  </si>
  <si>
    <t>Reviewed By</t>
    <phoneticPr fontId="7" type="noConversion"/>
  </si>
  <si>
    <t>W/P reference</t>
    <phoneticPr fontId="7" type="noConversion"/>
  </si>
  <si>
    <t>매출채권 Lead Schedule</t>
    <phoneticPr fontId="4" type="noConversion"/>
  </si>
  <si>
    <t>이병하</t>
    <phoneticPr fontId="7" type="noConversion"/>
  </si>
  <si>
    <t>2024.12.31</t>
    <phoneticPr fontId="10" type="noConversion"/>
  </si>
  <si>
    <t>PER BOOK</t>
    <phoneticPr fontId="10" type="noConversion"/>
  </si>
  <si>
    <t>AJE</t>
    <phoneticPr fontId="10" type="noConversion"/>
  </si>
  <si>
    <t>RES</t>
    <phoneticPr fontId="10" type="noConversion"/>
  </si>
  <si>
    <t>FINAL</t>
    <phoneticPr fontId="10" type="noConversion"/>
  </si>
  <si>
    <t>㈜abc</t>
    <phoneticPr fontId="10" type="noConversion"/>
  </si>
  <si>
    <t>현금및현금성자산</t>
    <phoneticPr fontId="10" type="noConversion"/>
  </si>
  <si>
    <t>단기금융상품</t>
    <phoneticPr fontId="10" type="noConversion"/>
  </si>
  <si>
    <t>현금및현금성자산의 내용&gt;</t>
    <phoneticPr fontId="4" type="noConversion"/>
  </si>
  <si>
    <t>현금</t>
    <phoneticPr fontId="4" type="noConversion"/>
  </si>
  <si>
    <t>보통예금</t>
    <phoneticPr fontId="4" type="noConversion"/>
  </si>
  <si>
    <t>당좌예금</t>
    <phoneticPr fontId="4" type="noConversion"/>
  </si>
  <si>
    <t>2025.12.31</t>
    <phoneticPr fontId="4" type="noConversion"/>
  </si>
  <si>
    <t>당기</t>
    <phoneticPr fontId="4" type="noConversion"/>
  </si>
  <si>
    <t>전기</t>
    <phoneticPr fontId="4" type="noConversion"/>
  </si>
  <si>
    <t>구분</t>
    <phoneticPr fontId="4" type="noConversion"/>
  </si>
  <si>
    <t>외화예금</t>
    <phoneticPr fontId="4" type="noConversion"/>
  </si>
  <si>
    <t>분개장이나 계정별원장에서 가져올 수 있음</t>
    <phoneticPr fontId="4" type="noConversion"/>
  </si>
  <si>
    <t>합계</t>
    <phoneticPr fontId="4" type="noConversion"/>
  </si>
  <si>
    <t>회사는 현금및현금성자산을 여러계정을 사용하므로 각 계정들의 합계를 받아옴</t>
    <phoneticPr fontId="4" type="noConversion"/>
  </si>
  <si>
    <t>단기금융자산의 내용&gt;</t>
    <phoneticPr fontId="4" type="noConversion"/>
  </si>
  <si>
    <t>정기예금</t>
    <phoneticPr fontId="4" type="noConversion"/>
  </si>
  <si>
    <t>당기와 전기 분개장이나 계정별원장에서 가져올 수 있음</t>
    <phoneticPr fontId="4" type="noConversion"/>
  </si>
  <si>
    <t>단기금융상품</t>
    <phoneticPr fontId="4" type="noConversion"/>
  </si>
  <si>
    <t>장기금융상품</t>
    <phoneticPr fontId="4" type="noConversion"/>
  </si>
  <si>
    <t>현금및현금성자산</t>
    <phoneticPr fontId="7" type="noConversion"/>
  </si>
  <si>
    <t>기업자유예금</t>
    <phoneticPr fontId="4" type="noConversion"/>
  </si>
  <si>
    <t>차변</t>
    <phoneticPr fontId="10" type="noConversion"/>
  </si>
  <si>
    <t>대변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</si>
</sst>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_-* #,##0.00_-;\-* #,##0.0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sz val="8"/>
      <name val="바탕체"/>
      <family val="1"/>
      <charset val="129"/>
    </font>
    <font>
      <sz val="9"/>
      <color indexed="8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11" fillId="0" borderId="0"/>
  </cellStyleXfs>
  <cellXfs count="31">
    <xf numFmtId="0" fontId="0" fillId="0" borderId="0" xfId="0">
      <alignment vertical="center"/>
    </xf>
    <xf numFmtId="176" fontId="3" fillId="2" borderId="0" xfId="2" applyNumberFormat="1" applyFont="1" applyFill="1" applyAlignment="1">
      <alignment horizontal="center" vertical="center"/>
    </xf>
    <xf numFmtId="0" fontId="6" fillId="2" borderId="0" xfId="2" applyFont="1" applyFill="1" applyAlignment="1">
      <alignment vertical="center"/>
    </xf>
    <xf numFmtId="0" fontId="6" fillId="2" borderId="1" xfId="2" applyFont="1" applyFill="1" applyBorder="1" applyAlignment="1">
      <alignment vertical="center"/>
    </xf>
    <xf numFmtId="0" fontId="3" fillId="2" borderId="0" xfId="2" applyFont="1" applyFill="1" applyAlignment="1">
      <alignment horizontal="right" vertical="center"/>
    </xf>
    <xf numFmtId="177" fontId="3" fillId="2" borderId="0" xfId="2" applyNumberFormat="1" applyFont="1" applyFill="1" applyAlignment="1">
      <alignment horizontal="right" vertical="center"/>
    </xf>
    <xf numFmtId="0" fontId="8" fillId="0" borderId="0" xfId="0" applyFont="1">
      <alignment vertical="center"/>
    </xf>
    <xf numFmtId="176" fontId="9" fillId="2" borderId="2" xfId="2" applyNumberFormat="1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2" xfId="3" applyFont="1" applyFill="1" applyBorder="1" applyAlignment="1">
      <alignment vertical="center"/>
    </xf>
    <xf numFmtId="0" fontId="9" fillId="2" borderId="2" xfId="2" applyFont="1" applyFill="1" applyBorder="1" applyAlignment="1">
      <alignment horizontal="right" vertical="center"/>
    </xf>
    <xf numFmtId="177" fontId="9" fillId="2" borderId="2" xfId="2" applyNumberFormat="1" applyFont="1" applyFill="1" applyBorder="1" applyAlignment="1">
      <alignment horizontal="right" vertical="center"/>
    </xf>
    <xf numFmtId="176" fontId="3" fillId="2" borderId="1" xfId="2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vertical="center"/>
    </xf>
    <xf numFmtId="0" fontId="3" fillId="2" borderId="1" xfId="2" applyFont="1" applyFill="1" applyBorder="1" applyAlignment="1">
      <alignment horizontal="center" vertical="center"/>
    </xf>
    <xf numFmtId="176" fontId="3" fillId="2" borderId="1" xfId="2" quotePrefix="1" applyNumberFormat="1" applyFont="1" applyFill="1" applyBorder="1" applyAlignment="1">
      <alignment horizontal="right" vertical="center"/>
    </xf>
    <xf numFmtId="0" fontId="3" fillId="2" borderId="1" xfId="2" quotePrefix="1" applyFont="1" applyFill="1" applyBorder="1" applyAlignment="1">
      <alignment horizontal="right" vertical="center"/>
    </xf>
    <xf numFmtId="0" fontId="12" fillId="0" borderId="0" xfId="0" applyFont="1" applyAlignment="1"/>
    <xf numFmtId="0" fontId="13" fillId="0" borderId="0" xfId="0" applyFont="1" applyAlignment="1"/>
    <xf numFmtId="0" fontId="13" fillId="3" borderId="3" xfId="0" applyFont="1" applyFill="1" applyBorder="1" applyAlignment="1">
      <alignment horizontal="centerContinuous"/>
    </xf>
    <xf numFmtId="0" fontId="13" fillId="3" borderId="3" xfId="0" applyFont="1" applyFill="1" applyBorder="1" applyAlignment="1">
      <alignment horizontal="center"/>
    </xf>
    <xf numFmtId="14" fontId="13" fillId="3" borderId="3" xfId="0" applyNumberFormat="1" applyFont="1" applyFill="1" applyBorder="1" applyAlignment="1">
      <alignment horizontal="center"/>
    </xf>
    <xf numFmtId="41" fontId="12" fillId="0" borderId="0" xfId="1" applyFont="1" applyAlignment="1"/>
    <xf numFmtId="41" fontId="12" fillId="2" borderId="0" xfId="1" applyFont="1" applyFill="1" applyAlignment="1"/>
    <xf numFmtId="41" fontId="8" fillId="0" borderId="4" xfId="0" applyNumberFormat="1" applyFont="1" applyBorder="1">
      <alignment vertical="center"/>
    </xf>
    <xf numFmtId="0" fontId="8" fillId="2" borderId="0" xfId="0" applyFont="1" applyFill="1">
      <alignment vertical="center"/>
    </xf>
    <xf numFmtId="0" fontId="8" fillId="4" borderId="0" xfId="0" applyFont="1" applyFill="1">
      <alignment vertical="center"/>
    </xf>
    <xf numFmtId="0" fontId="8" fillId="4" borderId="0" xfId="0" applyFont="1" applyFill="1" applyAlignment="1">
      <alignment horizontal="center" vertical="center"/>
    </xf>
    <xf numFmtId="0" fontId="8" fillId="4" borderId="4" xfId="0" applyFont="1" applyFill="1" applyBorder="1">
      <alignment vertical="center"/>
    </xf>
    <xf numFmtId="0" fontId="8" fillId="0" borderId="0" xfId="0" applyFont="1" applyFill="1">
      <alignment vertical="center"/>
    </xf>
  </cellXfs>
  <cellStyles count="4">
    <cellStyle name="쉼표 [0]" xfId="1" builtinId="6"/>
    <cellStyle name="표준" xfId="0" builtinId="0"/>
    <cellStyle name="표준 5" xfId="3" xr:uid="{57AF07EE-7AD1-4414-99DB-942A2797ECFF}"/>
    <cellStyle name="표준_Sheet1" xfId="2" xr:uid="{B30791BF-DA32-493E-A079-D1D439AD8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45824;&#51068;&#45236;&#51109;&#49328;&#52968;&#53944;&#47532;&#53364;&#47101;/&#45824;&#51068;&#45236;&#51109;&#49328;&#44264;&#54532;&#53364;&#47101;/25&#45380;/&#45824;&#51068;&#45236;&#51109;&#49328;&#44264;&#54532;&#53364;&#47101;(25&#45380;).xlsx" TargetMode="External"/><Relationship Id="rId2" Type="http://schemas.openxmlformats.org/officeDocument/2006/relationships/externalLinkPath" Target="file:///D:\Users\lbh00\OneDrive\&#47928;&#49436;\&#44048;&#49324;\&#45824;&#51068;&#45236;&#51109;&#49328;&#52968;&#53944;&#47532;&#53364;&#47101;\&#45824;&#51068;&#45236;&#51109;&#49328;&#44264;&#54532;&#53364;&#47101;\25&#45380;\&#45824;&#51068;&#45236;&#51109;&#49328;&#44264;&#54532;&#53364;&#47101;(25&#45380;).xlsx" TargetMode="External"/><Relationship Id="rId1" Type="http://schemas.openxmlformats.org/officeDocument/2006/relationships/externalLinkPath" Target="/Users/lbh00/OneDrive/&#47928;&#49436;/&#44048;&#49324;/&#45824;&#51068;&#45236;&#51109;&#49328;&#52968;&#53944;&#47532;&#53364;&#47101;/&#45824;&#51068;&#45236;&#51109;&#49328;&#44264;&#54532;&#53364;&#47101;/25&#45380;/&#45824;&#51068;&#45236;&#51109;&#49328;&#44264;&#54532;&#53364;&#47101;(25&#453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의문사항"/>
      <sheetName val="대차재무제표분석 (2)"/>
      <sheetName val="손익분석"/>
      <sheetName val="주요경영지표"/>
      <sheetName val="기본사항"/>
      <sheetName val="수정사항"/>
      <sheetName val="합잔_2025"/>
      <sheetName val="합잔_2024"/>
      <sheetName val="매출채권lead"/>
      <sheetName val="채권증감"/>
      <sheetName val="재고자산"/>
      <sheetName val="매출대 매출채권"/>
      <sheetName val="상품수불부"/>
      <sheetName val="저장품수불부"/>
      <sheetName val="재고실사"/>
      <sheetName val="매입채무"/>
      <sheetName val="매입TOT"/>
      <sheetName val="외상매입금조회"/>
      <sheetName val="채무증감"/>
      <sheetName val="기타유동부채"/>
      <sheetName val="미지급금"/>
      <sheetName val="기타비유동부채"/>
      <sheetName val="할부총괄"/>
      <sheetName val="미지급금_산은"/>
      <sheetName val="장기미지급금_현대"/>
      <sheetName val="장기리스_총괄"/>
      <sheetName val="에어레이터_우리금융"/>
      <sheetName val="벙커정리기_우리금융"/>
      <sheetName val="트랙터_우리금융"/>
      <sheetName val="페어웨이스위퍼_우리금융"/>
      <sheetName val="5갱모어"/>
      <sheetName val="장기리스_골프카"/>
      <sheetName val="장기리스_배토기외"/>
      <sheetName val="장기리스_제설브러쉬"/>
      <sheetName val="장기리스_승용그린"/>
      <sheetName val="장기리스_지주식그린모어"/>
      <sheetName val="차량1_2250"/>
      <sheetName val="차량2-유로스타"/>
      <sheetName val="카트_2인승(6대)"/>
      <sheetName val="카드_2인승(2대)"/>
      <sheetName val="차입금lead"/>
      <sheetName val="차입금증감"/>
      <sheetName val="이자비용overall"/>
      <sheetName val="이자비용"/>
      <sheetName val="퇴충"/>
      <sheetName val="퇴직자명단"/>
      <sheetName val="추계액_2025"/>
      <sheetName val="추계액_2024"/>
      <sheetName val="추계액_2023"/>
      <sheetName val="추계액_2022"/>
      <sheetName val="매출"/>
      <sheetName val="분석적검토"/>
      <sheetName val="선불카드"/>
      <sheetName val="부가세신고서"/>
      <sheetName val="판관비LEAD"/>
      <sheetName val="월별판관비"/>
      <sheetName val="지급수수료전당기비교_판관"/>
      <sheetName val="판관비tot"/>
      <sheetName val="매출원가"/>
      <sheetName val="지급수수료전당기비교_코스"/>
      <sheetName val="급여"/>
      <sheetName val="월별매출원가"/>
      <sheetName val="매출원가tot"/>
      <sheetName val="연차총괄"/>
      <sheetName val="연차수당의 개요"/>
      <sheetName val="2023년연차발생현황"/>
      <sheetName val="2025년연차"/>
    </sheetNames>
    <sheetDataSet>
      <sheetData sheetId="0"/>
      <sheetData sheetId="1"/>
      <sheetData sheetId="2"/>
      <sheetData sheetId="3"/>
      <sheetData sheetId="4">
        <row r="3">
          <cell r="B3">
            <v>2025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2DEE-47C9-4183-B991-D9E65E1D4C1D}">
  <dimension ref="A1:I31"/>
  <sheetViews>
    <sheetView tabSelected="1" workbookViewId="0">
      <selection activeCell="E20" sqref="E20"/>
    </sheetView>
  </sheetViews>
  <sheetFormatPr defaultRowHeight="14.5" x14ac:dyDescent="0.45"/>
  <cols>
    <col min="1" max="1" width="18.25" style="6" bestFit="1" customWidth="1"/>
    <col min="2" max="2" width="70.5" style="6" bestFit="1" customWidth="1"/>
    <col min="3" max="3" width="18.5" style="6" bestFit="1" customWidth="1"/>
    <col min="4" max="4" width="12.6640625" style="6" bestFit="1" customWidth="1"/>
    <col min="5" max="5" width="9.6640625" style="6" bestFit="1" customWidth="1"/>
    <col min="6" max="6" width="10.5" style="6" bestFit="1" customWidth="1"/>
    <col min="7" max="7" width="9" style="6" bestFit="1" customWidth="1"/>
    <col min="8" max="8" width="9.6640625" style="6" bestFit="1" customWidth="1"/>
    <col min="9" max="9" width="12.9140625" style="6" bestFit="1" customWidth="1"/>
    <col min="10" max="16384" width="8.6640625" style="6"/>
  </cols>
  <sheetData>
    <row r="1" spans="1:9" ht="14.4" customHeight="1" thickBot="1" x14ac:dyDescent="0.5">
      <c r="A1" s="1" t="s">
        <v>0</v>
      </c>
      <c r="B1" s="2"/>
      <c r="C1" s="3"/>
      <c r="D1" s="2"/>
      <c r="E1" s="2"/>
      <c r="F1" s="2"/>
      <c r="G1" s="2"/>
      <c r="H1" s="4"/>
      <c r="I1" s="5" t="s">
        <v>35</v>
      </c>
    </row>
    <row r="2" spans="1:9" ht="14.4" customHeight="1" x14ac:dyDescent="0.45">
      <c r="A2" s="7" t="s">
        <v>1</v>
      </c>
      <c r="B2" s="8" t="s">
        <v>2</v>
      </c>
      <c r="C2" s="9" t="s">
        <v>3</v>
      </c>
      <c r="D2" s="7" t="s">
        <v>4</v>
      </c>
      <c r="E2" s="8" t="s">
        <v>5</v>
      </c>
      <c r="F2" s="8" t="s">
        <v>6</v>
      </c>
      <c r="G2" s="8" t="s">
        <v>5</v>
      </c>
      <c r="H2" s="10"/>
      <c r="I2" s="11" t="s">
        <v>7</v>
      </c>
    </row>
    <row r="3" spans="1:9" ht="14.4" customHeight="1" thickBot="1" x14ac:dyDescent="0.5">
      <c r="A3" s="12" t="s">
        <v>15</v>
      </c>
      <c r="B3" s="13" t="str">
        <f>[1]기본사항!B3&amp;".12.31"</f>
        <v>2025.12.31</v>
      </c>
      <c r="C3" s="14" t="s">
        <v>8</v>
      </c>
      <c r="D3" s="12" t="s">
        <v>9</v>
      </c>
      <c r="E3" s="13">
        <v>46054</v>
      </c>
      <c r="F3" s="15"/>
      <c r="G3" s="13">
        <f>E3</f>
        <v>46054</v>
      </c>
      <c r="H3" s="16"/>
      <c r="I3" s="17"/>
    </row>
    <row r="4" spans="1:9" s="18" customFormat="1" x14ac:dyDescent="0.4"/>
    <row r="5" spans="1:9" s="18" customFormat="1" x14ac:dyDescent="0.4"/>
    <row r="6" spans="1:9" s="19" customFormat="1" x14ac:dyDescent="0.4">
      <c r="E6" s="20" t="s">
        <v>22</v>
      </c>
      <c r="F6" s="20"/>
      <c r="G6" s="20"/>
      <c r="H6" s="20"/>
    </row>
    <row r="7" spans="1:9" s="19" customFormat="1" x14ac:dyDescent="0.4">
      <c r="A7" s="21"/>
      <c r="B7" s="21" t="s">
        <v>10</v>
      </c>
      <c r="C7" s="22" t="s">
        <v>37</v>
      </c>
      <c r="D7" s="21" t="s">
        <v>38</v>
      </c>
      <c r="E7" s="21" t="s">
        <v>11</v>
      </c>
      <c r="F7" s="21" t="s">
        <v>12</v>
      </c>
      <c r="G7" s="21" t="s">
        <v>13</v>
      </c>
      <c r="H7" s="21" t="s">
        <v>14</v>
      </c>
    </row>
    <row r="8" spans="1:9" s="18" customFormat="1" x14ac:dyDescent="0.4">
      <c r="A8" s="23" t="s">
        <v>16</v>
      </c>
      <c r="B8" s="23">
        <f>C23</f>
        <v>0</v>
      </c>
      <c r="C8" s="24"/>
      <c r="D8" s="24"/>
      <c r="E8" s="23">
        <f>B8+C8-D8</f>
        <v>0</v>
      </c>
      <c r="F8" s="23"/>
      <c r="G8" s="23"/>
      <c r="H8" s="23">
        <f>E8+F8+G8</f>
        <v>0</v>
      </c>
    </row>
    <row r="9" spans="1:9" s="18" customFormat="1" x14ac:dyDescent="0.4">
      <c r="A9" s="23" t="s">
        <v>17</v>
      </c>
      <c r="B9" s="23">
        <v>0</v>
      </c>
      <c r="C9" s="24">
        <f>0</f>
        <v>0</v>
      </c>
      <c r="D9" s="24">
        <f>0</f>
        <v>0</v>
      </c>
      <c r="E9" s="23">
        <f>B9+C9-D9</f>
        <v>0</v>
      </c>
      <c r="F9" s="23"/>
      <c r="G9" s="23"/>
      <c r="H9" s="23">
        <f>E9+F9+G9</f>
        <v>0</v>
      </c>
    </row>
    <row r="10" spans="1:9" ht="15" thickBot="1" x14ac:dyDescent="0.5">
      <c r="B10" s="25">
        <f>SUM(B8:B9)</f>
        <v>0</v>
      </c>
      <c r="C10" s="25">
        <f t="shared" ref="C10:H10" si="0">SUM(C8:C9)</f>
        <v>0</v>
      </c>
      <c r="D10" s="25">
        <f t="shared" si="0"/>
        <v>0</v>
      </c>
      <c r="E10" s="25">
        <f t="shared" si="0"/>
        <v>0</v>
      </c>
      <c r="F10" s="25">
        <f t="shared" si="0"/>
        <v>0</v>
      </c>
      <c r="G10" s="25">
        <f t="shared" si="0"/>
        <v>0</v>
      </c>
      <c r="H10" s="25">
        <f t="shared" si="0"/>
        <v>0</v>
      </c>
    </row>
    <row r="11" spans="1:9" ht="15" thickTop="1" x14ac:dyDescent="0.45">
      <c r="B11" s="6" t="s">
        <v>29</v>
      </c>
      <c r="C11" s="26"/>
      <c r="D11" s="6" t="s">
        <v>27</v>
      </c>
    </row>
    <row r="13" spans="1:9" x14ac:dyDescent="0.45">
      <c r="A13" s="6" t="s">
        <v>18</v>
      </c>
    </row>
    <row r="14" spans="1:9" x14ac:dyDescent="0.45">
      <c r="A14" s="27" t="s">
        <v>25</v>
      </c>
      <c r="B14" s="28" t="s">
        <v>23</v>
      </c>
      <c r="C14" s="28" t="s">
        <v>24</v>
      </c>
      <c r="E14" s="6" t="s">
        <v>32</v>
      </c>
    </row>
    <row r="15" spans="1:9" x14ac:dyDescent="0.45">
      <c r="A15" s="27" t="s">
        <v>19</v>
      </c>
      <c r="B15" s="27"/>
      <c r="C15" s="27"/>
      <c r="E15" s="27"/>
    </row>
    <row r="16" spans="1:9" x14ac:dyDescent="0.45">
      <c r="A16" s="27" t="s">
        <v>20</v>
      </c>
      <c r="B16" s="27"/>
      <c r="C16" s="27"/>
    </row>
    <row r="17" spans="1:5" x14ac:dyDescent="0.45">
      <c r="A17" s="27" t="s">
        <v>21</v>
      </c>
      <c r="B17" s="27"/>
      <c r="C17" s="27"/>
    </row>
    <row r="18" spans="1:5" x14ac:dyDescent="0.45">
      <c r="A18" s="27" t="s">
        <v>26</v>
      </c>
      <c r="B18" s="27"/>
      <c r="C18" s="27"/>
    </row>
    <row r="19" spans="1:5" x14ac:dyDescent="0.45">
      <c r="A19" s="27" t="s">
        <v>36</v>
      </c>
      <c r="B19" s="27"/>
      <c r="C19" s="27"/>
    </row>
    <row r="20" spans="1:5" x14ac:dyDescent="0.45">
      <c r="A20" s="27"/>
      <c r="B20" s="27"/>
      <c r="C20" s="27"/>
    </row>
    <row r="21" spans="1:5" x14ac:dyDescent="0.45">
      <c r="A21" s="27"/>
      <c r="B21" s="27"/>
      <c r="C21" s="27"/>
    </row>
    <row r="22" spans="1:5" x14ac:dyDescent="0.45">
      <c r="A22" s="27"/>
      <c r="B22" s="27"/>
      <c r="C22" s="27"/>
    </row>
    <row r="23" spans="1:5" ht="15" thickBot="1" x14ac:dyDescent="0.5">
      <c r="A23" s="27" t="s">
        <v>28</v>
      </c>
      <c r="B23" s="29">
        <f>SUM(B15:B18)</f>
        <v>0</v>
      </c>
      <c r="C23" s="29">
        <f>SUM(C15:C18)</f>
        <v>0</v>
      </c>
    </row>
    <row r="24" spans="1:5" ht="15" thickTop="1" x14ac:dyDescent="0.45"/>
    <row r="25" spans="1:5" x14ac:dyDescent="0.45">
      <c r="A25" s="6" t="s">
        <v>30</v>
      </c>
    </row>
    <row r="26" spans="1:5" x14ac:dyDescent="0.45">
      <c r="A26" s="27" t="s">
        <v>25</v>
      </c>
      <c r="B26" s="28" t="s">
        <v>23</v>
      </c>
      <c r="C26" s="28" t="s">
        <v>24</v>
      </c>
      <c r="E26" s="6" t="s">
        <v>32</v>
      </c>
    </row>
    <row r="27" spans="1:5" x14ac:dyDescent="0.45">
      <c r="A27" s="27" t="s">
        <v>31</v>
      </c>
      <c r="B27" s="27"/>
      <c r="C27" s="27"/>
      <c r="E27" s="27"/>
    </row>
    <row r="28" spans="1:5" x14ac:dyDescent="0.45">
      <c r="A28" s="27" t="s">
        <v>33</v>
      </c>
      <c r="B28" s="27"/>
      <c r="C28" s="27"/>
    </row>
    <row r="29" spans="1:5" x14ac:dyDescent="0.45">
      <c r="A29" s="27" t="s">
        <v>34</v>
      </c>
      <c r="B29" s="27"/>
      <c r="C29" s="27"/>
    </row>
    <row r="30" spans="1:5" x14ac:dyDescent="0.45">
      <c r="A30" s="27" t="s">
        <v>28</v>
      </c>
      <c r="B30" s="27"/>
      <c r="C30" s="27"/>
    </row>
    <row r="31" spans="1:5" x14ac:dyDescent="0.45">
      <c r="B31" s="30"/>
      <c r="C31" s="3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병하 이</dc:creator>
  <cp:lastModifiedBy>병하 이</cp:lastModifiedBy>
  <dcterms:created xsi:type="dcterms:W3CDTF">2026-05-04T05:01:15Z</dcterms:created>
  <dcterms:modified xsi:type="dcterms:W3CDTF">2026-05-04T05:57:27Z</dcterms:modified>
</cp:coreProperties>
</file>