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Braintree\"/>
    </mc:Choice>
  </mc:AlternateContent>
  <xr:revisionPtr revIDLastSave="0" documentId="8_{2A03C939-0124-43BA-8D68-AE4F32CE179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현금및현금성자산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D26" i="1"/>
  <c r="C21" i="1"/>
  <c r="B9" i="1" s="1"/>
  <c r="E9" i="1" s="1"/>
  <c r="H9" i="1" s="1"/>
  <c r="B21" i="1"/>
  <c r="C16" i="1"/>
  <c r="B16" i="1"/>
  <c r="G10" i="1"/>
  <c r="F10" i="1"/>
  <c r="D10" i="1"/>
  <c r="C10" i="1"/>
  <c r="B8" i="1"/>
  <c r="G3" i="1"/>
  <c r="B10" i="1" l="1"/>
  <c r="E8" i="1"/>
  <c r="H8" i="1" l="1"/>
  <c r="H10" i="1" s="1"/>
  <c r="E10" i="1"/>
</calcChain>
</file>

<file path=xl/sharedStrings.xml><?xml version="1.0" encoding="utf-8"?>
<sst xmlns="http://schemas.openxmlformats.org/spreadsheetml/2006/main" count="48" uniqueCount="37">
  <si>
    <t>삼덕회계법인</t>
  </si>
  <si>
    <t>현금및현금성자산</t>
  </si>
  <si>
    <t>Client</t>
  </si>
  <si>
    <t>Period-end</t>
  </si>
  <si>
    <t>Title</t>
  </si>
  <si>
    <t>Prepared by</t>
  </si>
  <si>
    <t>Date</t>
  </si>
  <si>
    <t>Reviewed By</t>
  </si>
  <si>
    <t>W/P reference</t>
  </si>
  <si>
    <t>Braintree</t>
  </si>
  <si>
    <t>2025.12.31</t>
  </si>
  <si>
    <t>현금및현금성자산 Lead Schedule</t>
  </si>
  <si>
    <t>이병하</t>
  </si>
  <si>
    <t>2024.12.31</t>
  </si>
  <si>
    <t>차변</t>
  </si>
  <si>
    <t>대변</t>
  </si>
  <si>
    <t>PER BOOK</t>
  </si>
  <si>
    <t>AJE</t>
  </si>
  <si>
    <t>RES</t>
  </si>
  <si>
    <t>FINAL</t>
  </si>
  <si>
    <t>단기금융상품</t>
  </si>
  <si>
    <t>회사는 현금및현금성자산을 여러계정을 사용하므로 각 계정들의 합계를 받아옴</t>
  </si>
  <si>
    <t>분개장이나 계정별원장에서 가져올 수 있음</t>
  </si>
  <si>
    <t>현금및현금성자산의 내용&gt;</t>
  </si>
  <si>
    <t>구분</t>
  </si>
  <si>
    <t>당기</t>
  </si>
  <si>
    <t>전기</t>
  </si>
  <si>
    <t>당기와 전기 분개장이나 계정별원장에서 가져올 수 있음</t>
  </si>
  <si>
    <t>보통예금</t>
  </si>
  <si>
    <t>합계</t>
  </si>
  <si>
    <t>단기금융자산의 내용&gt;</t>
  </si>
  <si>
    <t>예금명세&gt;</t>
  </si>
  <si>
    <t>금융기관</t>
  </si>
  <si>
    <t>계좌번호 (수기 입력)</t>
  </si>
  <si>
    <t>당기 기말잔액</t>
  </si>
  <si>
    <t>전기 기말잔액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</si>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</sst>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_-* #,##0.00_-;\-* #,##0.0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0" fontId="2" fillId="0" borderId="0"/>
    <xf numFmtId="0" fontId="8" fillId="0" borderId="0"/>
  </cellStyleXfs>
  <cellXfs count="32">
    <xf numFmtId="0" fontId="0" fillId="0" borderId="0" xfId="0">
      <alignment vertical="center"/>
    </xf>
    <xf numFmtId="176" fontId="3" fillId="2" borderId="0" xfId="2" applyNumberFormat="1" applyFont="1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5" fillId="2" borderId="1" xfId="2" applyFont="1" applyFill="1" applyBorder="1" applyAlignment="1">
      <alignment vertical="center"/>
    </xf>
    <xf numFmtId="0" fontId="3" fillId="2" borderId="0" xfId="2" applyFont="1" applyFill="1" applyAlignment="1">
      <alignment horizontal="right" vertical="center"/>
    </xf>
    <xf numFmtId="177" fontId="3" fillId="2" borderId="0" xfId="2" applyNumberFormat="1" applyFont="1" applyFill="1" applyAlignment="1">
      <alignment horizontal="right" vertical="center"/>
    </xf>
    <xf numFmtId="0" fontId="6" fillId="0" borderId="0" xfId="0" applyFont="1">
      <alignment vertical="center"/>
    </xf>
    <xf numFmtId="176" fontId="7" fillId="2" borderId="2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2" xfId="3" applyFont="1" applyFill="1" applyBorder="1" applyAlignment="1">
      <alignment vertical="center"/>
    </xf>
    <xf numFmtId="0" fontId="7" fillId="2" borderId="2" xfId="2" applyFont="1" applyFill="1" applyBorder="1" applyAlignment="1">
      <alignment horizontal="right" vertical="center"/>
    </xf>
    <xf numFmtId="177" fontId="7" fillId="2" borderId="2" xfId="2" applyNumberFormat="1" applyFont="1" applyFill="1" applyBorder="1" applyAlignment="1">
      <alignment horizontal="right" vertical="center"/>
    </xf>
    <xf numFmtId="176" fontId="3" fillId="2" borderId="1" xfId="2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176" fontId="3" fillId="2" borderId="1" xfId="2" quotePrefix="1" applyNumberFormat="1" applyFont="1" applyFill="1" applyBorder="1" applyAlignment="1">
      <alignment horizontal="right" vertical="center"/>
    </xf>
    <xf numFmtId="0" fontId="3" fillId="2" borderId="1" xfId="2" quotePrefix="1" applyFont="1" applyFill="1" applyBorder="1" applyAlignment="1">
      <alignment horizontal="right" vertical="center"/>
    </xf>
    <xf numFmtId="0" fontId="9" fillId="0" borderId="0" xfId="0" applyFont="1" applyAlignment="1"/>
    <xf numFmtId="0" fontId="10" fillId="0" borderId="0" xfId="0" applyFont="1" applyAlignment="1"/>
    <xf numFmtId="0" fontId="10" fillId="3" borderId="3" xfId="0" applyFont="1" applyFill="1" applyBorder="1" applyAlignment="1">
      <alignment horizontal="centerContinuous"/>
    </xf>
    <xf numFmtId="0" fontId="10" fillId="3" borderId="3" xfId="0" applyFont="1" applyFill="1" applyBorder="1" applyAlignment="1">
      <alignment horizontal="center"/>
    </xf>
    <xf numFmtId="14" fontId="10" fillId="3" borderId="3" xfId="0" applyNumberFormat="1" applyFont="1" applyFill="1" applyBorder="1" applyAlignment="1">
      <alignment horizontal="center"/>
    </xf>
    <xf numFmtId="41" fontId="9" fillId="0" borderId="0" xfId="1" applyFont="1" applyAlignment="1"/>
    <xf numFmtId="41" fontId="9" fillId="2" borderId="0" xfId="1" applyFont="1" applyFill="1" applyAlignment="1"/>
    <xf numFmtId="41" fontId="6" fillId="0" borderId="4" xfId="0" applyNumberFormat="1" applyFont="1" applyBorder="1">
      <alignment vertical="center"/>
    </xf>
    <xf numFmtId="0" fontId="6" fillId="2" borderId="0" xfId="0" applyFont="1" applyFill="1">
      <alignment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3" fontId="6" fillId="4" borderId="0" xfId="0" applyNumberFormat="1" applyFont="1" applyFill="1">
      <alignment vertical="center"/>
    </xf>
    <xf numFmtId="3" fontId="6" fillId="4" borderId="4" xfId="0" applyNumberFormat="1" applyFont="1" applyFill="1" applyBorder="1">
      <alignment vertical="center"/>
    </xf>
    <xf numFmtId="3" fontId="0" fillId="0" borderId="0" xfId="0" applyNumberFormat="1" applyAlignment="1"/>
  </cellXfs>
  <cellStyles count="4">
    <cellStyle name="쉼표 [0]" xfId="1" builtinId="6"/>
    <cellStyle name="표준" xfId="0" builtinId="0"/>
    <cellStyle name="표준 5" xfId="3" xr:uid="{00000000-0005-0000-0000-000003000000}"/>
    <cellStyle name="표준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ySplit="6" topLeftCell="A7" activePane="bottomLeft" state="frozen"/>
      <selection pane="bottomLeft" activeCell="B26" sqref="B26"/>
    </sheetView>
  </sheetViews>
  <sheetFormatPr defaultRowHeight="14.5" x14ac:dyDescent="0.45"/>
  <cols>
    <col min="1" max="1" width="18.25" style="6" bestFit="1" customWidth="1"/>
    <col min="2" max="2" width="70.5" style="6" bestFit="1" customWidth="1"/>
    <col min="3" max="3" width="18.5" style="6" bestFit="1" customWidth="1"/>
    <col min="4" max="4" width="12.6640625" style="6" bestFit="1" customWidth="1"/>
    <col min="5" max="5" width="9.6640625" style="6" bestFit="1" customWidth="1"/>
    <col min="6" max="6" width="10.5" style="6" bestFit="1" customWidth="1"/>
    <col min="7" max="7" width="9" style="6" bestFit="1" customWidth="1"/>
    <col min="8" max="8" width="9.6640625" style="6" bestFit="1" customWidth="1"/>
    <col min="9" max="9" width="12.9140625" style="6" bestFit="1" customWidth="1"/>
    <col min="10" max="10" width="8.6640625" style="6" customWidth="1"/>
    <col min="11" max="16384" width="8.6640625" style="6"/>
  </cols>
  <sheetData>
    <row r="1" spans="1:9" ht="14.4" customHeight="1" thickBot="1" x14ac:dyDescent="0.5">
      <c r="A1" s="1" t="s">
        <v>0</v>
      </c>
      <c r="B1" s="2"/>
      <c r="C1" s="3"/>
      <c r="D1" s="2"/>
      <c r="E1" s="2"/>
      <c r="F1" s="2"/>
      <c r="G1" s="2"/>
      <c r="H1" s="4"/>
      <c r="I1" s="5" t="s">
        <v>1</v>
      </c>
    </row>
    <row r="2" spans="1:9" ht="14.4" customHeight="1" x14ac:dyDescent="0.45">
      <c r="A2" s="7" t="s">
        <v>2</v>
      </c>
      <c r="B2" s="8" t="s">
        <v>3</v>
      </c>
      <c r="C2" s="9" t="s">
        <v>4</v>
      </c>
      <c r="D2" s="7" t="s">
        <v>5</v>
      </c>
      <c r="E2" s="8" t="s">
        <v>6</v>
      </c>
      <c r="F2" s="8" t="s">
        <v>7</v>
      </c>
      <c r="G2" s="8" t="s">
        <v>6</v>
      </c>
      <c r="H2" s="10"/>
      <c r="I2" s="11" t="s">
        <v>8</v>
      </c>
    </row>
    <row r="3" spans="1:9" ht="14.4" customHeight="1" thickBot="1" x14ac:dyDescent="0.5">
      <c r="A3" s="12" t="s">
        <v>9</v>
      </c>
      <c r="B3" s="13" t="s">
        <v>10</v>
      </c>
      <c r="C3" s="14" t="s">
        <v>11</v>
      </c>
      <c r="D3" s="12" t="s">
        <v>12</v>
      </c>
      <c r="E3" s="13">
        <v>46054</v>
      </c>
      <c r="F3" s="15"/>
      <c r="G3" s="13">
        <f>E3</f>
        <v>46054</v>
      </c>
      <c r="H3" s="16"/>
      <c r="I3" s="17"/>
    </row>
    <row r="4" spans="1:9" s="18" customFormat="1" x14ac:dyDescent="0.4"/>
    <row r="5" spans="1:9" s="18" customFormat="1" x14ac:dyDescent="0.4"/>
    <row r="6" spans="1:9" s="19" customFormat="1" x14ac:dyDescent="0.4">
      <c r="E6" s="20" t="s">
        <v>10</v>
      </c>
      <c r="F6" s="20"/>
      <c r="G6" s="20"/>
      <c r="H6" s="20"/>
    </row>
    <row r="7" spans="1:9" s="19" customFormat="1" x14ac:dyDescent="0.4">
      <c r="A7" s="21"/>
      <c r="B7" s="21" t="s">
        <v>13</v>
      </c>
      <c r="C7" s="22" t="s">
        <v>14</v>
      </c>
      <c r="D7" s="21" t="s">
        <v>15</v>
      </c>
      <c r="E7" s="21" t="s">
        <v>16</v>
      </c>
      <c r="F7" s="21" t="s">
        <v>17</v>
      </c>
      <c r="G7" s="21" t="s">
        <v>18</v>
      </c>
      <c r="H7" s="21" t="s">
        <v>19</v>
      </c>
    </row>
    <row r="8" spans="1:9" s="18" customFormat="1" x14ac:dyDescent="0.4">
      <c r="A8" s="23" t="s">
        <v>1</v>
      </c>
      <c r="B8" s="23">
        <f>C16</f>
        <v>231689</v>
      </c>
      <c r="C8" s="24">
        <v>20944678915</v>
      </c>
      <c r="D8" s="24">
        <v>20944804685</v>
      </c>
      <c r="E8" s="23">
        <f>B8+C8-D8</f>
        <v>105919</v>
      </c>
      <c r="F8" s="23"/>
      <c r="G8" s="23"/>
      <c r="H8" s="23">
        <f>E8+F8+G8</f>
        <v>105919</v>
      </c>
    </row>
    <row r="9" spans="1:9" s="18" customFormat="1" x14ac:dyDescent="0.4">
      <c r="A9" s="23" t="s">
        <v>20</v>
      </c>
      <c r="B9" s="23">
        <f>C21</f>
        <v>0</v>
      </c>
      <c r="C9" s="24">
        <v>0</v>
      </c>
      <c r="D9" s="24">
        <v>0</v>
      </c>
      <c r="E9" s="23">
        <f>B9+C9-D9</f>
        <v>0</v>
      </c>
      <c r="F9" s="23"/>
      <c r="G9" s="23"/>
      <c r="H9" s="23">
        <f>E9+F9+G9</f>
        <v>0</v>
      </c>
    </row>
    <row r="10" spans="1:9" ht="15" customHeight="1" thickBot="1" x14ac:dyDescent="0.5">
      <c r="B10" s="25">
        <f t="shared" ref="B10:H10" si="0">SUM(B8:B9)</f>
        <v>231689</v>
      </c>
      <c r="C10" s="25">
        <f t="shared" si="0"/>
        <v>20944678915</v>
      </c>
      <c r="D10" s="25">
        <f t="shared" si="0"/>
        <v>20944804685</v>
      </c>
      <c r="E10" s="25">
        <f t="shared" si="0"/>
        <v>105919</v>
      </c>
      <c r="F10" s="25">
        <f t="shared" si="0"/>
        <v>0</v>
      </c>
      <c r="G10" s="25">
        <f t="shared" si="0"/>
        <v>0</v>
      </c>
      <c r="H10" s="25">
        <f t="shared" si="0"/>
        <v>105919</v>
      </c>
    </row>
    <row r="11" spans="1:9" ht="15" customHeight="1" thickTop="1" x14ac:dyDescent="0.45">
      <c r="B11" s="6" t="s">
        <v>21</v>
      </c>
      <c r="C11" s="26"/>
      <c r="D11" s="6" t="s">
        <v>22</v>
      </c>
    </row>
    <row r="13" spans="1:9" x14ac:dyDescent="0.45">
      <c r="A13" s="6" t="s">
        <v>23</v>
      </c>
    </row>
    <row r="14" spans="1:9" x14ac:dyDescent="0.45">
      <c r="A14" s="27" t="s">
        <v>24</v>
      </c>
      <c r="B14" s="28" t="s">
        <v>25</v>
      </c>
      <c r="C14" s="28" t="s">
        <v>26</v>
      </c>
      <c r="E14" s="6" t="s">
        <v>27</v>
      </c>
    </row>
    <row r="15" spans="1:9" x14ac:dyDescent="0.45">
      <c r="A15" s="27" t="s">
        <v>28</v>
      </c>
      <c r="B15" s="29">
        <v>105919</v>
      </c>
      <c r="C15" s="29">
        <v>231689</v>
      </c>
      <c r="E15" s="27"/>
    </row>
    <row r="16" spans="1:9" x14ac:dyDescent="0.45">
      <c r="A16" s="27" t="s">
        <v>29</v>
      </c>
      <c r="B16" s="30">
        <f>SUM(B15:B15)</f>
        <v>105919</v>
      </c>
      <c r="C16" s="30">
        <f>SUM(C15:C15)</f>
        <v>231689</v>
      </c>
    </row>
    <row r="18" spans="1:6" x14ac:dyDescent="0.45">
      <c r="A18" s="6" t="s">
        <v>30</v>
      </c>
    </row>
    <row r="19" spans="1:6" x14ac:dyDescent="0.45">
      <c r="A19" s="27" t="s">
        <v>24</v>
      </c>
      <c r="B19" s="28" t="s">
        <v>25</v>
      </c>
      <c r="C19" s="28" t="s">
        <v>26</v>
      </c>
      <c r="E19" s="6" t="s">
        <v>27</v>
      </c>
    </row>
    <row r="20" spans="1:6" x14ac:dyDescent="0.45">
      <c r="A20" s="27"/>
      <c r="B20" s="27"/>
      <c r="C20" s="27"/>
      <c r="E20" s="27"/>
    </row>
    <row r="21" spans="1:6" x14ac:dyDescent="0.45">
      <c r="A21" s="27" t="s">
        <v>29</v>
      </c>
      <c r="B21" s="29">
        <f>SUM(B20:B20)</f>
        <v>0</v>
      </c>
      <c r="C21" s="29">
        <f>SUM(C20:C20)</f>
        <v>0</v>
      </c>
    </row>
    <row r="23" spans="1:6" ht="15" customHeight="1" thickBot="1" x14ac:dyDescent="0.5">
      <c r="A23" t="s">
        <v>31</v>
      </c>
    </row>
    <row r="24" spans="1:6" ht="15" customHeight="1" thickTop="1" x14ac:dyDescent="0.45">
      <c r="A24" t="s">
        <v>24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</row>
    <row r="25" spans="1:6" ht="17" x14ac:dyDescent="0.45">
      <c r="A25" t="s">
        <v>28</v>
      </c>
      <c r="D25" s="31">
        <v>105919</v>
      </c>
      <c r="E25" s="31">
        <v>231689</v>
      </c>
    </row>
    <row r="26" spans="1:6" ht="17" x14ac:dyDescent="0.45">
      <c r="A26" t="s">
        <v>29</v>
      </c>
      <c r="D26" s="31">
        <f>SUM(D25:D25)</f>
        <v>105919</v>
      </c>
      <c r="E26" s="31">
        <f>SUM(E25:E25)</f>
        <v>231689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현금및현금성자산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2026-05-04T05:01:15Z</dcterms:created>
  <dcterms:modified xsi:type="dcterms:W3CDTF">2026-05-04T07:56:29Z</dcterms:modified>
</cp:coreProperties>
</file>