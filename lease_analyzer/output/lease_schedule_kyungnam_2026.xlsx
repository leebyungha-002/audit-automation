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lease_analyzer\output\"/>
    </mc:Choice>
  </mc:AlternateContent>
  <xr:revisionPtr revIDLastSave="0" documentId="13_ncr:1_{BFEDE832-24EB-41E9-8E38-A07E0CBE9259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계약별 요약" sheetId="1" r:id="rId1"/>
    <sheet name="80.0_192호3373 업무용차량(의약사업본부  최봉준" sheetId="2" r:id="rId2"/>
    <sheet name="89.0_222호2042 업무용차량(아산공장  임원)" sheetId="3" r:id="rId3"/>
    <sheet name="100.0_대전사무소" sheetId="4" r:id="rId4"/>
    <sheet name="102.0_189호 1617 업무용차량(임원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J10" i="2"/>
  <c r="J8" i="2"/>
</calcChain>
</file>

<file path=xl/sharedStrings.xml><?xml version="1.0" encoding="utf-8"?>
<sst xmlns="http://schemas.openxmlformats.org/spreadsheetml/2006/main" count="418" uniqueCount="152">
  <si>
    <t>리스계약번호</t>
  </si>
  <si>
    <t>원가구분</t>
  </si>
  <si>
    <t>리스개시일</t>
  </si>
  <si>
    <t>리스종료일</t>
  </si>
  <si>
    <t>리스기간(월)</t>
  </si>
  <si>
    <t>정기리스료</t>
  </si>
  <si>
    <t>지급주기</t>
  </si>
  <si>
    <t>지급시점</t>
  </si>
  <si>
    <t>할인율(연)</t>
  </si>
  <si>
    <t>최초 리스부채</t>
  </si>
  <si>
    <t>사용권자산(최초)</t>
  </si>
  <si>
    <t>2026년 이자비용</t>
  </si>
  <si>
    <t>2026년 감가상각비</t>
  </si>
  <si>
    <t>2026년 리스료지급</t>
  </si>
  <si>
    <t>2026년말 리스부채</t>
  </si>
  <si>
    <t>유동성대체대상액</t>
  </si>
  <si>
    <t>비유동성리스부채잔액</t>
  </si>
  <si>
    <t>2026년말 사용권자산</t>
  </si>
  <si>
    <t>사용권자산 상각누계</t>
  </si>
  <si>
    <t>지급보증금</t>
  </si>
  <si>
    <t>보증금PV</t>
  </si>
  <si>
    <t>보증금할인차금</t>
  </si>
  <si>
    <t>80.0</t>
  </si>
  <si>
    <t>판관비</t>
  </si>
  <si>
    <t>월</t>
  </si>
  <si>
    <t>기말</t>
  </si>
  <si>
    <t>89.0</t>
  </si>
  <si>
    <t>제조원가</t>
  </si>
  <si>
    <t>100.0</t>
  </si>
  <si>
    <t>102.0</t>
  </si>
  <si>
    <t>판관비 소계</t>
  </si>
  <si>
    <t>제조원가 소계</t>
  </si>
  <si>
    <t>합  계</t>
  </si>
  <si>
    <t>▶  리스계약 80.0  /  [192호3373] 업무용차량(의약사업본부 : 최봉준)</t>
  </si>
  <si>
    <t>개시일</t>
  </si>
  <si>
    <t>종료일</t>
  </si>
  <si>
    <t>기간(월)</t>
  </si>
  <si>
    <t>■  리스부채 상각 연간 요약</t>
  </si>
  <si>
    <t>연도</t>
  </si>
  <si>
    <t>기초리스부채잔액</t>
  </si>
  <si>
    <t>이자비용</t>
  </si>
  <si>
    <t>현금지급액</t>
  </si>
  <si>
    <t>원금상환액</t>
  </si>
  <si>
    <t>기말리스부채잔액</t>
  </si>
  <si>
    <t>유동성리스부채</t>
  </si>
  <si>
    <t>비유동성리스부채</t>
  </si>
  <si>
    <t>2022</t>
  </si>
  <si>
    <t>2023</t>
  </si>
  <si>
    <t>2024</t>
  </si>
  <si>
    <t>2025</t>
  </si>
  <si>
    <t>2026</t>
  </si>
  <si>
    <t>■  사용권자산 감가상각 연간 요약</t>
  </si>
  <si>
    <t>취득원가</t>
  </si>
  <si>
    <t>감가상각비(해당연도)</t>
  </si>
  <si>
    <t>상각누계액</t>
  </si>
  <si>
    <t>기말잔액</t>
  </si>
  <si>
    <t>■  월별 상각 스케줄 (상세)</t>
  </si>
  <si>
    <t>연월</t>
  </si>
  <si>
    <t>기초부채잔액</t>
  </si>
  <si>
    <t>기말부채잔액</t>
  </si>
  <si>
    <t>기초자산잔액</t>
  </si>
  <si>
    <t>감가상각비</t>
  </si>
  <si>
    <t>기말자산잔액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</si>
  <si>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</si>
  <si>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</si>
  <si>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</si>
  <si>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</si>
  <si>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</si>
  <si>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</si>
  <si>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</si>
  <si>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</si>
  <si>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</si>
  <si>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</si>
  <si>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</si>
  <si>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</si>
  <si>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</si>
  <si>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</si>
  <si>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</si>
  <si>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</si>
  <si>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</si>
  <si>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</si>
  <si>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</si>
  <si>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</si>
  <si>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</si>
  <si>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</si>
  <si>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</si>
  <si>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</si>
  <si>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</si>
  <si>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</si>
  <si>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</si>
  <si>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</si>
  <si>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</si>
  <si>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</si>
  <si>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</si>
  <si>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</si>
  <si>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</si>
  <si>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</si>
  <si>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</si>
  <si>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</si>
  <si>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</si>
  <si>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</si>
  <si>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</si>
  <si>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</si>
  <si>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</si>
  <si>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</si>
  <si>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</si>
  <si>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</si>
  <si>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</si>
  <si>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</si>
  <si>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</si>
  <si>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</si>
  <si>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▶  리스계약 89.0  /  [222호2042] 업무용차량(아산공장 : 임원)</t>
  </si>
  <si>
    <t>2027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</si>
  <si>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</si>
  <si>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</si>
  <si>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</si>
  <si>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</si>
  <si>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</si>
  <si>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</si>
  <si>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</si>
  <si>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</si>
  <si>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</si>
  <si>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</si>
  <si>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</si>
  <si>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</si>
  <si>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▶  리스계약 100.0  /  대전사무소</t>
  </si>
  <si>
    <t>현가할인차금</t>
  </si>
  <si>
    <t>■  보증금 현재가치할인차금 상각 연간 요약</t>
  </si>
  <si>
    <t>기초보증금PV</t>
  </si>
  <si>
    <t>기초현가할인차금</t>
  </si>
  <si>
    <t>당기이자수익</t>
  </si>
  <si>
    <t>기말보증금PV</t>
  </si>
  <si>
    <t>기말현가할인차금</t>
  </si>
  <si>
    <t>보증금_기초PV</t>
  </si>
  <si>
    <t>보증금_이자수익</t>
  </si>
  <si>
    <t>보증금_기말PV</t>
  </si>
  <si>
    <t>▶  리스계약 102.0  /  [189호 1617] 업무용차량(임원)</t>
  </si>
  <si>
    <t>2028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</si>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</sst>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D6E4F0"/>
      </patternFill>
    </fill>
    <fill>
      <patternFill patternType="solid">
        <fgColor rgb="FFEBF3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7E57C2"/>
      </patternFill>
    </fill>
    <fill>
      <patternFill patternType="solid">
        <fgColor rgb="FFF3E5F5"/>
      </patternFill>
    </fill>
    <fill>
      <patternFill patternType="solid">
        <fgColor rgb="FFEDE7F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right" vertical="center"/>
    </xf>
    <xf numFmtId="3" fontId="0" fillId="7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right" vertical="center"/>
    </xf>
    <xf numFmtId="3" fontId="1" fillId="9" borderId="2" xfId="0" applyNumberFormat="1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right" vertical="center"/>
    </xf>
    <xf numFmtId="3" fontId="0" fillId="12" borderId="2" xfId="0" applyNumberForma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0" fillId="0" borderId="0" xfId="0"/>
    <xf numFmtId="3" fontId="0" fillId="0" borderId="3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workbookViewId="0">
      <selection activeCell="K22" sqref="K22"/>
    </sheetView>
  </sheetViews>
  <sheetFormatPr defaultRowHeight="17" x14ac:dyDescent="0.45"/>
  <cols>
    <col min="1" max="1" width="18" customWidth="1"/>
    <col min="2" max="4" width="12" customWidth="1"/>
    <col min="5" max="5" width="10" customWidth="1"/>
    <col min="6" max="6" width="14" customWidth="1"/>
    <col min="7" max="8" width="8" customWidth="1"/>
    <col min="9" max="9" width="10" customWidth="1"/>
    <col min="10" max="11" width="16" customWidth="1"/>
    <col min="12" max="19" width="18" customWidth="1"/>
    <col min="20" max="22" width="14" customWidth="1"/>
  </cols>
  <sheetData>
    <row r="1" spans="1:22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s="2" t="s">
        <v>23</v>
      </c>
      <c r="C2" s="3">
        <v>44769</v>
      </c>
      <c r="D2" s="3">
        <v>46229</v>
      </c>
      <c r="E2">
        <v>48</v>
      </c>
      <c r="F2" s="4">
        <v>816000</v>
      </c>
      <c r="G2" t="s">
        <v>24</v>
      </c>
      <c r="H2" t="s">
        <v>25</v>
      </c>
      <c r="I2" s="5">
        <v>5.1999999999999991E-2</v>
      </c>
      <c r="J2" s="4">
        <v>35377411</v>
      </c>
      <c r="K2" s="4">
        <v>35377411</v>
      </c>
      <c r="L2" s="4">
        <v>71732</v>
      </c>
      <c r="M2" s="4">
        <v>4422176</v>
      </c>
      <c r="N2" s="4">
        <v>4896000</v>
      </c>
      <c r="O2" s="4">
        <v>0</v>
      </c>
      <c r="P2" s="4">
        <v>0</v>
      </c>
      <c r="Q2" s="4">
        <v>0</v>
      </c>
      <c r="R2" s="4">
        <v>0</v>
      </c>
      <c r="S2" s="4">
        <v>35377411</v>
      </c>
    </row>
    <row r="3" spans="1:22" x14ac:dyDescent="0.45">
      <c r="A3" t="s">
        <v>26</v>
      </c>
      <c r="B3" s="2" t="s">
        <v>27</v>
      </c>
      <c r="C3" s="3">
        <v>45120</v>
      </c>
      <c r="D3" s="3">
        <v>46580</v>
      </c>
      <c r="E3">
        <v>48</v>
      </c>
      <c r="F3" s="4">
        <v>576000</v>
      </c>
      <c r="G3" t="s">
        <v>24</v>
      </c>
      <c r="H3" t="s">
        <v>25</v>
      </c>
      <c r="I3" s="5">
        <v>6.1899999999999997E-2</v>
      </c>
      <c r="J3" s="4">
        <v>24516196</v>
      </c>
      <c r="K3" s="4">
        <v>24516196</v>
      </c>
      <c r="L3" s="4">
        <v>418212</v>
      </c>
      <c r="M3" s="4">
        <v>6129049</v>
      </c>
      <c r="N3" s="4">
        <v>6912000</v>
      </c>
      <c r="O3" s="4">
        <v>3396111</v>
      </c>
      <c r="P3" s="4">
        <v>3396111</v>
      </c>
      <c r="Q3" s="4">
        <v>0</v>
      </c>
      <c r="R3" s="4">
        <v>3064525</v>
      </c>
      <c r="S3" s="4">
        <v>21451672</v>
      </c>
    </row>
    <row r="4" spans="1:22" x14ac:dyDescent="0.45">
      <c r="A4" t="s">
        <v>28</v>
      </c>
      <c r="B4" s="2" t="s">
        <v>23</v>
      </c>
      <c r="C4" s="3">
        <v>45505</v>
      </c>
      <c r="D4" s="3">
        <v>46234</v>
      </c>
      <c r="E4">
        <v>24</v>
      </c>
      <c r="F4" s="4">
        <v>759000</v>
      </c>
      <c r="G4" t="s">
        <v>24</v>
      </c>
      <c r="H4" t="s">
        <v>25</v>
      </c>
      <c r="I4" s="5">
        <v>4.2900000000000001E-2</v>
      </c>
      <c r="J4" s="4">
        <v>17441255</v>
      </c>
      <c r="K4" s="4">
        <v>19052824</v>
      </c>
      <c r="L4" s="4">
        <v>73745</v>
      </c>
      <c r="M4" s="4">
        <v>5557074</v>
      </c>
      <c r="N4" s="4">
        <v>5313000</v>
      </c>
      <c r="O4" s="4">
        <v>0</v>
      </c>
      <c r="P4" s="4">
        <v>0</v>
      </c>
      <c r="Q4" s="4">
        <v>0</v>
      </c>
      <c r="R4" s="4">
        <v>0</v>
      </c>
      <c r="S4" s="4">
        <v>19052824</v>
      </c>
      <c r="T4" s="4">
        <v>20000000</v>
      </c>
      <c r="U4" s="4">
        <v>18388430</v>
      </c>
      <c r="V4" s="4">
        <v>1611570</v>
      </c>
    </row>
    <row r="5" spans="1:22" x14ac:dyDescent="0.45">
      <c r="A5" t="s">
        <v>29</v>
      </c>
      <c r="B5" s="2" t="s">
        <v>23</v>
      </c>
      <c r="C5" s="3">
        <v>45544</v>
      </c>
      <c r="D5" s="3">
        <v>47004</v>
      </c>
      <c r="E5">
        <v>48</v>
      </c>
      <c r="F5" s="4">
        <v>1578000</v>
      </c>
      <c r="G5" t="s">
        <v>24</v>
      </c>
      <c r="H5" t="s">
        <v>25</v>
      </c>
      <c r="I5" s="5">
        <v>4.8699999999999993E-2</v>
      </c>
      <c r="J5" s="4">
        <v>68839770</v>
      </c>
      <c r="K5" s="4">
        <v>68839770</v>
      </c>
      <c r="L5" s="4">
        <v>1886015</v>
      </c>
      <c r="M5" s="4">
        <v>17209943</v>
      </c>
      <c r="N5" s="4">
        <v>18936000</v>
      </c>
      <c r="O5" s="4">
        <v>30281717</v>
      </c>
      <c r="P5" s="4">
        <v>17880319</v>
      </c>
      <c r="Q5" s="4">
        <v>12401398</v>
      </c>
      <c r="R5" s="4">
        <v>28683238</v>
      </c>
      <c r="S5" s="4">
        <v>40156533</v>
      </c>
    </row>
    <row r="7" spans="1:22" x14ac:dyDescent="0.45">
      <c r="A7" s="6" t="s">
        <v>30</v>
      </c>
      <c r="B7" s="6"/>
      <c r="C7" s="6"/>
      <c r="D7" s="6"/>
      <c r="E7" s="6"/>
      <c r="F7" s="7">
        <v>3153000</v>
      </c>
      <c r="G7" s="6"/>
      <c r="H7" s="6"/>
      <c r="I7" s="6"/>
      <c r="J7" s="7">
        <v>121658436</v>
      </c>
      <c r="K7" s="7">
        <v>123270005</v>
      </c>
      <c r="L7" s="7">
        <v>2031492</v>
      </c>
      <c r="M7" s="7">
        <v>27189193</v>
      </c>
      <c r="N7" s="7">
        <v>29145000</v>
      </c>
      <c r="O7" s="7">
        <v>30281717</v>
      </c>
      <c r="P7" s="7">
        <v>17880319</v>
      </c>
      <c r="Q7" s="7">
        <v>12401398</v>
      </c>
      <c r="R7" s="7">
        <v>28683238</v>
      </c>
      <c r="S7" s="7">
        <v>94586768</v>
      </c>
      <c r="T7" s="7">
        <v>20000000</v>
      </c>
      <c r="U7" s="7">
        <v>18388430</v>
      </c>
      <c r="V7" s="7">
        <v>1611570</v>
      </c>
    </row>
    <row r="8" spans="1:22" x14ac:dyDescent="0.45">
      <c r="A8" s="8" t="s">
        <v>31</v>
      </c>
      <c r="B8" s="8"/>
      <c r="C8" s="8"/>
      <c r="D8" s="8"/>
      <c r="E8" s="8"/>
      <c r="F8" s="9">
        <v>576000</v>
      </c>
      <c r="G8" s="8"/>
      <c r="H8" s="8"/>
      <c r="I8" s="8"/>
      <c r="J8" s="9">
        <v>24516196</v>
      </c>
      <c r="K8" s="9">
        <v>24516196</v>
      </c>
      <c r="L8" s="9">
        <v>418212</v>
      </c>
      <c r="M8" s="9">
        <v>6129049</v>
      </c>
      <c r="N8" s="9">
        <v>6912000</v>
      </c>
      <c r="O8" s="9">
        <v>3396111</v>
      </c>
      <c r="P8" s="9">
        <v>3396111</v>
      </c>
      <c r="Q8" s="9">
        <v>0</v>
      </c>
      <c r="R8" s="9">
        <v>3064525</v>
      </c>
      <c r="S8" s="9">
        <v>21451672</v>
      </c>
      <c r="T8" s="10"/>
      <c r="U8" s="10"/>
      <c r="V8" s="10"/>
    </row>
    <row r="9" spans="1:22" x14ac:dyDescent="0.45">
      <c r="A9" s="11" t="s">
        <v>32</v>
      </c>
      <c r="B9" s="11"/>
      <c r="C9" s="11"/>
      <c r="D9" s="11"/>
      <c r="E9" s="11"/>
      <c r="F9" s="12">
        <v>3729000</v>
      </c>
      <c r="G9" s="11"/>
      <c r="H9" s="11"/>
      <c r="I9" s="11"/>
      <c r="J9" s="12">
        <v>146174632</v>
      </c>
      <c r="K9" s="12">
        <v>147786201</v>
      </c>
      <c r="L9" s="12">
        <v>2449704</v>
      </c>
      <c r="M9" s="12">
        <v>33318242</v>
      </c>
      <c r="N9" s="12">
        <v>36057000</v>
      </c>
      <c r="O9" s="12">
        <v>33677828</v>
      </c>
      <c r="P9" s="12">
        <v>21276430</v>
      </c>
      <c r="Q9" s="12">
        <v>12401398</v>
      </c>
      <c r="R9" s="12">
        <v>31747763</v>
      </c>
      <c r="S9" s="12">
        <v>116038440</v>
      </c>
      <c r="T9" s="12">
        <v>20000000</v>
      </c>
      <c r="U9" s="12">
        <v>18388430</v>
      </c>
      <c r="V9" s="12">
        <v>1611570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K5" sqref="K5"/>
    </sheetView>
  </sheetViews>
  <sheetFormatPr defaultRowHeight="17" x14ac:dyDescent="0.45"/>
  <cols>
    <col min="1" max="1" width="10.75" bestFit="1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1" ht="22" customHeight="1" x14ac:dyDescent="0.45">
      <c r="A1" s="30" t="s">
        <v>33</v>
      </c>
      <c r="B1" s="31"/>
      <c r="C1" s="31"/>
      <c r="D1" s="31"/>
      <c r="E1" s="31"/>
      <c r="F1" s="31"/>
      <c r="G1" s="31"/>
      <c r="H1" s="31"/>
      <c r="I1" s="31"/>
    </row>
    <row r="2" spans="1:11" x14ac:dyDescent="0.45">
      <c r="A2" s="13" t="s">
        <v>34</v>
      </c>
      <c r="B2" s="13" t="s">
        <v>35</v>
      </c>
      <c r="C2" s="13" t="s">
        <v>36</v>
      </c>
      <c r="D2" s="13" t="s">
        <v>5</v>
      </c>
      <c r="E2" s="13" t="s">
        <v>6</v>
      </c>
      <c r="F2" s="13" t="s">
        <v>7</v>
      </c>
      <c r="G2" s="13" t="s">
        <v>8</v>
      </c>
    </row>
    <row r="3" spans="1:11" x14ac:dyDescent="0.45">
      <c r="A3" s="14">
        <v>44769</v>
      </c>
      <c r="B3" s="14">
        <v>46229</v>
      </c>
      <c r="C3" s="15">
        <v>48</v>
      </c>
      <c r="D3" s="16">
        <v>816000</v>
      </c>
      <c r="E3" s="15" t="s">
        <v>24</v>
      </c>
      <c r="F3" s="15" t="s">
        <v>25</v>
      </c>
      <c r="G3" s="17">
        <v>5.1999999999999991E-2</v>
      </c>
    </row>
    <row r="5" spans="1:11" ht="22" customHeight="1" x14ac:dyDescent="0.45">
      <c r="A5" s="30" t="s">
        <v>37</v>
      </c>
      <c r="B5" s="31"/>
      <c r="C5" s="31"/>
      <c r="D5" s="31"/>
      <c r="E5" s="31"/>
      <c r="F5" s="31"/>
      <c r="G5" s="31"/>
      <c r="H5" s="31"/>
    </row>
    <row r="6" spans="1:11" x14ac:dyDescent="0.45">
      <c r="A6" s="18" t="s">
        <v>38</v>
      </c>
      <c r="B6" s="18" t="s">
        <v>39</v>
      </c>
      <c r="C6" s="18" t="s">
        <v>40</v>
      </c>
      <c r="D6" s="18" t="s">
        <v>41</v>
      </c>
      <c r="E6" s="18" t="s">
        <v>42</v>
      </c>
      <c r="F6" s="18" t="s">
        <v>43</v>
      </c>
      <c r="G6" s="18" t="s">
        <v>44</v>
      </c>
      <c r="H6" s="18" t="s">
        <v>45</v>
      </c>
    </row>
    <row r="7" spans="1:11" x14ac:dyDescent="0.45">
      <c r="A7" s="15" t="s">
        <v>46</v>
      </c>
      <c r="B7" s="19">
        <v>35377411</v>
      </c>
      <c r="C7" s="19">
        <v>856047</v>
      </c>
      <c r="D7" s="19">
        <v>4896000</v>
      </c>
      <c r="E7" s="19">
        <v>4039953</v>
      </c>
      <c r="F7" s="19">
        <v>31337458</v>
      </c>
      <c r="G7" s="19">
        <v>8393692</v>
      </c>
      <c r="H7" s="19">
        <v>22943765</v>
      </c>
      <c r="J7" s="32">
        <v>3264000</v>
      </c>
    </row>
    <row r="8" spans="1:11" x14ac:dyDescent="0.45">
      <c r="A8" s="15" t="s">
        <v>47</v>
      </c>
      <c r="B8" s="19">
        <v>31337458</v>
      </c>
      <c r="C8" s="19">
        <v>1398308</v>
      </c>
      <c r="D8" s="19">
        <v>9792000</v>
      </c>
      <c r="E8" s="19">
        <v>8393692</v>
      </c>
      <c r="F8" s="19">
        <v>22943765</v>
      </c>
      <c r="G8" s="19">
        <v>8830164</v>
      </c>
      <c r="H8" s="19">
        <v>14113601</v>
      </c>
      <c r="J8" s="4">
        <f>J7-D7</f>
        <v>-1632000</v>
      </c>
    </row>
    <row r="9" spans="1:11" x14ac:dyDescent="0.45">
      <c r="A9" s="15" t="s">
        <v>48</v>
      </c>
      <c r="B9" s="19">
        <v>22943765</v>
      </c>
      <c r="C9" s="19">
        <v>961836</v>
      </c>
      <c r="D9" s="19">
        <v>9792000</v>
      </c>
      <c r="E9" s="19">
        <v>8830164</v>
      </c>
      <c r="F9" s="19">
        <v>14113601</v>
      </c>
      <c r="G9" s="19">
        <v>9289333</v>
      </c>
      <c r="H9" s="19">
        <v>4824268</v>
      </c>
    </row>
    <row r="10" spans="1:11" x14ac:dyDescent="0.45">
      <c r="A10" s="15" t="s">
        <v>49</v>
      </c>
      <c r="B10" s="19">
        <v>14113601</v>
      </c>
      <c r="C10" s="19">
        <v>502667</v>
      </c>
      <c r="D10" s="19">
        <v>9792000</v>
      </c>
      <c r="E10" s="19">
        <v>9289333</v>
      </c>
      <c r="F10" s="19">
        <v>4824268</v>
      </c>
      <c r="G10" s="19">
        <v>4824268</v>
      </c>
      <c r="H10" s="19">
        <v>0</v>
      </c>
      <c r="J10">
        <f>D7/D3</f>
        <v>6</v>
      </c>
      <c r="K10">
        <f>D3*5</f>
        <v>4080000</v>
      </c>
    </row>
    <row r="11" spans="1:11" x14ac:dyDescent="0.45">
      <c r="A11" s="15" t="s">
        <v>50</v>
      </c>
      <c r="B11" s="19">
        <v>4824268</v>
      </c>
      <c r="C11" s="19">
        <v>71732</v>
      </c>
      <c r="D11" s="19">
        <v>4896000</v>
      </c>
      <c r="E11" s="19">
        <v>4824268</v>
      </c>
      <c r="F11" s="19">
        <v>0</v>
      </c>
      <c r="G11" s="20"/>
      <c r="H11" s="20"/>
    </row>
    <row r="12" spans="1:11" x14ac:dyDescent="0.45">
      <c r="A12" s="21" t="s">
        <v>32</v>
      </c>
      <c r="B12" s="22"/>
      <c r="C12" s="23">
        <v>3790589</v>
      </c>
      <c r="D12" s="23">
        <v>39168000</v>
      </c>
      <c r="E12" s="23">
        <v>35377411</v>
      </c>
      <c r="F12" s="22"/>
      <c r="G12" s="22"/>
      <c r="H12" s="22"/>
    </row>
    <row r="14" spans="1:11" ht="22" customHeight="1" x14ac:dyDescent="0.45">
      <c r="A14" s="30" t="s">
        <v>51</v>
      </c>
      <c r="B14" s="31"/>
      <c r="C14" s="31"/>
      <c r="D14" s="31"/>
      <c r="E14" s="31"/>
      <c r="F14" s="31"/>
      <c r="G14" s="31"/>
      <c r="H14" s="31"/>
    </row>
    <row r="15" spans="1:11" x14ac:dyDescent="0.45">
      <c r="A15" s="18" t="s">
        <v>38</v>
      </c>
      <c r="B15" s="18" t="s">
        <v>52</v>
      </c>
      <c r="C15" s="18" t="s">
        <v>53</v>
      </c>
      <c r="D15" s="18" t="s">
        <v>54</v>
      </c>
      <c r="E15" s="18" t="s">
        <v>55</v>
      </c>
    </row>
    <row r="16" spans="1:11" x14ac:dyDescent="0.45">
      <c r="A16" s="15" t="s">
        <v>46</v>
      </c>
      <c r="B16" s="19">
        <v>35377411</v>
      </c>
      <c r="C16" s="19">
        <v>4422176</v>
      </c>
      <c r="D16" s="19">
        <v>4422176</v>
      </c>
      <c r="E16" s="19">
        <v>30955235</v>
      </c>
    </row>
    <row r="17" spans="1:11" x14ac:dyDescent="0.45">
      <c r="A17" s="15" t="s">
        <v>47</v>
      </c>
      <c r="B17" s="19">
        <v>35377411</v>
      </c>
      <c r="C17" s="19">
        <v>8844353</v>
      </c>
      <c r="D17" s="19">
        <v>13266529</v>
      </c>
      <c r="E17" s="19">
        <v>22110882</v>
      </c>
    </row>
    <row r="18" spans="1:11" x14ac:dyDescent="0.45">
      <c r="A18" s="15" t="s">
        <v>48</v>
      </c>
      <c r="B18" s="19">
        <v>35377411</v>
      </c>
      <c r="C18" s="19">
        <v>8844353</v>
      </c>
      <c r="D18" s="19">
        <v>22110882</v>
      </c>
      <c r="E18" s="19">
        <v>13266529</v>
      </c>
    </row>
    <row r="19" spans="1:11" x14ac:dyDescent="0.45">
      <c r="A19" s="15" t="s">
        <v>49</v>
      </c>
      <c r="B19" s="19">
        <v>35377411</v>
      </c>
      <c r="C19" s="19">
        <v>8844353</v>
      </c>
      <c r="D19" s="19">
        <v>30955235</v>
      </c>
      <c r="E19" s="19">
        <v>4422176</v>
      </c>
    </row>
    <row r="20" spans="1:11" x14ac:dyDescent="0.45">
      <c r="A20" s="15" t="s">
        <v>50</v>
      </c>
      <c r="B20" s="19">
        <v>35377411</v>
      </c>
      <c r="C20" s="19">
        <v>4422176</v>
      </c>
      <c r="D20" s="19">
        <v>35377411</v>
      </c>
      <c r="E20" s="19">
        <v>0</v>
      </c>
    </row>
    <row r="21" spans="1:11" x14ac:dyDescent="0.45">
      <c r="A21" s="21" t="s">
        <v>32</v>
      </c>
      <c r="B21" s="22"/>
      <c r="C21" s="23">
        <v>35377411</v>
      </c>
      <c r="D21" s="23">
        <v>35377411</v>
      </c>
      <c r="E21" s="23">
        <v>0</v>
      </c>
    </row>
    <row r="23" spans="1:11" ht="22" customHeight="1" x14ac:dyDescent="0.45">
      <c r="A23" s="30" t="s">
        <v>56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x14ac:dyDescent="0.45">
      <c r="A24" s="18" t="s">
        <v>57</v>
      </c>
      <c r="B24" s="18" t="s">
        <v>58</v>
      </c>
      <c r="C24" s="18" t="s">
        <v>40</v>
      </c>
      <c r="D24" s="18" t="s">
        <v>41</v>
      </c>
      <c r="E24" s="18" t="s">
        <v>42</v>
      </c>
      <c r="F24" s="18" t="s">
        <v>59</v>
      </c>
      <c r="G24" s="18" t="s">
        <v>60</v>
      </c>
      <c r="H24" s="18" t="s">
        <v>61</v>
      </c>
      <c r="I24" s="18" t="s">
        <v>62</v>
      </c>
      <c r="J24" s="18" t="s">
        <v>15</v>
      </c>
      <c r="K24" s="18" t="s">
        <v>16</v>
      </c>
    </row>
    <row r="25" spans="1:11" x14ac:dyDescent="0.45">
      <c r="A25" s="15" t="s">
        <v>63</v>
      </c>
      <c r="B25" s="19">
        <v>35377411</v>
      </c>
      <c r="C25" s="19">
        <v>149765</v>
      </c>
      <c r="D25" s="19">
        <v>816000</v>
      </c>
      <c r="E25" s="19">
        <v>666235</v>
      </c>
      <c r="F25" s="19">
        <v>34711176</v>
      </c>
      <c r="G25" s="19">
        <v>35377411</v>
      </c>
      <c r="H25" s="19">
        <v>737029</v>
      </c>
      <c r="I25" s="19">
        <v>34640382</v>
      </c>
      <c r="J25" s="20"/>
      <c r="K25" s="20"/>
    </row>
    <row r="26" spans="1:11" x14ac:dyDescent="0.45">
      <c r="A26" s="15" t="s">
        <v>64</v>
      </c>
      <c r="B26" s="19">
        <v>34711176</v>
      </c>
      <c r="C26" s="19">
        <v>146945</v>
      </c>
      <c r="D26" s="19">
        <v>816000</v>
      </c>
      <c r="E26" s="19">
        <v>669055</v>
      </c>
      <c r="F26" s="19">
        <v>34042121</v>
      </c>
      <c r="G26" s="19">
        <v>34640382</v>
      </c>
      <c r="H26" s="19">
        <v>737029</v>
      </c>
      <c r="I26" s="19">
        <v>33903352</v>
      </c>
      <c r="J26" s="20"/>
      <c r="K26" s="20"/>
    </row>
    <row r="27" spans="1:11" x14ac:dyDescent="0.45">
      <c r="A27" s="15" t="s">
        <v>65</v>
      </c>
      <c r="B27" s="19">
        <v>34042121</v>
      </c>
      <c r="C27" s="19">
        <v>144113</v>
      </c>
      <c r="D27" s="19">
        <v>816000</v>
      </c>
      <c r="E27" s="19">
        <v>671887</v>
      </c>
      <c r="F27" s="19">
        <v>33370234</v>
      </c>
      <c r="G27" s="19">
        <v>33903352</v>
      </c>
      <c r="H27" s="19">
        <v>737029</v>
      </c>
      <c r="I27" s="19">
        <v>33166323</v>
      </c>
      <c r="J27" s="20"/>
      <c r="K27" s="20"/>
    </row>
    <row r="28" spans="1:11" x14ac:dyDescent="0.45">
      <c r="A28" s="15" t="s">
        <v>66</v>
      </c>
      <c r="B28" s="19">
        <v>33370234</v>
      </c>
      <c r="C28" s="19">
        <v>141268</v>
      </c>
      <c r="D28" s="19">
        <v>816000</v>
      </c>
      <c r="E28" s="19">
        <v>674732</v>
      </c>
      <c r="F28" s="19">
        <v>32695502</v>
      </c>
      <c r="G28" s="19">
        <v>33166323</v>
      </c>
      <c r="H28" s="19">
        <v>737029</v>
      </c>
      <c r="I28" s="19">
        <v>32429293</v>
      </c>
      <c r="J28" s="20"/>
      <c r="K28" s="20"/>
    </row>
    <row r="29" spans="1:11" x14ac:dyDescent="0.45">
      <c r="A29" s="15" t="s">
        <v>67</v>
      </c>
      <c r="B29" s="19">
        <v>32695502</v>
      </c>
      <c r="C29" s="19">
        <v>138412</v>
      </c>
      <c r="D29" s="19">
        <v>816000</v>
      </c>
      <c r="E29" s="19">
        <v>677588</v>
      </c>
      <c r="F29" s="19">
        <v>32017914</v>
      </c>
      <c r="G29" s="19">
        <v>32429293</v>
      </c>
      <c r="H29" s="19">
        <v>737029</v>
      </c>
      <c r="I29" s="19">
        <v>31692264</v>
      </c>
      <c r="J29" s="20"/>
      <c r="K29" s="20"/>
    </row>
    <row r="30" spans="1:11" x14ac:dyDescent="0.45">
      <c r="A30" s="24" t="s">
        <v>68</v>
      </c>
      <c r="B30" s="25">
        <v>32017914</v>
      </c>
      <c r="C30" s="25">
        <v>135543</v>
      </c>
      <c r="D30" s="25">
        <v>816000</v>
      </c>
      <c r="E30" s="25">
        <v>680457</v>
      </c>
      <c r="F30" s="25">
        <v>31337458</v>
      </c>
      <c r="G30" s="25">
        <v>31692264</v>
      </c>
      <c r="H30" s="25">
        <v>737029</v>
      </c>
      <c r="I30" s="25">
        <v>30955235</v>
      </c>
      <c r="J30" s="26">
        <v>8393692</v>
      </c>
      <c r="K30" s="26">
        <v>22943765</v>
      </c>
    </row>
    <row r="31" spans="1:11" x14ac:dyDescent="0.45">
      <c r="A31" s="15" t="s">
        <v>69</v>
      </c>
      <c r="B31" s="19">
        <v>31337458</v>
      </c>
      <c r="C31" s="19">
        <v>132663</v>
      </c>
      <c r="D31" s="19">
        <v>816000</v>
      </c>
      <c r="E31" s="19">
        <v>683337</v>
      </c>
      <c r="F31" s="19">
        <v>30654120</v>
      </c>
      <c r="G31" s="19">
        <v>30955235</v>
      </c>
      <c r="H31" s="19">
        <v>737029</v>
      </c>
      <c r="I31" s="19">
        <v>30218205</v>
      </c>
      <c r="J31" s="20"/>
      <c r="K31" s="20"/>
    </row>
    <row r="32" spans="1:11" x14ac:dyDescent="0.45">
      <c r="A32" s="15" t="s">
        <v>70</v>
      </c>
      <c r="B32" s="19">
        <v>30654120</v>
      </c>
      <c r="C32" s="19">
        <v>129770</v>
      </c>
      <c r="D32" s="19">
        <v>816000</v>
      </c>
      <c r="E32" s="19">
        <v>686230</v>
      </c>
      <c r="F32" s="19">
        <v>29967890</v>
      </c>
      <c r="G32" s="19">
        <v>30218205</v>
      </c>
      <c r="H32" s="19">
        <v>737029</v>
      </c>
      <c r="I32" s="19">
        <v>29481176</v>
      </c>
      <c r="J32" s="20"/>
      <c r="K32" s="20"/>
    </row>
    <row r="33" spans="1:11" x14ac:dyDescent="0.45">
      <c r="A33" s="15" t="s">
        <v>71</v>
      </c>
      <c r="B33" s="19">
        <v>29967890</v>
      </c>
      <c r="C33" s="19">
        <v>126865</v>
      </c>
      <c r="D33" s="19">
        <v>816000</v>
      </c>
      <c r="E33" s="19">
        <v>689135</v>
      </c>
      <c r="F33" s="19">
        <v>29278755</v>
      </c>
      <c r="G33" s="19">
        <v>29481176</v>
      </c>
      <c r="H33" s="19">
        <v>737029</v>
      </c>
      <c r="I33" s="19">
        <v>28744146</v>
      </c>
      <c r="J33" s="20"/>
      <c r="K33" s="20"/>
    </row>
    <row r="34" spans="1:11" x14ac:dyDescent="0.45">
      <c r="A34" s="15" t="s">
        <v>72</v>
      </c>
      <c r="B34" s="19">
        <v>29278755</v>
      </c>
      <c r="C34" s="19">
        <v>123948</v>
      </c>
      <c r="D34" s="19">
        <v>816000</v>
      </c>
      <c r="E34" s="19">
        <v>692052</v>
      </c>
      <c r="F34" s="19">
        <v>28586703</v>
      </c>
      <c r="G34" s="19">
        <v>28744146</v>
      </c>
      <c r="H34" s="19">
        <v>737029</v>
      </c>
      <c r="I34" s="19">
        <v>28007117</v>
      </c>
      <c r="J34" s="20"/>
      <c r="K34" s="20"/>
    </row>
    <row r="35" spans="1:11" x14ac:dyDescent="0.45">
      <c r="A35" s="15" t="s">
        <v>73</v>
      </c>
      <c r="B35" s="19">
        <v>28586703</v>
      </c>
      <c r="C35" s="19">
        <v>121018</v>
      </c>
      <c r="D35" s="19">
        <v>816000</v>
      </c>
      <c r="E35" s="19">
        <v>694982</v>
      </c>
      <c r="F35" s="19">
        <v>27891721</v>
      </c>
      <c r="G35" s="19">
        <v>28007117</v>
      </c>
      <c r="H35" s="19">
        <v>737029</v>
      </c>
      <c r="I35" s="19">
        <v>27270088</v>
      </c>
      <c r="J35" s="20"/>
      <c r="K35" s="20"/>
    </row>
    <row r="36" spans="1:11" x14ac:dyDescent="0.45">
      <c r="A36" s="15" t="s">
        <v>74</v>
      </c>
      <c r="B36" s="19">
        <v>27891721</v>
      </c>
      <c r="C36" s="19">
        <v>118076</v>
      </c>
      <c r="D36" s="19">
        <v>816000</v>
      </c>
      <c r="E36" s="19">
        <v>697924</v>
      </c>
      <c r="F36" s="19">
        <v>27193796</v>
      </c>
      <c r="G36" s="19">
        <v>27270088</v>
      </c>
      <c r="H36" s="19">
        <v>737029</v>
      </c>
      <c r="I36" s="19">
        <v>26533058</v>
      </c>
      <c r="J36" s="20"/>
      <c r="K36" s="20"/>
    </row>
    <row r="37" spans="1:11" x14ac:dyDescent="0.45">
      <c r="A37" s="15" t="s">
        <v>75</v>
      </c>
      <c r="B37" s="19">
        <v>27193796</v>
      </c>
      <c r="C37" s="19">
        <v>115121</v>
      </c>
      <c r="D37" s="19">
        <v>816000</v>
      </c>
      <c r="E37" s="19">
        <v>700879</v>
      </c>
      <c r="F37" s="19">
        <v>26492918</v>
      </c>
      <c r="G37" s="19">
        <v>26533058</v>
      </c>
      <c r="H37" s="19">
        <v>737029</v>
      </c>
      <c r="I37" s="19">
        <v>25796029</v>
      </c>
      <c r="J37" s="20"/>
      <c r="K37" s="20"/>
    </row>
    <row r="38" spans="1:11" x14ac:dyDescent="0.45">
      <c r="A38" s="15" t="s">
        <v>76</v>
      </c>
      <c r="B38" s="19">
        <v>26492918</v>
      </c>
      <c r="C38" s="19">
        <v>112154</v>
      </c>
      <c r="D38" s="19">
        <v>816000</v>
      </c>
      <c r="E38" s="19">
        <v>703846</v>
      </c>
      <c r="F38" s="19">
        <v>25789072</v>
      </c>
      <c r="G38" s="19">
        <v>25796029</v>
      </c>
      <c r="H38" s="19">
        <v>737029</v>
      </c>
      <c r="I38" s="19">
        <v>25058999</v>
      </c>
      <c r="J38" s="20"/>
      <c r="K38" s="20"/>
    </row>
    <row r="39" spans="1:11" x14ac:dyDescent="0.45">
      <c r="A39" s="15" t="s">
        <v>77</v>
      </c>
      <c r="B39" s="19">
        <v>25789072</v>
      </c>
      <c r="C39" s="19">
        <v>109174</v>
      </c>
      <c r="D39" s="19">
        <v>816000</v>
      </c>
      <c r="E39" s="19">
        <v>706826</v>
      </c>
      <c r="F39" s="19">
        <v>25082246</v>
      </c>
      <c r="G39" s="19">
        <v>25058999</v>
      </c>
      <c r="H39" s="19">
        <v>737029</v>
      </c>
      <c r="I39" s="19">
        <v>24321970</v>
      </c>
      <c r="J39" s="20"/>
      <c r="K39" s="20"/>
    </row>
    <row r="40" spans="1:11" x14ac:dyDescent="0.45">
      <c r="A40" s="15" t="s">
        <v>78</v>
      </c>
      <c r="B40" s="19">
        <v>25082246</v>
      </c>
      <c r="C40" s="19">
        <v>106182</v>
      </c>
      <c r="D40" s="19">
        <v>816000</v>
      </c>
      <c r="E40" s="19">
        <v>709818</v>
      </c>
      <c r="F40" s="19">
        <v>24372428</v>
      </c>
      <c r="G40" s="19">
        <v>24321970</v>
      </c>
      <c r="H40" s="19">
        <v>737029</v>
      </c>
      <c r="I40" s="19">
        <v>23584941</v>
      </c>
      <c r="J40" s="20"/>
      <c r="K40" s="20"/>
    </row>
    <row r="41" spans="1:11" x14ac:dyDescent="0.45">
      <c r="A41" s="15" t="s">
        <v>79</v>
      </c>
      <c r="B41" s="19">
        <v>24372428</v>
      </c>
      <c r="C41" s="19">
        <v>103177</v>
      </c>
      <c r="D41" s="19">
        <v>816000</v>
      </c>
      <c r="E41" s="19">
        <v>712823</v>
      </c>
      <c r="F41" s="19">
        <v>23659606</v>
      </c>
      <c r="G41" s="19">
        <v>23584941</v>
      </c>
      <c r="H41" s="19">
        <v>737029</v>
      </c>
      <c r="I41" s="19">
        <v>22847911</v>
      </c>
      <c r="J41" s="20"/>
      <c r="K41" s="20"/>
    </row>
    <row r="42" spans="1:11" x14ac:dyDescent="0.45">
      <c r="A42" s="24" t="s">
        <v>80</v>
      </c>
      <c r="B42" s="25">
        <v>23659606</v>
      </c>
      <c r="C42" s="25">
        <v>100160</v>
      </c>
      <c r="D42" s="25">
        <v>816000</v>
      </c>
      <c r="E42" s="25">
        <v>715840</v>
      </c>
      <c r="F42" s="25">
        <v>22943765</v>
      </c>
      <c r="G42" s="25">
        <v>22847911</v>
      </c>
      <c r="H42" s="25">
        <v>737029</v>
      </c>
      <c r="I42" s="25">
        <v>22110882</v>
      </c>
      <c r="J42" s="26">
        <v>8830164</v>
      </c>
      <c r="K42" s="26">
        <v>14113601</v>
      </c>
    </row>
    <row r="43" spans="1:11" x14ac:dyDescent="0.45">
      <c r="A43" s="15" t="s">
        <v>81</v>
      </c>
      <c r="B43" s="19">
        <v>22943765</v>
      </c>
      <c r="C43" s="19">
        <v>97129</v>
      </c>
      <c r="D43" s="19">
        <v>816000</v>
      </c>
      <c r="E43" s="19">
        <v>718871</v>
      </c>
      <c r="F43" s="19">
        <v>22224895</v>
      </c>
      <c r="G43" s="19">
        <v>22110882</v>
      </c>
      <c r="H43" s="19">
        <v>737029</v>
      </c>
      <c r="I43" s="19">
        <v>21373852</v>
      </c>
      <c r="J43" s="20"/>
      <c r="K43" s="20"/>
    </row>
    <row r="44" spans="1:11" x14ac:dyDescent="0.45">
      <c r="A44" s="15" t="s">
        <v>82</v>
      </c>
      <c r="B44" s="19">
        <v>22224895</v>
      </c>
      <c r="C44" s="19">
        <v>94086</v>
      </c>
      <c r="D44" s="19">
        <v>816000</v>
      </c>
      <c r="E44" s="19">
        <v>721914</v>
      </c>
      <c r="F44" s="19">
        <v>21502981</v>
      </c>
      <c r="G44" s="19">
        <v>21373852</v>
      </c>
      <c r="H44" s="19">
        <v>737029</v>
      </c>
      <c r="I44" s="19">
        <v>20636823</v>
      </c>
      <c r="J44" s="20"/>
      <c r="K44" s="20"/>
    </row>
    <row r="45" spans="1:11" x14ac:dyDescent="0.45">
      <c r="A45" s="15" t="s">
        <v>83</v>
      </c>
      <c r="B45" s="19">
        <v>21502981</v>
      </c>
      <c r="C45" s="19">
        <v>91030</v>
      </c>
      <c r="D45" s="19">
        <v>816000</v>
      </c>
      <c r="E45" s="19">
        <v>724970</v>
      </c>
      <c r="F45" s="19">
        <v>20778010</v>
      </c>
      <c r="G45" s="19">
        <v>20636823</v>
      </c>
      <c r="H45" s="19">
        <v>737029</v>
      </c>
      <c r="I45" s="19">
        <v>19899794</v>
      </c>
      <c r="J45" s="20"/>
      <c r="K45" s="20"/>
    </row>
    <row r="46" spans="1:11" x14ac:dyDescent="0.45">
      <c r="A46" s="15" t="s">
        <v>84</v>
      </c>
      <c r="B46" s="19">
        <v>20778010</v>
      </c>
      <c r="C46" s="19">
        <v>87961</v>
      </c>
      <c r="D46" s="19">
        <v>816000</v>
      </c>
      <c r="E46" s="19">
        <v>728039</v>
      </c>
      <c r="F46" s="19">
        <v>20049971</v>
      </c>
      <c r="G46" s="19">
        <v>19899794</v>
      </c>
      <c r="H46" s="19">
        <v>737029</v>
      </c>
      <c r="I46" s="19">
        <v>19162764</v>
      </c>
      <c r="J46" s="20"/>
      <c r="K46" s="20"/>
    </row>
    <row r="47" spans="1:11" x14ac:dyDescent="0.45">
      <c r="A47" s="15" t="s">
        <v>85</v>
      </c>
      <c r="B47" s="19">
        <v>20049971</v>
      </c>
      <c r="C47" s="19">
        <v>84879</v>
      </c>
      <c r="D47" s="19">
        <v>816000</v>
      </c>
      <c r="E47" s="19">
        <v>731121</v>
      </c>
      <c r="F47" s="19">
        <v>19318850</v>
      </c>
      <c r="G47" s="19">
        <v>19162764</v>
      </c>
      <c r="H47" s="19">
        <v>737029</v>
      </c>
      <c r="I47" s="19">
        <v>18425735</v>
      </c>
      <c r="J47" s="20"/>
      <c r="K47" s="20"/>
    </row>
    <row r="48" spans="1:11" x14ac:dyDescent="0.45">
      <c r="A48" s="15" t="s">
        <v>86</v>
      </c>
      <c r="B48" s="19">
        <v>19318850</v>
      </c>
      <c r="C48" s="19">
        <v>81784</v>
      </c>
      <c r="D48" s="19">
        <v>816000</v>
      </c>
      <c r="E48" s="19">
        <v>734216</v>
      </c>
      <c r="F48" s="19">
        <v>18584634</v>
      </c>
      <c r="G48" s="19">
        <v>18425735</v>
      </c>
      <c r="H48" s="19">
        <v>737029</v>
      </c>
      <c r="I48" s="19">
        <v>17688706</v>
      </c>
      <c r="J48" s="20"/>
      <c r="K48" s="20"/>
    </row>
    <row r="49" spans="1:11" x14ac:dyDescent="0.45">
      <c r="A49" s="15" t="s">
        <v>87</v>
      </c>
      <c r="B49" s="19">
        <v>18584634</v>
      </c>
      <c r="C49" s="19">
        <v>78675</v>
      </c>
      <c r="D49" s="19">
        <v>816000</v>
      </c>
      <c r="E49" s="19">
        <v>737325</v>
      </c>
      <c r="F49" s="19">
        <v>17847309</v>
      </c>
      <c r="G49" s="19">
        <v>17688706</v>
      </c>
      <c r="H49" s="19">
        <v>737029</v>
      </c>
      <c r="I49" s="19">
        <v>16951676</v>
      </c>
      <c r="J49" s="20"/>
      <c r="K49" s="20"/>
    </row>
    <row r="50" spans="1:11" x14ac:dyDescent="0.45">
      <c r="A50" s="15" t="s">
        <v>88</v>
      </c>
      <c r="B50" s="19">
        <v>17847309</v>
      </c>
      <c r="C50" s="19">
        <v>75554</v>
      </c>
      <c r="D50" s="19">
        <v>816000</v>
      </c>
      <c r="E50" s="19">
        <v>740446</v>
      </c>
      <c r="F50" s="19">
        <v>17106863</v>
      </c>
      <c r="G50" s="19">
        <v>16951676</v>
      </c>
      <c r="H50" s="19">
        <v>737029</v>
      </c>
      <c r="I50" s="19">
        <v>16214647</v>
      </c>
      <c r="J50" s="20"/>
      <c r="K50" s="20"/>
    </row>
    <row r="51" spans="1:11" x14ac:dyDescent="0.45">
      <c r="A51" s="15" t="s">
        <v>89</v>
      </c>
      <c r="B51" s="19">
        <v>17106863</v>
      </c>
      <c r="C51" s="19">
        <v>72420</v>
      </c>
      <c r="D51" s="19">
        <v>816000</v>
      </c>
      <c r="E51" s="19">
        <v>743580</v>
      </c>
      <c r="F51" s="19">
        <v>16363283</v>
      </c>
      <c r="G51" s="19">
        <v>16214647</v>
      </c>
      <c r="H51" s="19">
        <v>737029</v>
      </c>
      <c r="I51" s="19">
        <v>15477617</v>
      </c>
      <c r="J51" s="20"/>
      <c r="K51" s="20"/>
    </row>
    <row r="52" spans="1:11" x14ac:dyDescent="0.45">
      <c r="A52" s="15" t="s">
        <v>90</v>
      </c>
      <c r="B52" s="19">
        <v>16363283</v>
      </c>
      <c r="C52" s="19">
        <v>69272</v>
      </c>
      <c r="D52" s="19">
        <v>816000</v>
      </c>
      <c r="E52" s="19">
        <v>746728</v>
      </c>
      <c r="F52" s="19">
        <v>15616555</v>
      </c>
      <c r="G52" s="19">
        <v>15477617</v>
      </c>
      <c r="H52" s="19">
        <v>737029</v>
      </c>
      <c r="I52" s="19">
        <v>14740588</v>
      </c>
      <c r="J52" s="20"/>
      <c r="K52" s="20"/>
    </row>
    <row r="53" spans="1:11" x14ac:dyDescent="0.45">
      <c r="A53" s="15" t="s">
        <v>91</v>
      </c>
      <c r="B53" s="19">
        <v>15616555</v>
      </c>
      <c r="C53" s="19">
        <v>66111</v>
      </c>
      <c r="D53" s="19">
        <v>816000</v>
      </c>
      <c r="E53" s="19">
        <v>749889</v>
      </c>
      <c r="F53" s="19">
        <v>14866665</v>
      </c>
      <c r="G53" s="19">
        <v>14740588</v>
      </c>
      <c r="H53" s="19">
        <v>737029</v>
      </c>
      <c r="I53" s="19">
        <v>14003559</v>
      </c>
      <c r="J53" s="20"/>
      <c r="K53" s="20"/>
    </row>
    <row r="54" spans="1:11" x14ac:dyDescent="0.45">
      <c r="A54" s="24" t="s">
        <v>92</v>
      </c>
      <c r="B54" s="25">
        <v>14866665</v>
      </c>
      <c r="C54" s="25">
        <v>62936</v>
      </c>
      <c r="D54" s="25">
        <v>816000</v>
      </c>
      <c r="E54" s="25">
        <v>753064</v>
      </c>
      <c r="F54" s="25">
        <v>14113601</v>
      </c>
      <c r="G54" s="25">
        <v>14003559</v>
      </c>
      <c r="H54" s="25">
        <v>737029</v>
      </c>
      <c r="I54" s="25">
        <v>13266529</v>
      </c>
      <c r="J54" s="26">
        <v>9289333</v>
      </c>
      <c r="K54" s="26">
        <v>4824268</v>
      </c>
    </row>
    <row r="55" spans="1:11" x14ac:dyDescent="0.45">
      <c r="A55" s="15" t="s">
        <v>93</v>
      </c>
      <c r="B55" s="19">
        <v>14113601</v>
      </c>
      <c r="C55" s="19">
        <v>59748</v>
      </c>
      <c r="D55" s="19">
        <v>816000</v>
      </c>
      <c r="E55" s="19">
        <v>756252</v>
      </c>
      <c r="F55" s="19">
        <v>13357349</v>
      </c>
      <c r="G55" s="19">
        <v>13266529</v>
      </c>
      <c r="H55" s="19">
        <v>737029</v>
      </c>
      <c r="I55" s="19">
        <v>12529500</v>
      </c>
      <c r="J55" s="20"/>
      <c r="K55" s="20"/>
    </row>
    <row r="56" spans="1:11" x14ac:dyDescent="0.45">
      <c r="A56" s="15" t="s">
        <v>94</v>
      </c>
      <c r="B56" s="19">
        <v>13357349</v>
      </c>
      <c r="C56" s="19">
        <v>56546</v>
      </c>
      <c r="D56" s="19">
        <v>816000</v>
      </c>
      <c r="E56" s="19">
        <v>759454</v>
      </c>
      <c r="F56" s="19">
        <v>12597896</v>
      </c>
      <c r="G56" s="19">
        <v>12529500</v>
      </c>
      <c r="H56" s="19">
        <v>737029</v>
      </c>
      <c r="I56" s="19">
        <v>11792470</v>
      </c>
      <c r="J56" s="20"/>
      <c r="K56" s="20"/>
    </row>
    <row r="57" spans="1:11" x14ac:dyDescent="0.45">
      <c r="A57" s="15" t="s">
        <v>95</v>
      </c>
      <c r="B57" s="19">
        <v>12597896</v>
      </c>
      <c r="C57" s="19">
        <v>53331</v>
      </c>
      <c r="D57" s="19">
        <v>816000</v>
      </c>
      <c r="E57" s="19">
        <v>762669</v>
      </c>
      <c r="F57" s="19">
        <v>11835227</v>
      </c>
      <c r="G57" s="19">
        <v>11792470</v>
      </c>
      <c r="H57" s="19">
        <v>737029</v>
      </c>
      <c r="I57" s="19">
        <v>11055441</v>
      </c>
      <c r="J57" s="20"/>
      <c r="K57" s="20"/>
    </row>
    <row r="58" spans="1:11" x14ac:dyDescent="0.45">
      <c r="A58" s="15" t="s">
        <v>96</v>
      </c>
      <c r="B58" s="19">
        <v>11835227</v>
      </c>
      <c r="C58" s="19">
        <v>50103</v>
      </c>
      <c r="D58" s="19">
        <v>816000</v>
      </c>
      <c r="E58" s="19">
        <v>765897</v>
      </c>
      <c r="F58" s="19">
        <v>11069330</v>
      </c>
      <c r="G58" s="19">
        <v>11055441</v>
      </c>
      <c r="H58" s="19">
        <v>737029</v>
      </c>
      <c r="I58" s="19">
        <v>10318412</v>
      </c>
      <c r="J58" s="20"/>
      <c r="K58" s="20"/>
    </row>
    <row r="59" spans="1:11" x14ac:dyDescent="0.45">
      <c r="A59" s="15" t="s">
        <v>97</v>
      </c>
      <c r="B59" s="19">
        <v>11069330</v>
      </c>
      <c r="C59" s="19">
        <v>46860</v>
      </c>
      <c r="D59" s="19">
        <v>816000</v>
      </c>
      <c r="E59" s="19">
        <v>769140</v>
      </c>
      <c r="F59" s="19">
        <v>10300190</v>
      </c>
      <c r="G59" s="19">
        <v>10318412</v>
      </c>
      <c r="H59" s="19">
        <v>737029</v>
      </c>
      <c r="I59" s="19">
        <v>9581382</v>
      </c>
      <c r="J59" s="20"/>
      <c r="K59" s="20"/>
    </row>
    <row r="60" spans="1:11" x14ac:dyDescent="0.45">
      <c r="A60" s="15" t="s">
        <v>98</v>
      </c>
      <c r="B60" s="19">
        <v>10300190</v>
      </c>
      <c r="C60" s="19">
        <v>43604</v>
      </c>
      <c r="D60" s="19">
        <v>816000</v>
      </c>
      <c r="E60" s="19">
        <v>772396</v>
      </c>
      <c r="F60" s="19">
        <v>9527795</v>
      </c>
      <c r="G60" s="19">
        <v>9581382</v>
      </c>
      <c r="H60" s="19">
        <v>737029</v>
      </c>
      <c r="I60" s="19">
        <v>8844353</v>
      </c>
      <c r="J60" s="20"/>
      <c r="K60" s="20"/>
    </row>
    <row r="61" spans="1:11" x14ac:dyDescent="0.45">
      <c r="A61" s="15" t="s">
        <v>99</v>
      </c>
      <c r="B61" s="19">
        <v>9527795</v>
      </c>
      <c r="C61" s="19">
        <v>40335</v>
      </c>
      <c r="D61" s="19">
        <v>816000</v>
      </c>
      <c r="E61" s="19">
        <v>775665</v>
      </c>
      <c r="F61" s="19">
        <v>8752129</v>
      </c>
      <c r="G61" s="19">
        <v>8844353</v>
      </c>
      <c r="H61" s="19">
        <v>737029</v>
      </c>
      <c r="I61" s="19">
        <v>8107323</v>
      </c>
      <c r="J61" s="20"/>
      <c r="K61" s="20"/>
    </row>
    <row r="62" spans="1:11" x14ac:dyDescent="0.45">
      <c r="A62" s="15" t="s">
        <v>100</v>
      </c>
      <c r="B62" s="19">
        <v>8752129</v>
      </c>
      <c r="C62" s="19">
        <v>37051</v>
      </c>
      <c r="D62" s="19">
        <v>816000</v>
      </c>
      <c r="E62" s="19">
        <v>778949</v>
      </c>
      <c r="F62" s="19">
        <v>7973180</v>
      </c>
      <c r="G62" s="19">
        <v>8107323</v>
      </c>
      <c r="H62" s="19">
        <v>737029</v>
      </c>
      <c r="I62" s="19">
        <v>7370294</v>
      </c>
      <c r="J62" s="20"/>
      <c r="K62" s="20"/>
    </row>
    <row r="63" spans="1:11" x14ac:dyDescent="0.45">
      <c r="A63" s="15" t="s">
        <v>101</v>
      </c>
      <c r="B63" s="19">
        <v>7973180</v>
      </c>
      <c r="C63" s="19">
        <v>33753</v>
      </c>
      <c r="D63" s="19">
        <v>816000</v>
      </c>
      <c r="E63" s="19">
        <v>782247</v>
      </c>
      <c r="F63" s="19">
        <v>7190934</v>
      </c>
      <c r="G63" s="19">
        <v>7370294</v>
      </c>
      <c r="H63" s="19">
        <v>737029</v>
      </c>
      <c r="I63" s="19">
        <v>6633265</v>
      </c>
      <c r="J63" s="20"/>
      <c r="K63" s="20"/>
    </row>
    <row r="64" spans="1:11" x14ac:dyDescent="0.45">
      <c r="A64" s="15" t="s">
        <v>102</v>
      </c>
      <c r="B64" s="19">
        <v>7190934</v>
      </c>
      <c r="C64" s="19">
        <v>30442</v>
      </c>
      <c r="D64" s="19">
        <v>816000</v>
      </c>
      <c r="E64" s="19">
        <v>785558</v>
      </c>
      <c r="F64" s="19">
        <v>6405375</v>
      </c>
      <c r="G64" s="19">
        <v>6633265</v>
      </c>
      <c r="H64" s="19">
        <v>737029</v>
      </c>
      <c r="I64" s="19">
        <v>5896235</v>
      </c>
      <c r="J64" s="20"/>
      <c r="K64" s="20"/>
    </row>
    <row r="65" spans="1:11" x14ac:dyDescent="0.45">
      <c r="A65" s="15" t="s">
        <v>103</v>
      </c>
      <c r="B65" s="19">
        <v>6405375</v>
      </c>
      <c r="C65" s="19">
        <v>27116</v>
      </c>
      <c r="D65" s="19">
        <v>816000</v>
      </c>
      <c r="E65" s="19">
        <v>788884</v>
      </c>
      <c r="F65" s="19">
        <v>5616492</v>
      </c>
      <c r="G65" s="19">
        <v>5896235</v>
      </c>
      <c r="H65" s="19">
        <v>737029</v>
      </c>
      <c r="I65" s="19">
        <v>5159206</v>
      </c>
      <c r="J65" s="20"/>
      <c r="K65" s="20"/>
    </row>
    <row r="66" spans="1:11" x14ac:dyDescent="0.45">
      <c r="A66" s="24" t="s">
        <v>104</v>
      </c>
      <c r="B66" s="25">
        <v>5616492</v>
      </c>
      <c r="C66" s="25">
        <v>23777</v>
      </c>
      <c r="D66" s="25">
        <v>816000</v>
      </c>
      <c r="E66" s="25">
        <v>792223</v>
      </c>
      <c r="F66" s="25">
        <v>4824268</v>
      </c>
      <c r="G66" s="25">
        <v>5159206</v>
      </c>
      <c r="H66" s="25">
        <v>737029</v>
      </c>
      <c r="I66" s="25">
        <v>4422176</v>
      </c>
      <c r="J66" s="26">
        <v>4824268</v>
      </c>
      <c r="K66" s="25">
        <v>0</v>
      </c>
    </row>
    <row r="67" spans="1:11" x14ac:dyDescent="0.45">
      <c r="A67" s="15" t="s">
        <v>105</v>
      </c>
      <c r="B67" s="19">
        <v>4824268</v>
      </c>
      <c r="C67" s="19">
        <v>20423</v>
      </c>
      <c r="D67" s="19">
        <v>816000</v>
      </c>
      <c r="E67" s="19">
        <v>795577</v>
      </c>
      <c r="F67" s="19">
        <v>4028691</v>
      </c>
      <c r="G67" s="19">
        <v>4422176</v>
      </c>
      <c r="H67" s="19">
        <v>737029</v>
      </c>
      <c r="I67" s="19">
        <v>3685147</v>
      </c>
      <c r="J67" s="20"/>
      <c r="K67" s="20"/>
    </row>
    <row r="68" spans="1:11" x14ac:dyDescent="0.45">
      <c r="A68" s="15" t="s">
        <v>106</v>
      </c>
      <c r="B68" s="19">
        <v>4028691</v>
      </c>
      <c r="C68" s="19">
        <v>17055</v>
      </c>
      <c r="D68" s="19">
        <v>816000</v>
      </c>
      <c r="E68" s="19">
        <v>798945</v>
      </c>
      <c r="F68" s="19">
        <v>3229746</v>
      </c>
      <c r="G68" s="19">
        <v>3685147</v>
      </c>
      <c r="H68" s="19">
        <v>737029</v>
      </c>
      <c r="I68" s="19">
        <v>2948118</v>
      </c>
      <c r="J68" s="20"/>
      <c r="K68" s="20"/>
    </row>
    <row r="69" spans="1:11" x14ac:dyDescent="0.45">
      <c r="A69" s="15" t="s">
        <v>107</v>
      </c>
      <c r="B69" s="19">
        <v>3229746</v>
      </c>
      <c r="C69" s="19">
        <v>13673</v>
      </c>
      <c r="D69" s="19">
        <v>816000</v>
      </c>
      <c r="E69" s="19">
        <v>802327</v>
      </c>
      <c r="F69" s="19">
        <v>2427419</v>
      </c>
      <c r="G69" s="19">
        <v>2948118</v>
      </c>
      <c r="H69" s="19">
        <v>737029</v>
      </c>
      <c r="I69" s="19">
        <v>2211088</v>
      </c>
      <c r="J69" s="20"/>
      <c r="K69" s="20"/>
    </row>
    <row r="70" spans="1:11" x14ac:dyDescent="0.45">
      <c r="A70" s="15" t="s">
        <v>108</v>
      </c>
      <c r="B70" s="19">
        <v>2427419</v>
      </c>
      <c r="C70" s="19">
        <v>10276</v>
      </c>
      <c r="D70" s="19">
        <v>816000</v>
      </c>
      <c r="E70" s="19">
        <v>805724</v>
      </c>
      <c r="F70" s="19">
        <v>1621695</v>
      </c>
      <c r="G70" s="19">
        <v>2211088</v>
      </c>
      <c r="H70" s="19">
        <v>737029</v>
      </c>
      <c r="I70" s="19">
        <v>1474059</v>
      </c>
      <c r="J70" s="20"/>
      <c r="K70" s="20"/>
    </row>
    <row r="71" spans="1:11" x14ac:dyDescent="0.45">
      <c r="A71" s="15" t="s">
        <v>109</v>
      </c>
      <c r="B71" s="19">
        <v>1621695</v>
      </c>
      <c r="C71" s="19">
        <v>6865</v>
      </c>
      <c r="D71" s="19">
        <v>816000</v>
      </c>
      <c r="E71" s="19">
        <v>809135</v>
      </c>
      <c r="F71" s="19">
        <v>812560</v>
      </c>
      <c r="G71" s="19">
        <v>1474059</v>
      </c>
      <c r="H71" s="19">
        <v>737029</v>
      </c>
      <c r="I71" s="19">
        <v>737029</v>
      </c>
      <c r="J71" s="20"/>
      <c r="K71" s="20"/>
    </row>
    <row r="72" spans="1:11" x14ac:dyDescent="0.45">
      <c r="A72" s="15" t="s">
        <v>110</v>
      </c>
      <c r="B72" s="19">
        <v>812560</v>
      </c>
      <c r="C72" s="19">
        <v>3440</v>
      </c>
      <c r="D72" s="19">
        <v>816000</v>
      </c>
      <c r="E72" s="19">
        <v>812560</v>
      </c>
      <c r="F72" s="19">
        <v>0</v>
      </c>
      <c r="G72" s="19">
        <v>737029</v>
      </c>
      <c r="H72" s="19">
        <v>737029</v>
      </c>
      <c r="I72" s="19">
        <v>0</v>
      </c>
      <c r="J72" s="20"/>
      <c r="K72" s="20"/>
    </row>
  </sheetData>
  <mergeCells count="4">
    <mergeCell ref="A1:I1"/>
    <mergeCell ref="A23:K23"/>
    <mergeCell ref="A14:H14"/>
    <mergeCell ref="A5:H5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tabSelected="1" workbookViewId="0">
      <pane xSplit="1" ySplit="24" topLeftCell="B25" activePane="bottomRight" state="frozen"/>
      <selection pane="topRight"/>
      <selection pane="bottomLeft"/>
      <selection pane="bottomRight" activeCell="D25" sqref="D25"/>
    </sheetView>
  </sheetViews>
  <sheetFormatPr defaultRowHeight="17" x14ac:dyDescent="0.45"/>
  <cols>
    <col min="1" max="1" width="16.1640625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30" t="s">
        <v>111</v>
      </c>
      <c r="B1" s="31"/>
      <c r="C1" s="31"/>
      <c r="D1" s="31"/>
      <c r="E1" s="31"/>
      <c r="F1" s="31"/>
      <c r="G1" s="31"/>
      <c r="H1" s="31"/>
      <c r="I1" s="31"/>
    </row>
    <row r="2" spans="1:10" x14ac:dyDescent="0.45">
      <c r="A2" s="13" t="s">
        <v>34</v>
      </c>
      <c r="B2" s="13" t="s">
        <v>35</v>
      </c>
      <c r="C2" s="13" t="s">
        <v>36</v>
      </c>
      <c r="D2" s="13" t="s">
        <v>5</v>
      </c>
      <c r="E2" s="13" t="s">
        <v>6</v>
      </c>
      <c r="F2" s="13" t="s">
        <v>7</v>
      </c>
      <c r="G2" s="13" t="s">
        <v>8</v>
      </c>
    </row>
    <row r="3" spans="1:10" x14ac:dyDescent="0.45">
      <c r="A3" s="14">
        <v>45120</v>
      </c>
      <c r="B3" s="14">
        <v>46580</v>
      </c>
      <c r="C3" s="15">
        <v>48</v>
      </c>
      <c r="D3" s="16">
        <v>576000</v>
      </c>
      <c r="E3" s="15" t="s">
        <v>24</v>
      </c>
      <c r="F3" s="15" t="s">
        <v>25</v>
      </c>
      <c r="G3" s="17">
        <v>6.1899999999999997E-2</v>
      </c>
    </row>
    <row r="5" spans="1:10" ht="22" customHeight="1" x14ac:dyDescent="0.45">
      <c r="A5" s="30" t="s">
        <v>37</v>
      </c>
      <c r="B5" s="31"/>
      <c r="C5" s="31"/>
      <c r="D5" s="31"/>
      <c r="E5" s="31"/>
      <c r="F5" s="31"/>
      <c r="G5" s="31"/>
      <c r="H5" s="31"/>
    </row>
    <row r="6" spans="1:10" x14ac:dyDescent="0.45">
      <c r="A6" s="18" t="s">
        <v>38</v>
      </c>
      <c r="B6" s="18" t="s">
        <v>39</v>
      </c>
      <c r="C6" s="18" t="s">
        <v>40</v>
      </c>
      <c r="D6" s="18" t="s">
        <v>41</v>
      </c>
      <c r="E6" s="18" t="s">
        <v>42</v>
      </c>
      <c r="F6" s="18" t="s">
        <v>43</v>
      </c>
      <c r="G6" s="18" t="s">
        <v>44</v>
      </c>
      <c r="H6" s="18" t="s">
        <v>45</v>
      </c>
    </row>
    <row r="7" spans="1:10" x14ac:dyDescent="0.45">
      <c r="A7" s="15" t="s">
        <v>47</v>
      </c>
      <c r="B7" s="19">
        <v>24516196</v>
      </c>
      <c r="C7" s="19">
        <v>703742</v>
      </c>
      <c r="D7" s="19">
        <v>3456000</v>
      </c>
      <c r="E7" s="19">
        <v>2752258</v>
      </c>
      <c r="F7" s="19">
        <v>21763938</v>
      </c>
      <c r="G7" s="19">
        <v>5758785</v>
      </c>
      <c r="H7" s="19">
        <v>16005153</v>
      </c>
    </row>
    <row r="8" spans="1:10" x14ac:dyDescent="0.45">
      <c r="A8" s="15" t="s">
        <v>48</v>
      </c>
      <c r="B8" s="19">
        <v>21763938</v>
      </c>
      <c r="C8" s="19">
        <v>1153215</v>
      </c>
      <c r="D8" s="19">
        <v>6912000</v>
      </c>
      <c r="E8" s="19">
        <v>5758785</v>
      </c>
      <c r="F8" s="19">
        <v>16005153</v>
      </c>
      <c r="G8" s="19">
        <v>6115254</v>
      </c>
      <c r="H8" s="19">
        <v>9889899</v>
      </c>
      <c r="J8" s="32"/>
    </row>
    <row r="9" spans="1:10" x14ac:dyDescent="0.45">
      <c r="A9" s="15" t="s">
        <v>49</v>
      </c>
      <c r="B9" s="19">
        <v>16005153</v>
      </c>
      <c r="C9" s="19">
        <v>796746</v>
      </c>
      <c r="D9" s="19">
        <v>6912000</v>
      </c>
      <c r="E9" s="19">
        <v>6115254</v>
      </c>
      <c r="F9" s="19">
        <v>9889899</v>
      </c>
      <c r="G9" s="19">
        <v>6493788</v>
      </c>
      <c r="H9" s="19">
        <v>3396111</v>
      </c>
      <c r="J9" s="4"/>
    </row>
    <row r="10" spans="1:10" x14ac:dyDescent="0.45">
      <c r="A10" s="15" t="s">
        <v>50</v>
      </c>
      <c r="B10" s="19">
        <v>9889899</v>
      </c>
      <c r="C10" s="19">
        <v>418212</v>
      </c>
      <c r="D10" s="19">
        <v>6912000</v>
      </c>
      <c r="E10" s="19">
        <v>6493788</v>
      </c>
      <c r="F10" s="19">
        <v>3396111</v>
      </c>
      <c r="G10" s="19">
        <v>3396111</v>
      </c>
      <c r="H10" s="19">
        <v>0</v>
      </c>
    </row>
    <row r="11" spans="1:10" x14ac:dyDescent="0.45">
      <c r="A11" s="15" t="s">
        <v>112</v>
      </c>
      <c r="B11" s="19">
        <v>3396111</v>
      </c>
      <c r="C11" s="19">
        <v>59889</v>
      </c>
      <c r="D11" s="19">
        <v>3456000</v>
      </c>
      <c r="E11" s="19">
        <v>3396111</v>
      </c>
      <c r="F11" s="19">
        <v>0</v>
      </c>
      <c r="G11" s="20"/>
      <c r="H11" s="20"/>
    </row>
    <row r="12" spans="1:10" x14ac:dyDescent="0.45">
      <c r="A12" s="21" t="s">
        <v>32</v>
      </c>
      <c r="B12" s="22"/>
      <c r="C12" s="23">
        <v>3131804</v>
      </c>
      <c r="D12" s="23">
        <v>27648000</v>
      </c>
      <c r="E12" s="23">
        <v>24516196</v>
      </c>
      <c r="F12" s="22"/>
      <c r="G12" s="22"/>
      <c r="H12" s="22"/>
    </row>
    <row r="14" spans="1:10" ht="22" customHeight="1" x14ac:dyDescent="0.45">
      <c r="A14" s="30" t="s">
        <v>51</v>
      </c>
      <c r="B14" s="31"/>
      <c r="C14" s="31"/>
      <c r="D14" s="31"/>
      <c r="E14" s="31"/>
      <c r="F14" s="31"/>
      <c r="G14" s="31"/>
      <c r="H14" s="31"/>
    </row>
    <row r="15" spans="1:10" x14ac:dyDescent="0.45">
      <c r="A15" s="18" t="s">
        <v>38</v>
      </c>
      <c r="B15" s="18" t="s">
        <v>52</v>
      </c>
      <c r="C15" s="18" t="s">
        <v>53</v>
      </c>
      <c r="D15" s="18" t="s">
        <v>54</v>
      </c>
      <c r="E15" s="18" t="s">
        <v>55</v>
      </c>
    </row>
    <row r="16" spans="1:10" x14ac:dyDescent="0.45">
      <c r="A16" s="15" t="s">
        <v>47</v>
      </c>
      <c r="B16" s="19">
        <v>24516196</v>
      </c>
      <c r="C16" s="19">
        <v>3064525</v>
      </c>
      <c r="D16" s="19">
        <v>3064525</v>
      </c>
      <c r="E16" s="19">
        <v>21451672</v>
      </c>
    </row>
    <row r="17" spans="1:11" x14ac:dyDescent="0.45">
      <c r="A17" s="15" t="s">
        <v>48</v>
      </c>
      <c r="B17" s="19">
        <v>24516196</v>
      </c>
      <c r="C17" s="19">
        <v>6129049</v>
      </c>
      <c r="D17" s="19">
        <v>9193574</v>
      </c>
      <c r="E17" s="19">
        <v>15322623</v>
      </c>
    </row>
    <row r="18" spans="1:11" x14ac:dyDescent="0.45">
      <c r="A18" s="15" t="s">
        <v>49</v>
      </c>
      <c r="B18" s="19">
        <v>24516196</v>
      </c>
      <c r="C18" s="19">
        <v>6129049</v>
      </c>
      <c r="D18" s="19">
        <v>15322623</v>
      </c>
      <c r="E18" s="19">
        <v>9193574</v>
      </c>
    </row>
    <row r="19" spans="1:11" x14ac:dyDescent="0.45">
      <c r="A19" s="15" t="s">
        <v>50</v>
      </c>
      <c r="B19" s="19">
        <v>24516196</v>
      </c>
      <c r="C19" s="19">
        <v>6129049</v>
      </c>
      <c r="D19" s="19">
        <v>21451672</v>
      </c>
      <c r="E19" s="19">
        <v>3064525</v>
      </c>
    </row>
    <row r="20" spans="1:11" x14ac:dyDescent="0.45">
      <c r="A20" s="15" t="s">
        <v>112</v>
      </c>
      <c r="B20" s="19">
        <v>24516196</v>
      </c>
      <c r="C20" s="19">
        <v>3064525</v>
      </c>
      <c r="D20" s="19">
        <v>24516196</v>
      </c>
      <c r="E20" s="19">
        <v>0</v>
      </c>
    </row>
    <row r="21" spans="1:11" x14ac:dyDescent="0.45">
      <c r="A21" s="21" t="s">
        <v>32</v>
      </c>
      <c r="B21" s="22"/>
      <c r="C21" s="23">
        <v>24516196</v>
      </c>
      <c r="D21" s="23">
        <v>24516196</v>
      </c>
      <c r="E21" s="23">
        <v>0</v>
      </c>
    </row>
    <row r="23" spans="1:11" ht="22" customHeight="1" x14ac:dyDescent="0.45">
      <c r="A23" s="30" t="s">
        <v>56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x14ac:dyDescent="0.45">
      <c r="A24" s="18" t="s">
        <v>57</v>
      </c>
      <c r="B24" s="18" t="s">
        <v>58</v>
      </c>
      <c r="C24" s="18" t="s">
        <v>40</v>
      </c>
      <c r="D24" s="18" t="s">
        <v>41</v>
      </c>
      <c r="E24" s="18" t="s">
        <v>42</v>
      </c>
      <c r="F24" s="18" t="s">
        <v>59</v>
      </c>
      <c r="G24" s="18" t="s">
        <v>60</v>
      </c>
      <c r="H24" s="18" t="s">
        <v>61</v>
      </c>
      <c r="I24" s="18" t="s">
        <v>62</v>
      </c>
      <c r="J24" s="18" t="s">
        <v>15</v>
      </c>
      <c r="K24" s="18" t="s">
        <v>16</v>
      </c>
    </row>
    <row r="25" spans="1:11" x14ac:dyDescent="0.45">
      <c r="A25" s="15" t="s">
        <v>75</v>
      </c>
      <c r="B25" s="19">
        <v>24516196</v>
      </c>
      <c r="C25" s="19">
        <v>123011</v>
      </c>
      <c r="D25" s="19">
        <v>576000</v>
      </c>
      <c r="E25" s="19">
        <v>452989</v>
      </c>
      <c r="F25" s="19">
        <v>24063207</v>
      </c>
      <c r="G25" s="19">
        <v>24516196</v>
      </c>
      <c r="H25" s="19">
        <v>510754</v>
      </c>
      <c r="I25" s="19">
        <v>24005442</v>
      </c>
      <c r="J25" s="20"/>
      <c r="K25" s="20"/>
    </row>
    <row r="26" spans="1:11" x14ac:dyDescent="0.45">
      <c r="A26" s="15" t="s">
        <v>76</v>
      </c>
      <c r="B26" s="19">
        <v>24063207</v>
      </c>
      <c r="C26" s="19">
        <v>120738</v>
      </c>
      <c r="D26" s="19">
        <v>576000</v>
      </c>
      <c r="E26" s="19">
        <v>455262</v>
      </c>
      <c r="F26" s="19">
        <v>23607945</v>
      </c>
      <c r="G26" s="19">
        <v>24005442</v>
      </c>
      <c r="H26" s="19">
        <v>510754</v>
      </c>
      <c r="I26" s="19">
        <v>23494688</v>
      </c>
      <c r="J26" s="20"/>
      <c r="K26" s="20"/>
    </row>
    <row r="27" spans="1:11" x14ac:dyDescent="0.45">
      <c r="A27" s="15" t="s">
        <v>77</v>
      </c>
      <c r="B27" s="19">
        <v>23607945</v>
      </c>
      <c r="C27" s="19">
        <v>118453</v>
      </c>
      <c r="D27" s="19">
        <v>576000</v>
      </c>
      <c r="E27" s="19">
        <v>457547</v>
      </c>
      <c r="F27" s="19">
        <v>23150398</v>
      </c>
      <c r="G27" s="19">
        <v>23494688</v>
      </c>
      <c r="H27" s="19">
        <v>510754</v>
      </c>
      <c r="I27" s="19">
        <v>22983934</v>
      </c>
      <c r="J27" s="20"/>
      <c r="K27" s="20"/>
    </row>
    <row r="28" spans="1:11" x14ac:dyDescent="0.45">
      <c r="A28" s="15" t="s">
        <v>78</v>
      </c>
      <c r="B28" s="19">
        <v>23150398</v>
      </c>
      <c r="C28" s="19">
        <v>116158</v>
      </c>
      <c r="D28" s="19">
        <v>576000</v>
      </c>
      <c r="E28" s="19">
        <v>459842</v>
      </c>
      <c r="F28" s="19">
        <v>22690556</v>
      </c>
      <c r="G28" s="19">
        <v>22983934</v>
      </c>
      <c r="H28" s="19">
        <v>510754</v>
      </c>
      <c r="I28" s="19">
        <v>22473180</v>
      </c>
      <c r="J28" s="20"/>
      <c r="K28" s="20"/>
    </row>
    <row r="29" spans="1:11" x14ac:dyDescent="0.45">
      <c r="A29" s="15" t="s">
        <v>79</v>
      </c>
      <c r="B29" s="19">
        <v>22690556</v>
      </c>
      <c r="C29" s="19">
        <v>113850</v>
      </c>
      <c r="D29" s="19">
        <v>576000</v>
      </c>
      <c r="E29" s="19">
        <v>462150</v>
      </c>
      <c r="F29" s="19">
        <v>22228406</v>
      </c>
      <c r="G29" s="19">
        <v>22473180</v>
      </c>
      <c r="H29" s="19">
        <v>510754</v>
      </c>
      <c r="I29" s="19">
        <v>21962426</v>
      </c>
      <c r="J29" s="20"/>
      <c r="K29" s="20"/>
    </row>
    <row r="30" spans="1:11" x14ac:dyDescent="0.45">
      <c r="A30" s="24" t="s">
        <v>80</v>
      </c>
      <c r="B30" s="25">
        <v>22228406</v>
      </c>
      <c r="C30" s="25">
        <v>111532</v>
      </c>
      <c r="D30" s="25">
        <v>576000</v>
      </c>
      <c r="E30" s="25">
        <v>464468</v>
      </c>
      <c r="F30" s="25">
        <v>21763938</v>
      </c>
      <c r="G30" s="25">
        <v>21962426</v>
      </c>
      <c r="H30" s="25">
        <v>510754</v>
      </c>
      <c r="I30" s="25">
        <v>21451672</v>
      </c>
      <c r="J30" s="26">
        <v>5758785</v>
      </c>
      <c r="K30" s="26">
        <v>16005153</v>
      </c>
    </row>
    <row r="31" spans="1:11" x14ac:dyDescent="0.45">
      <c r="A31" s="15" t="s">
        <v>81</v>
      </c>
      <c r="B31" s="19">
        <v>21763938</v>
      </c>
      <c r="C31" s="19">
        <v>109201</v>
      </c>
      <c r="D31" s="19">
        <v>576000</v>
      </c>
      <c r="E31" s="19">
        <v>466799</v>
      </c>
      <c r="F31" s="19">
        <v>21297139</v>
      </c>
      <c r="G31" s="19">
        <v>21451672</v>
      </c>
      <c r="H31" s="19">
        <v>510754</v>
      </c>
      <c r="I31" s="19">
        <v>20940918</v>
      </c>
      <c r="J31" s="20"/>
      <c r="K31" s="20"/>
    </row>
    <row r="32" spans="1:11" x14ac:dyDescent="0.45">
      <c r="A32" s="15" t="s">
        <v>82</v>
      </c>
      <c r="B32" s="19">
        <v>21297139</v>
      </c>
      <c r="C32" s="19">
        <v>106859</v>
      </c>
      <c r="D32" s="19">
        <v>576000</v>
      </c>
      <c r="E32" s="19">
        <v>469141</v>
      </c>
      <c r="F32" s="19">
        <v>20827998</v>
      </c>
      <c r="G32" s="19">
        <v>20940918</v>
      </c>
      <c r="H32" s="19">
        <v>510754</v>
      </c>
      <c r="I32" s="19">
        <v>20430164</v>
      </c>
      <c r="J32" s="20"/>
      <c r="K32" s="20"/>
    </row>
    <row r="33" spans="1:11" x14ac:dyDescent="0.45">
      <c r="A33" s="15" t="s">
        <v>83</v>
      </c>
      <c r="B33" s="19">
        <v>20827998</v>
      </c>
      <c r="C33" s="19">
        <v>104505</v>
      </c>
      <c r="D33" s="19">
        <v>576000</v>
      </c>
      <c r="E33" s="19">
        <v>471495</v>
      </c>
      <c r="F33" s="19">
        <v>20356503</v>
      </c>
      <c r="G33" s="19">
        <v>20430164</v>
      </c>
      <c r="H33" s="19">
        <v>510754</v>
      </c>
      <c r="I33" s="19">
        <v>19919410</v>
      </c>
      <c r="J33" s="20"/>
      <c r="K33" s="20"/>
    </row>
    <row r="34" spans="1:11" x14ac:dyDescent="0.45">
      <c r="A34" s="15" t="s">
        <v>84</v>
      </c>
      <c r="B34" s="19">
        <v>20356503</v>
      </c>
      <c r="C34" s="19">
        <v>102139</v>
      </c>
      <c r="D34" s="19">
        <v>576000</v>
      </c>
      <c r="E34" s="19">
        <v>473861</v>
      </c>
      <c r="F34" s="19">
        <v>19882642</v>
      </c>
      <c r="G34" s="19">
        <v>19919410</v>
      </c>
      <c r="H34" s="19">
        <v>510754</v>
      </c>
      <c r="I34" s="19">
        <v>19408655</v>
      </c>
      <c r="J34" s="20"/>
      <c r="K34" s="20"/>
    </row>
    <row r="35" spans="1:11" x14ac:dyDescent="0.45">
      <c r="A35" s="15" t="s">
        <v>85</v>
      </c>
      <c r="B35" s="19">
        <v>19882642</v>
      </c>
      <c r="C35" s="19">
        <v>99762</v>
      </c>
      <c r="D35" s="19">
        <v>576000</v>
      </c>
      <c r="E35" s="19">
        <v>476238</v>
      </c>
      <c r="F35" s="19">
        <v>19406404</v>
      </c>
      <c r="G35" s="19">
        <v>19408655</v>
      </c>
      <c r="H35" s="19">
        <v>510754</v>
      </c>
      <c r="I35" s="19">
        <v>18897901</v>
      </c>
      <c r="J35" s="20"/>
      <c r="K35" s="20"/>
    </row>
    <row r="36" spans="1:11" x14ac:dyDescent="0.45">
      <c r="A36" s="15" t="s">
        <v>86</v>
      </c>
      <c r="B36" s="19">
        <v>19406404</v>
      </c>
      <c r="C36" s="19">
        <v>97372</v>
      </c>
      <c r="D36" s="19">
        <v>576000</v>
      </c>
      <c r="E36" s="19">
        <v>478628</v>
      </c>
      <c r="F36" s="19">
        <v>18927776</v>
      </c>
      <c r="G36" s="19">
        <v>18897901</v>
      </c>
      <c r="H36" s="19">
        <v>510754</v>
      </c>
      <c r="I36" s="19">
        <v>18387147</v>
      </c>
      <c r="J36" s="20"/>
      <c r="K36" s="20"/>
    </row>
    <row r="37" spans="1:11" x14ac:dyDescent="0.45">
      <c r="A37" s="15" t="s">
        <v>87</v>
      </c>
      <c r="B37" s="19">
        <v>18927776</v>
      </c>
      <c r="C37" s="19">
        <v>94971</v>
      </c>
      <c r="D37" s="19">
        <v>576000</v>
      </c>
      <c r="E37" s="19">
        <v>481029</v>
      </c>
      <c r="F37" s="19">
        <v>18446747</v>
      </c>
      <c r="G37" s="19">
        <v>18387147</v>
      </c>
      <c r="H37" s="19">
        <v>510754</v>
      </c>
      <c r="I37" s="19">
        <v>17876393</v>
      </c>
      <c r="J37" s="20"/>
      <c r="K37" s="20"/>
    </row>
    <row r="38" spans="1:11" x14ac:dyDescent="0.45">
      <c r="A38" s="15" t="s">
        <v>88</v>
      </c>
      <c r="B38" s="19">
        <v>18446747</v>
      </c>
      <c r="C38" s="19">
        <v>92557</v>
      </c>
      <c r="D38" s="19">
        <v>576000</v>
      </c>
      <c r="E38" s="19">
        <v>483443</v>
      </c>
      <c r="F38" s="19">
        <v>17963304</v>
      </c>
      <c r="G38" s="19">
        <v>17876393</v>
      </c>
      <c r="H38" s="19">
        <v>510754</v>
      </c>
      <c r="I38" s="19">
        <v>17365639</v>
      </c>
      <c r="J38" s="20"/>
      <c r="K38" s="20"/>
    </row>
    <row r="39" spans="1:11" x14ac:dyDescent="0.45">
      <c r="A39" s="15" t="s">
        <v>89</v>
      </c>
      <c r="B39" s="19">
        <v>17963304</v>
      </c>
      <c r="C39" s="19">
        <v>90131</v>
      </c>
      <c r="D39" s="19">
        <v>576000</v>
      </c>
      <c r="E39" s="19">
        <v>485869</v>
      </c>
      <c r="F39" s="19">
        <v>17477435</v>
      </c>
      <c r="G39" s="19">
        <v>17365639</v>
      </c>
      <c r="H39" s="19">
        <v>510754</v>
      </c>
      <c r="I39" s="19">
        <v>16854885</v>
      </c>
      <c r="J39" s="20"/>
      <c r="K39" s="20"/>
    </row>
    <row r="40" spans="1:11" x14ac:dyDescent="0.45">
      <c r="A40" s="15" t="s">
        <v>90</v>
      </c>
      <c r="B40" s="19">
        <v>17477435</v>
      </c>
      <c r="C40" s="19">
        <v>87693</v>
      </c>
      <c r="D40" s="19">
        <v>576000</v>
      </c>
      <c r="E40" s="19">
        <v>488307</v>
      </c>
      <c r="F40" s="19">
        <v>16989129</v>
      </c>
      <c r="G40" s="19">
        <v>16854885</v>
      </c>
      <c r="H40" s="19">
        <v>510754</v>
      </c>
      <c r="I40" s="19">
        <v>16344131</v>
      </c>
      <c r="J40" s="20"/>
      <c r="K40" s="20"/>
    </row>
    <row r="41" spans="1:11" x14ac:dyDescent="0.45">
      <c r="A41" s="15" t="s">
        <v>91</v>
      </c>
      <c r="B41" s="19">
        <v>16989129</v>
      </c>
      <c r="C41" s="19">
        <v>85243</v>
      </c>
      <c r="D41" s="19">
        <v>576000</v>
      </c>
      <c r="E41" s="19">
        <v>490757</v>
      </c>
      <c r="F41" s="19">
        <v>16498372</v>
      </c>
      <c r="G41" s="19">
        <v>16344131</v>
      </c>
      <c r="H41" s="19">
        <v>510754</v>
      </c>
      <c r="I41" s="19">
        <v>15833377</v>
      </c>
      <c r="J41" s="20"/>
      <c r="K41" s="20"/>
    </row>
    <row r="42" spans="1:11" x14ac:dyDescent="0.45">
      <c r="A42" s="24" t="s">
        <v>92</v>
      </c>
      <c r="B42" s="25">
        <v>16498372</v>
      </c>
      <c r="C42" s="25">
        <v>82781</v>
      </c>
      <c r="D42" s="25">
        <v>576000</v>
      </c>
      <c r="E42" s="25">
        <v>493219</v>
      </c>
      <c r="F42" s="25">
        <v>16005153</v>
      </c>
      <c r="G42" s="25">
        <v>15833377</v>
      </c>
      <c r="H42" s="25">
        <v>510754</v>
      </c>
      <c r="I42" s="25">
        <v>15322623</v>
      </c>
      <c r="J42" s="26">
        <v>6115254</v>
      </c>
      <c r="K42" s="26">
        <v>9889899</v>
      </c>
    </row>
    <row r="43" spans="1:11" x14ac:dyDescent="0.45">
      <c r="A43" s="15" t="s">
        <v>93</v>
      </c>
      <c r="B43" s="19">
        <v>16005153</v>
      </c>
      <c r="C43" s="19">
        <v>80306</v>
      </c>
      <c r="D43" s="19">
        <v>576000</v>
      </c>
      <c r="E43" s="19">
        <v>495694</v>
      </c>
      <c r="F43" s="19">
        <v>15509459</v>
      </c>
      <c r="G43" s="19">
        <v>15322623</v>
      </c>
      <c r="H43" s="19">
        <v>510754</v>
      </c>
      <c r="I43" s="19">
        <v>14811869</v>
      </c>
      <c r="J43" s="20"/>
      <c r="K43" s="20"/>
    </row>
    <row r="44" spans="1:11" x14ac:dyDescent="0.45">
      <c r="A44" s="15" t="s">
        <v>94</v>
      </c>
      <c r="B44" s="19">
        <v>15509459</v>
      </c>
      <c r="C44" s="19">
        <v>77819</v>
      </c>
      <c r="D44" s="19">
        <v>576000</v>
      </c>
      <c r="E44" s="19">
        <v>498181</v>
      </c>
      <c r="F44" s="19">
        <v>15011278</v>
      </c>
      <c r="G44" s="19">
        <v>14811869</v>
      </c>
      <c r="H44" s="19">
        <v>510754</v>
      </c>
      <c r="I44" s="19">
        <v>14301115</v>
      </c>
      <c r="J44" s="20"/>
      <c r="K44" s="20"/>
    </row>
    <row r="45" spans="1:11" x14ac:dyDescent="0.45">
      <c r="A45" s="15" t="s">
        <v>95</v>
      </c>
      <c r="B45" s="19">
        <v>15011278</v>
      </c>
      <c r="C45" s="19">
        <v>75319</v>
      </c>
      <c r="D45" s="19">
        <v>576000</v>
      </c>
      <c r="E45" s="19">
        <v>500681</v>
      </c>
      <c r="F45" s="19">
        <v>14510598</v>
      </c>
      <c r="G45" s="19">
        <v>14301115</v>
      </c>
      <c r="H45" s="19">
        <v>510754</v>
      </c>
      <c r="I45" s="19">
        <v>13790360</v>
      </c>
      <c r="J45" s="20"/>
      <c r="K45" s="20"/>
    </row>
    <row r="46" spans="1:11" x14ac:dyDescent="0.45">
      <c r="A46" s="15" t="s">
        <v>96</v>
      </c>
      <c r="B46" s="19">
        <v>14510598</v>
      </c>
      <c r="C46" s="19">
        <v>72807</v>
      </c>
      <c r="D46" s="19">
        <v>576000</v>
      </c>
      <c r="E46" s="19">
        <v>503193</v>
      </c>
      <c r="F46" s="19">
        <v>14007405</v>
      </c>
      <c r="G46" s="19">
        <v>13790360</v>
      </c>
      <c r="H46" s="19">
        <v>510754</v>
      </c>
      <c r="I46" s="19">
        <v>13279606</v>
      </c>
      <c r="J46" s="20"/>
      <c r="K46" s="20"/>
    </row>
    <row r="47" spans="1:11" x14ac:dyDescent="0.45">
      <c r="A47" s="15" t="s">
        <v>97</v>
      </c>
      <c r="B47" s="19">
        <v>14007405</v>
      </c>
      <c r="C47" s="19">
        <v>70283</v>
      </c>
      <c r="D47" s="19">
        <v>576000</v>
      </c>
      <c r="E47" s="19">
        <v>505717</v>
      </c>
      <c r="F47" s="19">
        <v>13501688</v>
      </c>
      <c r="G47" s="19">
        <v>13279606</v>
      </c>
      <c r="H47" s="19">
        <v>510754</v>
      </c>
      <c r="I47" s="19">
        <v>12768852</v>
      </c>
      <c r="J47" s="20"/>
      <c r="K47" s="20"/>
    </row>
    <row r="48" spans="1:11" x14ac:dyDescent="0.45">
      <c r="A48" s="15" t="s">
        <v>98</v>
      </c>
      <c r="B48" s="19">
        <v>13501688</v>
      </c>
      <c r="C48" s="19">
        <v>67745</v>
      </c>
      <c r="D48" s="19">
        <v>576000</v>
      </c>
      <c r="E48" s="19">
        <v>508255</v>
      </c>
      <c r="F48" s="19">
        <v>12993433</v>
      </c>
      <c r="G48" s="19">
        <v>12768852</v>
      </c>
      <c r="H48" s="19">
        <v>510754</v>
      </c>
      <c r="I48" s="19">
        <v>12258098</v>
      </c>
      <c r="J48" s="20"/>
      <c r="K48" s="20"/>
    </row>
    <row r="49" spans="1:11" x14ac:dyDescent="0.45">
      <c r="A49" s="15" t="s">
        <v>99</v>
      </c>
      <c r="B49" s="19">
        <v>12993433</v>
      </c>
      <c r="C49" s="19">
        <v>65195</v>
      </c>
      <c r="D49" s="19">
        <v>576000</v>
      </c>
      <c r="E49" s="19">
        <v>510805</v>
      </c>
      <c r="F49" s="19">
        <v>12482627</v>
      </c>
      <c r="G49" s="19">
        <v>12258098</v>
      </c>
      <c r="H49" s="19">
        <v>510754</v>
      </c>
      <c r="I49" s="19">
        <v>11747344</v>
      </c>
      <c r="J49" s="20"/>
      <c r="K49" s="20"/>
    </row>
    <row r="50" spans="1:11" x14ac:dyDescent="0.45">
      <c r="A50" s="15" t="s">
        <v>100</v>
      </c>
      <c r="B50" s="19">
        <v>12482627</v>
      </c>
      <c r="C50" s="19">
        <v>62632</v>
      </c>
      <c r="D50" s="19">
        <v>576000</v>
      </c>
      <c r="E50" s="19">
        <v>513368</v>
      </c>
      <c r="F50" s="19">
        <v>11969259</v>
      </c>
      <c r="G50" s="19">
        <v>11747344</v>
      </c>
      <c r="H50" s="19">
        <v>510754</v>
      </c>
      <c r="I50" s="19">
        <v>11236590</v>
      </c>
      <c r="J50" s="20"/>
      <c r="K50" s="20"/>
    </row>
    <row r="51" spans="1:11" x14ac:dyDescent="0.45">
      <c r="A51" s="15" t="s">
        <v>101</v>
      </c>
      <c r="B51" s="19">
        <v>11969259</v>
      </c>
      <c r="C51" s="19">
        <v>60056</v>
      </c>
      <c r="D51" s="19">
        <v>576000</v>
      </c>
      <c r="E51" s="19">
        <v>515944</v>
      </c>
      <c r="F51" s="19">
        <v>11453315</v>
      </c>
      <c r="G51" s="19">
        <v>11236590</v>
      </c>
      <c r="H51" s="19">
        <v>510754</v>
      </c>
      <c r="I51" s="19">
        <v>10725836</v>
      </c>
      <c r="J51" s="20"/>
      <c r="K51" s="20"/>
    </row>
    <row r="52" spans="1:11" x14ac:dyDescent="0.45">
      <c r="A52" s="15" t="s">
        <v>102</v>
      </c>
      <c r="B52" s="19">
        <v>11453315</v>
      </c>
      <c r="C52" s="19">
        <v>57467</v>
      </c>
      <c r="D52" s="19">
        <v>576000</v>
      </c>
      <c r="E52" s="19">
        <v>518533</v>
      </c>
      <c r="F52" s="19">
        <v>10934783</v>
      </c>
      <c r="G52" s="19">
        <v>10725836</v>
      </c>
      <c r="H52" s="19">
        <v>510754</v>
      </c>
      <c r="I52" s="19">
        <v>10215082</v>
      </c>
      <c r="J52" s="20"/>
      <c r="K52" s="20"/>
    </row>
    <row r="53" spans="1:11" x14ac:dyDescent="0.45">
      <c r="A53" s="15" t="s">
        <v>103</v>
      </c>
      <c r="B53" s="19">
        <v>10934783</v>
      </c>
      <c r="C53" s="19">
        <v>54866</v>
      </c>
      <c r="D53" s="19">
        <v>576000</v>
      </c>
      <c r="E53" s="19">
        <v>521134</v>
      </c>
      <c r="F53" s="19">
        <v>10413648</v>
      </c>
      <c r="G53" s="19">
        <v>10215082</v>
      </c>
      <c r="H53" s="19">
        <v>510754</v>
      </c>
      <c r="I53" s="19">
        <v>9704328</v>
      </c>
      <c r="J53" s="20"/>
      <c r="K53" s="20"/>
    </row>
    <row r="54" spans="1:11" x14ac:dyDescent="0.45">
      <c r="A54" s="24" t="s">
        <v>104</v>
      </c>
      <c r="B54" s="25">
        <v>10413648</v>
      </c>
      <c r="C54" s="25">
        <v>52251</v>
      </c>
      <c r="D54" s="25">
        <v>576000</v>
      </c>
      <c r="E54" s="25">
        <v>523749</v>
      </c>
      <c r="F54" s="25">
        <v>9889899</v>
      </c>
      <c r="G54" s="25">
        <v>9704328</v>
      </c>
      <c r="H54" s="25">
        <v>510754</v>
      </c>
      <c r="I54" s="25">
        <v>9193574</v>
      </c>
      <c r="J54" s="26">
        <v>6493788</v>
      </c>
      <c r="K54" s="26">
        <v>3396111</v>
      </c>
    </row>
    <row r="55" spans="1:11" x14ac:dyDescent="0.45">
      <c r="A55" s="15" t="s">
        <v>105</v>
      </c>
      <c r="B55" s="19">
        <v>9889899</v>
      </c>
      <c r="C55" s="19">
        <v>49623</v>
      </c>
      <c r="D55" s="19">
        <v>576000</v>
      </c>
      <c r="E55" s="19">
        <v>526377</v>
      </c>
      <c r="F55" s="19">
        <v>9363522</v>
      </c>
      <c r="G55" s="19">
        <v>9193574</v>
      </c>
      <c r="H55" s="19">
        <v>510754</v>
      </c>
      <c r="I55" s="19">
        <v>8682820</v>
      </c>
      <c r="J55" s="20"/>
      <c r="K55" s="20"/>
    </row>
    <row r="56" spans="1:11" x14ac:dyDescent="0.45">
      <c r="A56" s="15" t="s">
        <v>106</v>
      </c>
      <c r="B56" s="19">
        <v>9363522</v>
      </c>
      <c r="C56" s="19">
        <v>46982</v>
      </c>
      <c r="D56" s="19">
        <v>576000</v>
      </c>
      <c r="E56" s="19">
        <v>529018</v>
      </c>
      <c r="F56" s="19">
        <v>8834504</v>
      </c>
      <c r="G56" s="19">
        <v>8682820</v>
      </c>
      <c r="H56" s="19">
        <v>510754</v>
      </c>
      <c r="I56" s="19">
        <v>8172065</v>
      </c>
      <c r="J56" s="20"/>
      <c r="K56" s="20"/>
    </row>
    <row r="57" spans="1:11" x14ac:dyDescent="0.45">
      <c r="A57" s="15" t="s">
        <v>107</v>
      </c>
      <c r="B57" s="19">
        <v>8834504</v>
      </c>
      <c r="C57" s="19">
        <v>44327</v>
      </c>
      <c r="D57" s="19">
        <v>576000</v>
      </c>
      <c r="E57" s="19">
        <v>531673</v>
      </c>
      <c r="F57" s="19">
        <v>8302831</v>
      </c>
      <c r="G57" s="19">
        <v>8172065</v>
      </c>
      <c r="H57" s="19">
        <v>510754</v>
      </c>
      <c r="I57" s="19">
        <v>7661311</v>
      </c>
      <c r="J57" s="20"/>
      <c r="K57" s="20"/>
    </row>
    <row r="58" spans="1:11" x14ac:dyDescent="0.45">
      <c r="A58" s="15" t="s">
        <v>108</v>
      </c>
      <c r="B58" s="19">
        <v>8302831</v>
      </c>
      <c r="C58" s="19">
        <v>41660</v>
      </c>
      <c r="D58" s="19">
        <v>576000</v>
      </c>
      <c r="E58" s="19">
        <v>534340</v>
      </c>
      <c r="F58" s="19">
        <v>7768491</v>
      </c>
      <c r="G58" s="19">
        <v>7661311</v>
      </c>
      <c r="H58" s="19">
        <v>510754</v>
      </c>
      <c r="I58" s="19">
        <v>7150557</v>
      </c>
      <c r="J58" s="20"/>
      <c r="K58" s="20"/>
    </row>
    <row r="59" spans="1:11" x14ac:dyDescent="0.45">
      <c r="A59" s="15" t="s">
        <v>109</v>
      </c>
      <c r="B59" s="19">
        <v>7768491</v>
      </c>
      <c r="C59" s="19">
        <v>38979</v>
      </c>
      <c r="D59" s="19">
        <v>576000</v>
      </c>
      <c r="E59" s="19">
        <v>537021</v>
      </c>
      <c r="F59" s="19">
        <v>7231469</v>
      </c>
      <c r="G59" s="19">
        <v>7150557</v>
      </c>
      <c r="H59" s="19">
        <v>510754</v>
      </c>
      <c r="I59" s="19">
        <v>6639803</v>
      </c>
      <c r="J59" s="20"/>
      <c r="K59" s="20"/>
    </row>
    <row r="60" spans="1:11" x14ac:dyDescent="0.45">
      <c r="A60" s="15" t="s">
        <v>110</v>
      </c>
      <c r="B60" s="19">
        <v>7231469</v>
      </c>
      <c r="C60" s="19">
        <v>36284</v>
      </c>
      <c r="D60" s="19">
        <v>576000</v>
      </c>
      <c r="E60" s="19">
        <v>539716</v>
      </c>
      <c r="F60" s="19">
        <v>6691753</v>
      </c>
      <c r="G60" s="19">
        <v>6639803</v>
      </c>
      <c r="H60" s="19">
        <v>510754</v>
      </c>
      <c r="I60" s="19">
        <v>6129049</v>
      </c>
      <c r="J60" s="20"/>
      <c r="K60" s="20"/>
    </row>
    <row r="61" spans="1:11" x14ac:dyDescent="0.45">
      <c r="A61" s="15" t="s">
        <v>113</v>
      </c>
      <c r="B61" s="19">
        <v>6691753</v>
      </c>
      <c r="C61" s="19">
        <v>33576</v>
      </c>
      <c r="D61" s="19">
        <v>576000</v>
      </c>
      <c r="E61" s="19">
        <v>542424</v>
      </c>
      <c r="F61" s="19">
        <v>6149329</v>
      </c>
      <c r="G61" s="19">
        <v>6129049</v>
      </c>
      <c r="H61" s="19">
        <v>510754</v>
      </c>
      <c r="I61" s="19">
        <v>5618295</v>
      </c>
      <c r="J61" s="20"/>
      <c r="K61" s="20"/>
    </row>
    <row r="62" spans="1:11" x14ac:dyDescent="0.45">
      <c r="A62" s="15" t="s">
        <v>114</v>
      </c>
      <c r="B62" s="19">
        <v>6149329</v>
      </c>
      <c r="C62" s="19">
        <v>30854</v>
      </c>
      <c r="D62" s="19">
        <v>576000</v>
      </c>
      <c r="E62" s="19">
        <v>545146</v>
      </c>
      <c r="F62" s="19">
        <v>5604184</v>
      </c>
      <c r="G62" s="19">
        <v>5618295</v>
      </c>
      <c r="H62" s="19">
        <v>510754</v>
      </c>
      <c r="I62" s="19">
        <v>5107541</v>
      </c>
      <c r="J62" s="20"/>
      <c r="K62" s="20"/>
    </row>
    <row r="63" spans="1:11" x14ac:dyDescent="0.45">
      <c r="A63" s="15" t="s">
        <v>115</v>
      </c>
      <c r="B63" s="19">
        <v>5604184</v>
      </c>
      <c r="C63" s="19">
        <v>28119</v>
      </c>
      <c r="D63" s="19">
        <v>576000</v>
      </c>
      <c r="E63" s="19">
        <v>547881</v>
      </c>
      <c r="F63" s="19">
        <v>5056303</v>
      </c>
      <c r="G63" s="19">
        <v>5107541</v>
      </c>
      <c r="H63" s="19">
        <v>510754</v>
      </c>
      <c r="I63" s="19">
        <v>4596787</v>
      </c>
      <c r="J63" s="20"/>
      <c r="K63" s="20"/>
    </row>
    <row r="64" spans="1:11" x14ac:dyDescent="0.45">
      <c r="A64" s="15" t="s">
        <v>116</v>
      </c>
      <c r="B64" s="19">
        <v>5056303</v>
      </c>
      <c r="C64" s="19">
        <v>25370</v>
      </c>
      <c r="D64" s="19">
        <v>576000</v>
      </c>
      <c r="E64" s="19">
        <v>550630</v>
      </c>
      <c r="F64" s="19">
        <v>4505673</v>
      </c>
      <c r="G64" s="19">
        <v>4596787</v>
      </c>
      <c r="H64" s="19">
        <v>510754</v>
      </c>
      <c r="I64" s="19">
        <v>4086033</v>
      </c>
      <c r="J64" s="20"/>
      <c r="K64" s="20"/>
    </row>
    <row r="65" spans="1:11" x14ac:dyDescent="0.45">
      <c r="A65" s="15" t="s">
        <v>117</v>
      </c>
      <c r="B65" s="19">
        <v>4505673</v>
      </c>
      <c r="C65" s="19">
        <v>22607</v>
      </c>
      <c r="D65" s="19">
        <v>576000</v>
      </c>
      <c r="E65" s="19">
        <v>553393</v>
      </c>
      <c r="F65" s="19">
        <v>3952280</v>
      </c>
      <c r="G65" s="19">
        <v>4086033</v>
      </c>
      <c r="H65" s="19">
        <v>510754</v>
      </c>
      <c r="I65" s="19">
        <v>3575279</v>
      </c>
      <c r="J65" s="20"/>
      <c r="K65" s="20"/>
    </row>
    <row r="66" spans="1:11" x14ac:dyDescent="0.45">
      <c r="A66" s="24" t="s">
        <v>118</v>
      </c>
      <c r="B66" s="25">
        <v>3952280</v>
      </c>
      <c r="C66" s="25">
        <v>19831</v>
      </c>
      <c r="D66" s="25">
        <v>576000</v>
      </c>
      <c r="E66" s="25">
        <v>556169</v>
      </c>
      <c r="F66" s="25">
        <v>3396111</v>
      </c>
      <c r="G66" s="25">
        <v>3575279</v>
      </c>
      <c r="H66" s="25">
        <v>510754</v>
      </c>
      <c r="I66" s="25">
        <v>3064525</v>
      </c>
      <c r="J66" s="26">
        <v>3396111</v>
      </c>
      <c r="K66" s="25">
        <v>0</v>
      </c>
    </row>
    <row r="67" spans="1:11" x14ac:dyDescent="0.45">
      <c r="A67" s="15" t="s">
        <v>119</v>
      </c>
      <c r="B67" s="19">
        <v>3396111</v>
      </c>
      <c r="C67" s="19">
        <v>17040</v>
      </c>
      <c r="D67" s="19">
        <v>576000</v>
      </c>
      <c r="E67" s="19">
        <v>558960</v>
      </c>
      <c r="F67" s="19">
        <v>2837151</v>
      </c>
      <c r="G67" s="19">
        <v>3064525</v>
      </c>
      <c r="H67" s="19">
        <v>510754</v>
      </c>
      <c r="I67" s="19">
        <v>2553770</v>
      </c>
      <c r="J67" s="20"/>
      <c r="K67" s="20"/>
    </row>
    <row r="68" spans="1:11" x14ac:dyDescent="0.45">
      <c r="A68" s="15" t="s">
        <v>120</v>
      </c>
      <c r="B68" s="19">
        <v>2837151</v>
      </c>
      <c r="C68" s="19">
        <v>14235</v>
      </c>
      <c r="D68" s="19">
        <v>576000</v>
      </c>
      <c r="E68" s="19">
        <v>561765</v>
      </c>
      <c r="F68" s="19">
        <v>2275387</v>
      </c>
      <c r="G68" s="19">
        <v>2553770</v>
      </c>
      <c r="H68" s="19">
        <v>510754</v>
      </c>
      <c r="I68" s="19">
        <v>2043016</v>
      </c>
      <c r="J68" s="20"/>
      <c r="K68" s="20"/>
    </row>
    <row r="69" spans="1:11" x14ac:dyDescent="0.45">
      <c r="A69" s="15" t="s">
        <v>121</v>
      </c>
      <c r="B69" s="19">
        <v>2275387</v>
      </c>
      <c r="C69" s="19">
        <v>11417</v>
      </c>
      <c r="D69" s="19">
        <v>576000</v>
      </c>
      <c r="E69" s="19">
        <v>564583</v>
      </c>
      <c r="F69" s="19">
        <v>1710803</v>
      </c>
      <c r="G69" s="19">
        <v>2043016</v>
      </c>
      <c r="H69" s="19">
        <v>510754</v>
      </c>
      <c r="I69" s="19">
        <v>1532262</v>
      </c>
      <c r="J69" s="20"/>
      <c r="K69" s="20"/>
    </row>
    <row r="70" spans="1:11" x14ac:dyDescent="0.45">
      <c r="A70" s="15" t="s">
        <v>122</v>
      </c>
      <c r="B70" s="19">
        <v>1710803</v>
      </c>
      <c r="C70" s="19">
        <v>8584</v>
      </c>
      <c r="D70" s="19">
        <v>576000</v>
      </c>
      <c r="E70" s="19">
        <v>567416</v>
      </c>
      <c r="F70" s="19">
        <v>1143387</v>
      </c>
      <c r="G70" s="19">
        <v>1532262</v>
      </c>
      <c r="H70" s="19">
        <v>510754</v>
      </c>
      <c r="I70" s="19">
        <v>1021508</v>
      </c>
      <c r="J70" s="20"/>
      <c r="K70" s="20"/>
    </row>
    <row r="71" spans="1:11" x14ac:dyDescent="0.45">
      <c r="A71" s="15" t="s">
        <v>123</v>
      </c>
      <c r="B71" s="19">
        <v>1143387</v>
      </c>
      <c r="C71" s="19">
        <v>5737</v>
      </c>
      <c r="D71" s="19">
        <v>576000</v>
      </c>
      <c r="E71" s="19">
        <v>570263</v>
      </c>
      <c r="F71" s="19">
        <v>573124</v>
      </c>
      <c r="G71" s="19">
        <v>1021508</v>
      </c>
      <c r="H71" s="19">
        <v>510754</v>
      </c>
      <c r="I71" s="19">
        <v>510754</v>
      </c>
      <c r="J71" s="20"/>
      <c r="K71" s="20"/>
    </row>
    <row r="72" spans="1:11" x14ac:dyDescent="0.45">
      <c r="A72" s="15" t="s">
        <v>124</v>
      </c>
      <c r="B72" s="19">
        <v>573124</v>
      </c>
      <c r="C72" s="19">
        <v>2876</v>
      </c>
      <c r="D72" s="19">
        <v>576000</v>
      </c>
      <c r="E72" s="19">
        <v>573124</v>
      </c>
      <c r="F72" s="19">
        <v>0</v>
      </c>
      <c r="G72" s="19">
        <v>510754</v>
      </c>
      <c r="H72" s="19">
        <v>510754</v>
      </c>
      <c r="I72" s="19">
        <v>0</v>
      </c>
      <c r="J72" s="20"/>
      <c r="K72" s="20"/>
    </row>
  </sheetData>
  <mergeCells count="4">
    <mergeCell ref="A1:I1"/>
    <mergeCell ref="A23:K23"/>
    <mergeCell ref="A14:H14"/>
    <mergeCell ref="A5:H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1" ht="22" customHeight="1" x14ac:dyDescent="0.45">
      <c r="A1" s="30" t="s">
        <v>125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45">
      <c r="A2" s="13" t="s">
        <v>34</v>
      </c>
      <c r="B2" s="13" t="s">
        <v>35</v>
      </c>
      <c r="C2" s="13" t="s">
        <v>36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19</v>
      </c>
      <c r="I2" s="13" t="s">
        <v>20</v>
      </c>
      <c r="J2" s="13" t="s">
        <v>126</v>
      </c>
    </row>
    <row r="3" spans="1:11" x14ac:dyDescent="0.45">
      <c r="A3" s="14">
        <v>45505</v>
      </c>
      <c r="B3" s="14">
        <v>46234</v>
      </c>
      <c r="C3" s="15">
        <v>24</v>
      </c>
      <c r="D3" s="16">
        <v>759000</v>
      </c>
      <c r="E3" s="15" t="s">
        <v>24</v>
      </c>
      <c r="F3" s="15" t="s">
        <v>25</v>
      </c>
      <c r="G3" s="17">
        <v>4.2900000000000001E-2</v>
      </c>
      <c r="H3" s="16">
        <v>20000000</v>
      </c>
      <c r="I3" s="16">
        <v>18388430.41883672</v>
      </c>
      <c r="J3" s="16">
        <v>1611569.581163276</v>
      </c>
    </row>
    <row r="5" spans="1:11" ht="22" customHeight="1" x14ac:dyDescent="0.45">
      <c r="A5" s="30" t="s">
        <v>37</v>
      </c>
      <c r="B5" s="31"/>
      <c r="C5" s="31"/>
      <c r="D5" s="31"/>
      <c r="E5" s="31"/>
      <c r="F5" s="31"/>
      <c r="G5" s="31"/>
      <c r="H5" s="31"/>
    </row>
    <row r="6" spans="1:11" x14ac:dyDescent="0.45">
      <c r="A6" s="18" t="s">
        <v>38</v>
      </c>
      <c r="B6" s="18" t="s">
        <v>39</v>
      </c>
      <c r="C6" s="18" t="s">
        <v>40</v>
      </c>
      <c r="D6" s="18" t="s">
        <v>41</v>
      </c>
      <c r="E6" s="18" t="s">
        <v>42</v>
      </c>
      <c r="F6" s="18" t="s">
        <v>43</v>
      </c>
      <c r="G6" s="18" t="s">
        <v>44</v>
      </c>
      <c r="H6" s="18" t="s">
        <v>45</v>
      </c>
    </row>
    <row r="7" spans="1:11" x14ac:dyDescent="0.45">
      <c r="A7" s="15" t="s">
        <v>48</v>
      </c>
      <c r="B7" s="19">
        <v>17441255</v>
      </c>
      <c r="C7" s="19">
        <v>281239</v>
      </c>
      <c r="D7" s="19">
        <v>3795000</v>
      </c>
      <c r="E7" s="19">
        <v>3513761</v>
      </c>
      <c r="F7" s="19">
        <v>13927494</v>
      </c>
      <c r="G7" s="19">
        <v>8688238</v>
      </c>
      <c r="H7" s="19">
        <v>5239255</v>
      </c>
    </row>
    <row r="8" spans="1:11" x14ac:dyDescent="0.45">
      <c r="A8" s="15" t="s">
        <v>49</v>
      </c>
      <c r="B8" s="19">
        <v>13927494</v>
      </c>
      <c r="C8" s="19">
        <v>419762</v>
      </c>
      <c r="D8" s="19">
        <v>9108000</v>
      </c>
      <c r="E8" s="19">
        <v>8688238</v>
      </c>
      <c r="F8" s="19">
        <v>5239255</v>
      </c>
      <c r="G8" s="19">
        <v>5239255</v>
      </c>
      <c r="H8" s="19">
        <v>0</v>
      </c>
    </row>
    <row r="9" spans="1:11" x14ac:dyDescent="0.45">
      <c r="A9" s="15" t="s">
        <v>50</v>
      </c>
      <c r="B9" s="19">
        <v>5239255</v>
      </c>
      <c r="C9" s="19">
        <v>73745</v>
      </c>
      <c r="D9" s="19">
        <v>5313000</v>
      </c>
      <c r="E9" s="19">
        <v>5239255</v>
      </c>
      <c r="F9" s="19">
        <v>0</v>
      </c>
      <c r="G9" s="20"/>
      <c r="H9" s="20"/>
    </row>
    <row r="10" spans="1:11" x14ac:dyDescent="0.45">
      <c r="A10" s="21" t="s">
        <v>32</v>
      </c>
      <c r="B10" s="22"/>
      <c r="C10" s="23">
        <v>774745</v>
      </c>
      <c r="D10" s="23">
        <v>18216000</v>
      </c>
      <c r="E10" s="23">
        <v>17441255</v>
      </c>
      <c r="F10" s="22"/>
      <c r="G10" s="22"/>
      <c r="H10" s="22"/>
    </row>
    <row r="12" spans="1:11" ht="22" customHeight="1" x14ac:dyDescent="0.45">
      <c r="A12" s="30" t="s">
        <v>51</v>
      </c>
      <c r="B12" s="31"/>
      <c r="C12" s="31"/>
      <c r="D12" s="31"/>
      <c r="E12" s="31"/>
      <c r="F12" s="31"/>
      <c r="G12" s="31"/>
      <c r="H12" s="31"/>
    </row>
    <row r="13" spans="1:11" x14ac:dyDescent="0.45">
      <c r="A13" s="18" t="s">
        <v>38</v>
      </c>
      <c r="B13" s="18" t="s">
        <v>52</v>
      </c>
      <c r="C13" s="18" t="s">
        <v>53</v>
      </c>
      <c r="D13" s="18" t="s">
        <v>54</v>
      </c>
      <c r="E13" s="18" t="s">
        <v>55</v>
      </c>
    </row>
    <row r="14" spans="1:11" x14ac:dyDescent="0.45">
      <c r="A14" s="15" t="s">
        <v>48</v>
      </c>
      <c r="B14" s="19">
        <v>19052824</v>
      </c>
      <c r="C14" s="19">
        <v>3969338</v>
      </c>
      <c r="D14" s="19">
        <v>3969338</v>
      </c>
      <c r="E14" s="19">
        <v>15083486</v>
      </c>
    </row>
    <row r="15" spans="1:11" x14ac:dyDescent="0.45">
      <c r="A15" s="15" t="s">
        <v>49</v>
      </c>
      <c r="B15" s="19">
        <v>19052824</v>
      </c>
      <c r="C15" s="19">
        <v>9526412</v>
      </c>
      <c r="D15" s="19">
        <v>13495751</v>
      </c>
      <c r="E15" s="19">
        <v>5557074</v>
      </c>
    </row>
    <row r="16" spans="1:11" x14ac:dyDescent="0.45">
      <c r="A16" s="15" t="s">
        <v>50</v>
      </c>
      <c r="B16" s="19">
        <v>19052824</v>
      </c>
      <c r="C16" s="19">
        <v>5557074</v>
      </c>
      <c r="D16" s="19">
        <v>19052824</v>
      </c>
      <c r="E16" s="19">
        <v>0</v>
      </c>
    </row>
    <row r="17" spans="1:14" x14ac:dyDescent="0.45">
      <c r="A17" s="21" t="s">
        <v>32</v>
      </c>
      <c r="B17" s="22"/>
      <c r="C17" s="23">
        <v>19052824</v>
      </c>
      <c r="D17" s="23">
        <v>19052824</v>
      </c>
      <c r="E17" s="23">
        <v>0</v>
      </c>
    </row>
    <row r="19" spans="1:14" ht="22" customHeight="1" x14ac:dyDescent="0.45">
      <c r="A19" s="30" t="s">
        <v>127</v>
      </c>
      <c r="B19" s="31"/>
      <c r="C19" s="31"/>
      <c r="D19" s="31"/>
      <c r="E19" s="31"/>
      <c r="F19" s="31"/>
    </row>
    <row r="20" spans="1:14" x14ac:dyDescent="0.45">
      <c r="A20" s="27" t="s">
        <v>38</v>
      </c>
      <c r="B20" s="27" t="s">
        <v>128</v>
      </c>
      <c r="C20" s="27" t="s">
        <v>129</v>
      </c>
      <c r="D20" s="27" t="s">
        <v>130</v>
      </c>
      <c r="E20" s="27" t="s">
        <v>131</v>
      </c>
      <c r="F20" s="27" t="s">
        <v>132</v>
      </c>
    </row>
    <row r="21" spans="1:14" x14ac:dyDescent="0.45">
      <c r="A21" s="15" t="s">
        <v>48</v>
      </c>
      <c r="B21" s="19">
        <v>18388430</v>
      </c>
      <c r="C21" s="19">
        <v>1611570</v>
      </c>
      <c r="D21" s="19">
        <v>324671</v>
      </c>
      <c r="E21" s="19">
        <v>18713101</v>
      </c>
      <c r="F21" s="28">
        <v>1286899</v>
      </c>
    </row>
    <row r="22" spans="1:14" x14ac:dyDescent="0.45">
      <c r="A22" s="15" t="s">
        <v>49</v>
      </c>
      <c r="B22" s="19">
        <v>18713101</v>
      </c>
      <c r="C22" s="19">
        <v>1286899</v>
      </c>
      <c r="D22" s="19">
        <v>802792</v>
      </c>
      <c r="E22" s="19">
        <v>19515894</v>
      </c>
      <c r="F22" s="28">
        <v>484106</v>
      </c>
    </row>
    <row r="23" spans="1:14" x14ac:dyDescent="0.45">
      <c r="A23" s="15" t="s">
        <v>50</v>
      </c>
      <c r="B23" s="19">
        <v>19515894</v>
      </c>
      <c r="C23" s="19">
        <v>484106</v>
      </c>
      <c r="D23" s="19">
        <v>484106</v>
      </c>
      <c r="E23" s="19">
        <v>20000000</v>
      </c>
      <c r="F23" s="28">
        <v>0</v>
      </c>
    </row>
    <row r="24" spans="1:14" x14ac:dyDescent="0.45">
      <c r="A24" s="21" t="s">
        <v>32</v>
      </c>
      <c r="B24" s="22"/>
      <c r="C24" s="22"/>
      <c r="D24" s="23">
        <v>1611570</v>
      </c>
      <c r="E24" s="23">
        <v>20000000</v>
      </c>
      <c r="F24" s="23">
        <v>0</v>
      </c>
    </row>
    <row r="26" spans="1:14" ht="22" customHeight="1" x14ac:dyDescent="0.45">
      <c r="A26" s="30" t="s">
        <v>56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spans="1:14" x14ac:dyDescent="0.45">
      <c r="A27" s="18" t="s">
        <v>57</v>
      </c>
      <c r="B27" s="18" t="s">
        <v>58</v>
      </c>
      <c r="C27" s="18" t="s">
        <v>40</v>
      </c>
      <c r="D27" s="18" t="s">
        <v>41</v>
      </c>
      <c r="E27" s="18" t="s">
        <v>42</v>
      </c>
      <c r="F27" s="18" t="s">
        <v>59</v>
      </c>
      <c r="G27" s="18" t="s">
        <v>60</v>
      </c>
      <c r="H27" s="18" t="s">
        <v>61</v>
      </c>
      <c r="I27" s="18" t="s">
        <v>62</v>
      </c>
      <c r="J27" s="18" t="s">
        <v>15</v>
      </c>
      <c r="K27" s="18" t="s">
        <v>16</v>
      </c>
      <c r="L27" s="27" t="s">
        <v>133</v>
      </c>
      <c r="M27" s="27" t="s">
        <v>134</v>
      </c>
      <c r="N27" s="27" t="s">
        <v>135</v>
      </c>
    </row>
    <row r="28" spans="1:14" x14ac:dyDescent="0.45">
      <c r="A28" s="15" t="s">
        <v>88</v>
      </c>
      <c r="B28" s="19">
        <v>17441255</v>
      </c>
      <c r="C28" s="19">
        <v>61159</v>
      </c>
      <c r="D28" s="19">
        <v>759000</v>
      </c>
      <c r="E28" s="19">
        <v>697841</v>
      </c>
      <c r="F28" s="19">
        <v>16743414</v>
      </c>
      <c r="G28" s="19">
        <v>19052824</v>
      </c>
      <c r="H28" s="19">
        <v>793868</v>
      </c>
      <c r="I28" s="19">
        <v>18258957</v>
      </c>
      <c r="J28" s="20"/>
      <c r="K28" s="20"/>
      <c r="L28" s="28">
        <v>18388430</v>
      </c>
      <c r="M28" s="28">
        <v>64480</v>
      </c>
      <c r="N28" s="28">
        <v>18452911</v>
      </c>
    </row>
    <row r="29" spans="1:14" x14ac:dyDescent="0.45">
      <c r="A29" s="15" t="s">
        <v>89</v>
      </c>
      <c r="B29" s="19">
        <v>16743414</v>
      </c>
      <c r="C29" s="19">
        <v>58712</v>
      </c>
      <c r="D29" s="19">
        <v>759000</v>
      </c>
      <c r="E29" s="19">
        <v>700288</v>
      </c>
      <c r="F29" s="19">
        <v>16043126</v>
      </c>
      <c r="G29" s="19">
        <v>18258957</v>
      </c>
      <c r="H29" s="19">
        <v>793868</v>
      </c>
      <c r="I29" s="19">
        <v>17465089</v>
      </c>
      <c r="J29" s="20"/>
      <c r="K29" s="20"/>
      <c r="L29" s="28">
        <v>18452911</v>
      </c>
      <c r="M29" s="28">
        <v>64707</v>
      </c>
      <c r="N29" s="28">
        <v>18517617</v>
      </c>
    </row>
    <row r="30" spans="1:14" x14ac:dyDescent="0.45">
      <c r="A30" s="15" t="s">
        <v>90</v>
      </c>
      <c r="B30" s="19">
        <v>16043126</v>
      </c>
      <c r="C30" s="19">
        <v>56256</v>
      </c>
      <c r="D30" s="19">
        <v>759000</v>
      </c>
      <c r="E30" s="19">
        <v>702744</v>
      </c>
      <c r="F30" s="19">
        <v>15340382</v>
      </c>
      <c r="G30" s="19">
        <v>17465089</v>
      </c>
      <c r="H30" s="19">
        <v>793868</v>
      </c>
      <c r="I30" s="19">
        <v>16671221</v>
      </c>
      <c r="J30" s="20"/>
      <c r="K30" s="20"/>
      <c r="L30" s="28">
        <v>18517617</v>
      </c>
      <c r="M30" s="28">
        <v>64933</v>
      </c>
      <c r="N30" s="28">
        <v>18582551</v>
      </c>
    </row>
    <row r="31" spans="1:14" x14ac:dyDescent="0.45">
      <c r="A31" s="15" t="s">
        <v>91</v>
      </c>
      <c r="B31" s="19">
        <v>15340382</v>
      </c>
      <c r="C31" s="19">
        <v>53792</v>
      </c>
      <c r="D31" s="19">
        <v>759000</v>
      </c>
      <c r="E31" s="19">
        <v>705208</v>
      </c>
      <c r="F31" s="19">
        <v>14635174</v>
      </c>
      <c r="G31" s="19">
        <v>16671221</v>
      </c>
      <c r="H31" s="19">
        <v>793868</v>
      </c>
      <c r="I31" s="19">
        <v>15877354</v>
      </c>
      <c r="J31" s="20"/>
      <c r="K31" s="20"/>
      <c r="L31" s="28">
        <v>18582551</v>
      </c>
      <c r="M31" s="28">
        <v>65161</v>
      </c>
      <c r="N31" s="28">
        <v>18647712</v>
      </c>
    </row>
    <row r="32" spans="1:14" x14ac:dyDescent="0.45">
      <c r="A32" s="24" t="s">
        <v>92</v>
      </c>
      <c r="B32" s="25">
        <v>14635174</v>
      </c>
      <c r="C32" s="25">
        <v>51319</v>
      </c>
      <c r="D32" s="25">
        <v>759000</v>
      </c>
      <c r="E32" s="25">
        <v>707681</v>
      </c>
      <c r="F32" s="25">
        <v>13927494</v>
      </c>
      <c r="G32" s="25">
        <v>15877354</v>
      </c>
      <c r="H32" s="25">
        <v>793868</v>
      </c>
      <c r="I32" s="25">
        <v>15083486</v>
      </c>
      <c r="J32" s="26">
        <v>8688238</v>
      </c>
      <c r="K32" s="26">
        <v>5239255</v>
      </c>
      <c r="L32" s="29">
        <v>18647712</v>
      </c>
      <c r="M32" s="29">
        <v>65390</v>
      </c>
      <c r="N32" s="29">
        <v>18713101</v>
      </c>
    </row>
    <row r="33" spans="1:14" x14ac:dyDescent="0.45">
      <c r="A33" s="15" t="s">
        <v>93</v>
      </c>
      <c r="B33" s="19">
        <v>13927494</v>
      </c>
      <c r="C33" s="19">
        <v>48838</v>
      </c>
      <c r="D33" s="19">
        <v>759000</v>
      </c>
      <c r="E33" s="19">
        <v>710162</v>
      </c>
      <c r="F33" s="19">
        <v>13217332</v>
      </c>
      <c r="G33" s="19">
        <v>15083486</v>
      </c>
      <c r="H33" s="19">
        <v>793868</v>
      </c>
      <c r="I33" s="19">
        <v>14289618</v>
      </c>
      <c r="J33" s="20"/>
      <c r="K33" s="20"/>
      <c r="L33" s="28">
        <v>18713101</v>
      </c>
      <c r="M33" s="28">
        <v>65619</v>
      </c>
      <c r="N33" s="28">
        <v>18778720</v>
      </c>
    </row>
    <row r="34" spans="1:14" x14ac:dyDescent="0.45">
      <c r="A34" s="15" t="s">
        <v>94</v>
      </c>
      <c r="B34" s="19">
        <v>13217332</v>
      </c>
      <c r="C34" s="19">
        <v>46348</v>
      </c>
      <c r="D34" s="19">
        <v>759000</v>
      </c>
      <c r="E34" s="19">
        <v>712652</v>
      </c>
      <c r="F34" s="19">
        <v>12504679</v>
      </c>
      <c r="G34" s="19">
        <v>14289618</v>
      </c>
      <c r="H34" s="19">
        <v>793868</v>
      </c>
      <c r="I34" s="19">
        <v>13495751</v>
      </c>
      <c r="J34" s="20"/>
      <c r="K34" s="20"/>
      <c r="L34" s="28">
        <v>18778720</v>
      </c>
      <c r="M34" s="28">
        <v>65849</v>
      </c>
      <c r="N34" s="28">
        <v>18844569</v>
      </c>
    </row>
    <row r="35" spans="1:14" x14ac:dyDescent="0.45">
      <c r="A35" s="15" t="s">
        <v>95</v>
      </c>
      <c r="B35" s="19">
        <v>12504679</v>
      </c>
      <c r="C35" s="19">
        <v>43849</v>
      </c>
      <c r="D35" s="19">
        <v>759000</v>
      </c>
      <c r="E35" s="19">
        <v>715151</v>
      </c>
      <c r="F35" s="19">
        <v>11789528</v>
      </c>
      <c r="G35" s="19">
        <v>13495751</v>
      </c>
      <c r="H35" s="19">
        <v>793868</v>
      </c>
      <c r="I35" s="19">
        <v>12701883</v>
      </c>
      <c r="J35" s="20"/>
      <c r="K35" s="20"/>
      <c r="L35" s="28">
        <v>18844569</v>
      </c>
      <c r="M35" s="28">
        <v>66080</v>
      </c>
      <c r="N35" s="28">
        <v>18910649</v>
      </c>
    </row>
    <row r="36" spans="1:14" x14ac:dyDescent="0.45">
      <c r="A36" s="15" t="s">
        <v>96</v>
      </c>
      <c r="B36" s="19">
        <v>11789528</v>
      </c>
      <c r="C36" s="19">
        <v>41341</v>
      </c>
      <c r="D36" s="19">
        <v>759000</v>
      </c>
      <c r="E36" s="19">
        <v>717659</v>
      </c>
      <c r="F36" s="19">
        <v>11071869</v>
      </c>
      <c r="G36" s="19">
        <v>12701883</v>
      </c>
      <c r="H36" s="19">
        <v>793868</v>
      </c>
      <c r="I36" s="19">
        <v>11908015</v>
      </c>
      <c r="J36" s="20"/>
      <c r="K36" s="20"/>
      <c r="L36" s="28">
        <v>18910649</v>
      </c>
      <c r="M36" s="28">
        <v>66312</v>
      </c>
      <c r="N36" s="28">
        <v>18976961</v>
      </c>
    </row>
    <row r="37" spans="1:14" x14ac:dyDescent="0.45">
      <c r="A37" s="15" t="s">
        <v>97</v>
      </c>
      <c r="B37" s="19">
        <v>11071869</v>
      </c>
      <c r="C37" s="19">
        <v>38824</v>
      </c>
      <c r="D37" s="19">
        <v>759000</v>
      </c>
      <c r="E37" s="19">
        <v>720176</v>
      </c>
      <c r="F37" s="19">
        <v>10351693</v>
      </c>
      <c r="G37" s="19">
        <v>11908015</v>
      </c>
      <c r="H37" s="19">
        <v>793868</v>
      </c>
      <c r="I37" s="19">
        <v>11114148</v>
      </c>
      <c r="J37" s="20"/>
      <c r="K37" s="20"/>
      <c r="L37" s="28">
        <v>18976961</v>
      </c>
      <c r="M37" s="28">
        <v>66544</v>
      </c>
      <c r="N37" s="28">
        <v>19043505</v>
      </c>
    </row>
    <row r="38" spans="1:14" x14ac:dyDescent="0.45">
      <c r="A38" s="15" t="s">
        <v>98</v>
      </c>
      <c r="B38" s="19">
        <v>10351693</v>
      </c>
      <c r="C38" s="19">
        <v>36299</v>
      </c>
      <c r="D38" s="19">
        <v>759000</v>
      </c>
      <c r="E38" s="19">
        <v>722701</v>
      </c>
      <c r="F38" s="19">
        <v>9628992</v>
      </c>
      <c r="G38" s="19">
        <v>11114148</v>
      </c>
      <c r="H38" s="19">
        <v>793868</v>
      </c>
      <c r="I38" s="19">
        <v>10320280</v>
      </c>
      <c r="J38" s="20"/>
      <c r="K38" s="20"/>
      <c r="L38" s="28">
        <v>19043505</v>
      </c>
      <c r="M38" s="28">
        <v>66777</v>
      </c>
      <c r="N38" s="28">
        <v>19110282</v>
      </c>
    </row>
    <row r="39" spans="1:14" x14ac:dyDescent="0.45">
      <c r="A39" s="15" t="s">
        <v>99</v>
      </c>
      <c r="B39" s="19">
        <v>9628992</v>
      </c>
      <c r="C39" s="19">
        <v>33765</v>
      </c>
      <c r="D39" s="19">
        <v>759000</v>
      </c>
      <c r="E39" s="19">
        <v>725235</v>
      </c>
      <c r="F39" s="19">
        <v>8903757</v>
      </c>
      <c r="G39" s="19">
        <v>10320280</v>
      </c>
      <c r="H39" s="19">
        <v>793868</v>
      </c>
      <c r="I39" s="19">
        <v>9526412</v>
      </c>
      <c r="J39" s="20"/>
      <c r="K39" s="20"/>
      <c r="L39" s="28">
        <v>19110282</v>
      </c>
      <c r="M39" s="28">
        <v>67012</v>
      </c>
      <c r="N39" s="28">
        <v>19177294</v>
      </c>
    </row>
    <row r="40" spans="1:14" x14ac:dyDescent="0.45">
      <c r="A40" s="15" t="s">
        <v>100</v>
      </c>
      <c r="B40" s="19">
        <v>8903757</v>
      </c>
      <c r="C40" s="19">
        <v>31222</v>
      </c>
      <c r="D40" s="19">
        <v>759000</v>
      </c>
      <c r="E40" s="19">
        <v>727778</v>
      </c>
      <c r="F40" s="19">
        <v>8175978</v>
      </c>
      <c r="G40" s="19">
        <v>9526412</v>
      </c>
      <c r="H40" s="19">
        <v>793868</v>
      </c>
      <c r="I40" s="19">
        <v>8732544</v>
      </c>
      <c r="J40" s="20"/>
      <c r="K40" s="20"/>
      <c r="L40" s="28">
        <v>19177294</v>
      </c>
      <c r="M40" s="28">
        <v>67247</v>
      </c>
      <c r="N40" s="28">
        <v>19244541</v>
      </c>
    </row>
    <row r="41" spans="1:14" x14ac:dyDescent="0.45">
      <c r="A41" s="15" t="s">
        <v>101</v>
      </c>
      <c r="B41" s="19">
        <v>8175978</v>
      </c>
      <c r="C41" s="19">
        <v>28670</v>
      </c>
      <c r="D41" s="19">
        <v>759000</v>
      </c>
      <c r="E41" s="19">
        <v>730330</v>
      </c>
      <c r="F41" s="19">
        <v>7445648</v>
      </c>
      <c r="G41" s="19">
        <v>8732544</v>
      </c>
      <c r="H41" s="19">
        <v>793868</v>
      </c>
      <c r="I41" s="19">
        <v>7938677</v>
      </c>
      <c r="J41" s="20"/>
      <c r="K41" s="20"/>
      <c r="L41" s="28">
        <v>19244541</v>
      </c>
      <c r="M41" s="28">
        <v>67482</v>
      </c>
      <c r="N41" s="28">
        <v>19312023</v>
      </c>
    </row>
    <row r="42" spans="1:14" x14ac:dyDescent="0.45">
      <c r="A42" s="15" t="s">
        <v>102</v>
      </c>
      <c r="B42" s="19">
        <v>7445648</v>
      </c>
      <c r="C42" s="19">
        <v>26109</v>
      </c>
      <c r="D42" s="19">
        <v>759000</v>
      </c>
      <c r="E42" s="19">
        <v>732891</v>
      </c>
      <c r="F42" s="19">
        <v>6712757</v>
      </c>
      <c r="G42" s="19">
        <v>7938677</v>
      </c>
      <c r="H42" s="19">
        <v>793868</v>
      </c>
      <c r="I42" s="19">
        <v>7144809</v>
      </c>
      <c r="J42" s="20"/>
      <c r="K42" s="20"/>
      <c r="L42" s="28">
        <v>19312023</v>
      </c>
      <c r="M42" s="28">
        <v>67719</v>
      </c>
      <c r="N42" s="28">
        <v>19379742</v>
      </c>
    </row>
    <row r="43" spans="1:14" x14ac:dyDescent="0.45">
      <c r="A43" s="15" t="s">
        <v>103</v>
      </c>
      <c r="B43" s="19">
        <v>6712757</v>
      </c>
      <c r="C43" s="19">
        <v>23539</v>
      </c>
      <c r="D43" s="19">
        <v>759000</v>
      </c>
      <c r="E43" s="19">
        <v>735461</v>
      </c>
      <c r="F43" s="19">
        <v>5977296</v>
      </c>
      <c r="G43" s="19">
        <v>7144809</v>
      </c>
      <c r="H43" s="19">
        <v>793868</v>
      </c>
      <c r="I43" s="19">
        <v>6350941</v>
      </c>
      <c r="J43" s="20"/>
      <c r="K43" s="20"/>
      <c r="L43" s="28">
        <v>19379742</v>
      </c>
      <c r="M43" s="28">
        <v>67957</v>
      </c>
      <c r="N43" s="28">
        <v>19447699</v>
      </c>
    </row>
    <row r="44" spans="1:14" x14ac:dyDescent="0.45">
      <c r="A44" s="24" t="s">
        <v>104</v>
      </c>
      <c r="B44" s="25">
        <v>5977296</v>
      </c>
      <c r="C44" s="25">
        <v>20960</v>
      </c>
      <c r="D44" s="25">
        <v>759000</v>
      </c>
      <c r="E44" s="25">
        <v>738040</v>
      </c>
      <c r="F44" s="25">
        <v>5239255</v>
      </c>
      <c r="G44" s="25">
        <v>6350941</v>
      </c>
      <c r="H44" s="25">
        <v>793868</v>
      </c>
      <c r="I44" s="25">
        <v>5557074</v>
      </c>
      <c r="J44" s="26">
        <v>5239255</v>
      </c>
      <c r="K44" s="25">
        <v>0</v>
      </c>
      <c r="L44" s="29">
        <v>19447699</v>
      </c>
      <c r="M44" s="29">
        <v>68195</v>
      </c>
      <c r="N44" s="29">
        <v>19515894</v>
      </c>
    </row>
    <row r="45" spans="1:14" x14ac:dyDescent="0.45">
      <c r="A45" s="15" t="s">
        <v>105</v>
      </c>
      <c r="B45" s="19">
        <v>5239255</v>
      </c>
      <c r="C45" s="19">
        <v>18372</v>
      </c>
      <c r="D45" s="19">
        <v>759000</v>
      </c>
      <c r="E45" s="19">
        <v>740628</v>
      </c>
      <c r="F45" s="19">
        <v>4498627</v>
      </c>
      <c r="G45" s="19">
        <v>5557074</v>
      </c>
      <c r="H45" s="19">
        <v>793868</v>
      </c>
      <c r="I45" s="19">
        <v>4763206</v>
      </c>
      <c r="J45" s="20"/>
      <c r="K45" s="20"/>
      <c r="L45" s="28">
        <v>19515894</v>
      </c>
      <c r="M45" s="28">
        <v>68434</v>
      </c>
      <c r="N45" s="28">
        <v>19584327</v>
      </c>
    </row>
    <row r="46" spans="1:14" x14ac:dyDescent="0.45">
      <c r="A46" s="15" t="s">
        <v>106</v>
      </c>
      <c r="B46" s="19">
        <v>4498627</v>
      </c>
      <c r="C46" s="19">
        <v>15775</v>
      </c>
      <c r="D46" s="19">
        <v>759000</v>
      </c>
      <c r="E46" s="19">
        <v>743225</v>
      </c>
      <c r="F46" s="19">
        <v>3755402</v>
      </c>
      <c r="G46" s="19">
        <v>4763206</v>
      </c>
      <c r="H46" s="19">
        <v>793868</v>
      </c>
      <c r="I46" s="19">
        <v>3969338</v>
      </c>
      <c r="J46" s="20"/>
      <c r="K46" s="20"/>
      <c r="L46" s="28">
        <v>19584327</v>
      </c>
      <c r="M46" s="28">
        <v>68674</v>
      </c>
      <c r="N46" s="28">
        <v>19653001</v>
      </c>
    </row>
    <row r="47" spans="1:14" x14ac:dyDescent="0.45">
      <c r="A47" s="15" t="s">
        <v>107</v>
      </c>
      <c r="B47" s="19">
        <v>3755402</v>
      </c>
      <c r="C47" s="19">
        <v>13169</v>
      </c>
      <c r="D47" s="19">
        <v>759000</v>
      </c>
      <c r="E47" s="19">
        <v>745831</v>
      </c>
      <c r="F47" s="19">
        <v>3009571</v>
      </c>
      <c r="G47" s="19">
        <v>3969338</v>
      </c>
      <c r="H47" s="19">
        <v>793868</v>
      </c>
      <c r="I47" s="19">
        <v>3175471</v>
      </c>
      <c r="J47" s="20"/>
      <c r="K47" s="20"/>
      <c r="L47" s="28">
        <v>19653001</v>
      </c>
      <c r="M47" s="28">
        <v>68915</v>
      </c>
      <c r="N47" s="28">
        <v>19721916</v>
      </c>
    </row>
    <row r="48" spans="1:14" x14ac:dyDescent="0.45">
      <c r="A48" s="15" t="s">
        <v>108</v>
      </c>
      <c r="B48" s="19">
        <v>3009571</v>
      </c>
      <c r="C48" s="19">
        <v>10553</v>
      </c>
      <c r="D48" s="19">
        <v>759000</v>
      </c>
      <c r="E48" s="19">
        <v>748447</v>
      </c>
      <c r="F48" s="19">
        <v>2261124</v>
      </c>
      <c r="G48" s="19">
        <v>3175471</v>
      </c>
      <c r="H48" s="19">
        <v>793868</v>
      </c>
      <c r="I48" s="19">
        <v>2381603</v>
      </c>
      <c r="J48" s="20"/>
      <c r="K48" s="20"/>
      <c r="L48" s="28">
        <v>19721916</v>
      </c>
      <c r="M48" s="28">
        <v>69156</v>
      </c>
      <c r="N48" s="28">
        <v>19791072</v>
      </c>
    </row>
    <row r="49" spans="1:14" x14ac:dyDescent="0.45">
      <c r="A49" s="15" t="s">
        <v>109</v>
      </c>
      <c r="B49" s="19">
        <v>2261124</v>
      </c>
      <c r="C49" s="19">
        <v>7929</v>
      </c>
      <c r="D49" s="19">
        <v>759000</v>
      </c>
      <c r="E49" s="19">
        <v>751071</v>
      </c>
      <c r="F49" s="19">
        <v>1510053</v>
      </c>
      <c r="G49" s="19">
        <v>2381603</v>
      </c>
      <c r="H49" s="19">
        <v>793868</v>
      </c>
      <c r="I49" s="19">
        <v>1587735</v>
      </c>
      <c r="J49" s="20"/>
      <c r="K49" s="20"/>
      <c r="L49" s="28">
        <v>19791072</v>
      </c>
      <c r="M49" s="28">
        <v>69399</v>
      </c>
      <c r="N49" s="28">
        <v>19860471</v>
      </c>
    </row>
    <row r="50" spans="1:14" x14ac:dyDescent="0.45">
      <c r="A50" s="15" t="s">
        <v>110</v>
      </c>
      <c r="B50" s="19">
        <v>1510053</v>
      </c>
      <c r="C50" s="19">
        <v>5295</v>
      </c>
      <c r="D50" s="19">
        <v>759000</v>
      </c>
      <c r="E50" s="19">
        <v>753705</v>
      </c>
      <c r="F50" s="19">
        <v>756348</v>
      </c>
      <c r="G50" s="19">
        <v>1587735</v>
      </c>
      <c r="H50" s="19">
        <v>793868</v>
      </c>
      <c r="I50" s="19">
        <v>793868</v>
      </c>
      <c r="J50" s="20"/>
      <c r="K50" s="20"/>
      <c r="L50" s="28">
        <v>19860471</v>
      </c>
      <c r="M50" s="28">
        <v>69642</v>
      </c>
      <c r="N50" s="28">
        <v>19930114</v>
      </c>
    </row>
    <row r="51" spans="1:14" x14ac:dyDescent="0.45">
      <c r="A51" s="15" t="s">
        <v>113</v>
      </c>
      <c r="B51" s="19">
        <v>756348</v>
      </c>
      <c r="C51" s="19">
        <v>2652</v>
      </c>
      <c r="D51" s="19">
        <v>759000</v>
      </c>
      <c r="E51" s="19">
        <v>756348</v>
      </c>
      <c r="F51" s="19">
        <v>0</v>
      </c>
      <c r="G51" s="19">
        <v>793868</v>
      </c>
      <c r="H51" s="19">
        <v>793868</v>
      </c>
      <c r="I51" s="19">
        <v>0</v>
      </c>
      <c r="J51" s="20"/>
      <c r="K51" s="20"/>
      <c r="L51" s="28">
        <v>19930114</v>
      </c>
      <c r="M51" s="28">
        <v>69886</v>
      </c>
      <c r="N51" s="28">
        <v>20000000</v>
      </c>
    </row>
  </sheetData>
  <mergeCells count="5">
    <mergeCell ref="A12:H12"/>
    <mergeCell ref="A19:F19"/>
    <mergeCell ref="A26:N26"/>
    <mergeCell ref="A5:H5"/>
    <mergeCell ref="A1:K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9" ht="22" customHeight="1" x14ac:dyDescent="0.45">
      <c r="A1" s="30" t="s">
        <v>136</v>
      </c>
      <c r="B1" s="31"/>
      <c r="C1" s="31"/>
      <c r="D1" s="31"/>
      <c r="E1" s="31"/>
      <c r="F1" s="31"/>
      <c r="G1" s="31"/>
      <c r="H1" s="31"/>
      <c r="I1" s="31"/>
    </row>
    <row r="2" spans="1:9" x14ac:dyDescent="0.45">
      <c r="A2" s="13" t="s">
        <v>34</v>
      </c>
      <c r="B2" s="13" t="s">
        <v>35</v>
      </c>
      <c r="C2" s="13" t="s">
        <v>36</v>
      </c>
      <c r="D2" s="13" t="s">
        <v>5</v>
      </c>
      <c r="E2" s="13" t="s">
        <v>6</v>
      </c>
      <c r="F2" s="13" t="s">
        <v>7</v>
      </c>
      <c r="G2" s="13" t="s">
        <v>8</v>
      </c>
    </row>
    <row r="3" spans="1:9" x14ac:dyDescent="0.45">
      <c r="A3" s="14">
        <v>45544</v>
      </c>
      <c r="B3" s="14">
        <v>47004</v>
      </c>
      <c r="C3" s="15">
        <v>48</v>
      </c>
      <c r="D3" s="16">
        <v>1578000</v>
      </c>
      <c r="E3" s="15" t="s">
        <v>24</v>
      </c>
      <c r="F3" s="15" t="s">
        <v>25</v>
      </c>
      <c r="G3" s="17">
        <v>4.8699999999999993E-2</v>
      </c>
    </row>
    <row r="5" spans="1:9" ht="22" customHeight="1" x14ac:dyDescent="0.45">
      <c r="A5" s="30" t="s">
        <v>37</v>
      </c>
      <c r="B5" s="31"/>
      <c r="C5" s="31"/>
      <c r="D5" s="31"/>
      <c r="E5" s="31"/>
      <c r="F5" s="31"/>
      <c r="G5" s="31"/>
      <c r="H5" s="31"/>
    </row>
    <row r="6" spans="1:9" x14ac:dyDescent="0.45">
      <c r="A6" s="18" t="s">
        <v>38</v>
      </c>
      <c r="B6" s="18" t="s">
        <v>39</v>
      </c>
      <c r="C6" s="18" t="s">
        <v>40</v>
      </c>
      <c r="D6" s="18" t="s">
        <v>41</v>
      </c>
      <c r="E6" s="18" t="s">
        <v>42</v>
      </c>
      <c r="F6" s="18" t="s">
        <v>43</v>
      </c>
      <c r="G6" s="18" t="s">
        <v>44</v>
      </c>
      <c r="H6" s="18" t="s">
        <v>45</v>
      </c>
    </row>
    <row r="7" spans="1:9" x14ac:dyDescent="0.45">
      <c r="A7" s="15" t="s">
        <v>48</v>
      </c>
      <c r="B7" s="19">
        <v>68839770</v>
      </c>
      <c r="C7" s="19">
        <v>1062142</v>
      </c>
      <c r="D7" s="19">
        <v>6312000</v>
      </c>
      <c r="E7" s="19">
        <v>5249858</v>
      </c>
      <c r="F7" s="19">
        <v>63589912</v>
      </c>
      <c r="G7" s="19">
        <v>16258210</v>
      </c>
      <c r="H7" s="19">
        <v>47331702</v>
      </c>
    </row>
    <row r="8" spans="1:9" x14ac:dyDescent="0.45">
      <c r="A8" s="15" t="s">
        <v>49</v>
      </c>
      <c r="B8" s="19">
        <v>63589912</v>
      </c>
      <c r="C8" s="19">
        <v>2677790</v>
      </c>
      <c r="D8" s="19">
        <v>18936000</v>
      </c>
      <c r="E8" s="19">
        <v>16258210</v>
      </c>
      <c r="F8" s="19">
        <v>47331702</v>
      </c>
      <c r="G8" s="19">
        <v>17049985</v>
      </c>
      <c r="H8" s="19">
        <v>30281717</v>
      </c>
    </row>
    <row r="9" spans="1:9" x14ac:dyDescent="0.45">
      <c r="A9" s="15" t="s">
        <v>50</v>
      </c>
      <c r="B9" s="19">
        <v>47331702</v>
      </c>
      <c r="C9" s="19">
        <v>1886015</v>
      </c>
      <c r="D9" s="19">
        <v>18936000</v>
      </c>
      <c r="E9" s="19">
        <v>17049985</v>
      </c>
      <c r="F9" s="19">
        <v>30281717</v>
      </c>
      <c r="G9" s="19">
        <v>17880319</v>
      </c>
      <c r="H9" s="19">
        <v>12401398</v>
      </c>
    </row>
    <row r="10" spans="1:9" x14ac:dyDescent="0.45">
      <c r="A10" s="15" t="s">
        <v>112</v>
      </c>
      <c r="B10" s="19">
        <v>30281717</v>
      </c>
      <c r="C10" s="19">
        <v>1055681</v>
      </c>
      <c r="D10" s="19">
        <v>18936000</v>
      </c>
      <c r="E10" s="19">
        <v>17880319</v>
      </c>
      <c r="F10" s="19">
        <v>12401398</v>
      </c>
      <c r="G10" s="19">
        <v>12401398</v>
      </c>
      <c r="H10" s="19">
        <v>0</v>
      </c>
    </row>
    <row r="11" spans="1:9" x14ac:dyDescent="0.45">
      <c r="A11" s="15" t="s">
        <v>137</v>
      </c>
      <c r="B11" s="19">
        <v>12401398</v>
      </c>
      <c r="C11" s="19">
        <v>222602</v>
      </c>
      <c r="D11" s="19">
        <v>12624000</v>
      </c>
      <c r="E11" s="19">
        <v>12401398</v>
      </c>
      <c r="F11" s="19">
        <v>0</v>
      </c>
      <c r="G11" s="20"/>
      <c r="H11" s="20"/>
    </row>
    <row r="12" spans="1:9" x14ac:dyDescent="0.45">
      <c r="A12" s="21" t="s">
        <v>32</v>
      </c>
      <c r="B12" s="22"/>
      <c r="C12" s="23">
        <v>6904230</v>
      </c>
      <c r="D12" s="23">
        <v>75744000</v>
      </c>
      <c r="E12" s="23">
        <v>68839770</v>
      </c>
      <c r="F12" s="22"/>
      <c r="G12" s="22"/>
      <c r="H12" s="22"/>
    </row>
    <row r="14" spans="1:9" ht="22" customHeight="1" x14ac:dyDescent="0.45">
      <c r="A14" s="30" t="s">
        <v>51</v>
      </c>
      <c r="B14" s="31"/>
      <c r="C14" s="31"/>
      <c r="D14" s="31"/>
      <c r="E14" s="31"/>
      <c r="F14" s="31"/>
      <c r="G14" s="31"/>
      <c r="H14" s="31"/>
    </row>
    <row r="15" spans="1:9" x14ac:dyDescent="0.45">
      <c r="A15" s="18" t="s">
        <v>38</v>
      </c>
      <c r="B15" s="18" t="s">
        <v>52</v>
      </c>
      <c r="C15" s="18" t="s">
        <v>53</v>
      </c>
      <c r="D15" s="18" t="s">
        <v>54</v>
      </c>
      <c r="E15" s="18" t="s">
        <v>55</v>
      </c>
    </row>
    <row r="16" spans="1:9" x14ac:dyDescent="0.45">
      <c r="A16" s="15" t="s">
        <v>48</v>
      </c>
      <c r="B16" s="19">
        <v>68839770</v>
      </c>
      <c r="C16" s="19">
        <v>5736648</v>
      </c>
      <c r="D16" s="19">
        <v>5736648</v>
      </c>
      <c r="E16" s="19">
        <v>63103123</v>
      </c>
    </row>
    <row r="17" spans="1:11" x14ac:dyDescent="0.45">
      <c r="A17" s="15" t="s">
        <v>49</v>
      </c>
      <c r="B17" s="19">
        <v>68839770</v>
      </c>
      <c r="C17" s="19">
        <v>17209943</v>
      </c>
      <c r="D17" s="19">
        <v>22946590</v>
      </c>
      <c r="E17" s="19">
        <v>45893180</v>
      </c>
    </row>
    <row r="18" spans="1:11" x14ac:dyDescent="0.45">
      <c r="A18" s="15" t="s">
        <v>50</v>
      </c>
      <c r="B18" s="19">
        <v>68839770</v>
      </c>
      <c r="C18" s="19">
        <v>17209943</v>
      </c>
      <c r="D18" s="19">
        <v>40156533</v>
      </c>
      <c r="E18" s="19">
        <v>28683238</v>
      </c>
    </row>
    <row r="19" spans="1:11" x14ac:dyDescent="0.45">
      <c r="A19" s="15" t="s">
        <v>112</v>
      </c>
      <c r="B19" s="19">
        <v>68839770</v>
      </c>
      <c r="C19" s="19">
        <v>17209943</v>
      </c>
      <c r="D19" s="19">
        <v>57366475</v>
      </c>
      <c r="E19" s="19">
        <v>11473295</v>
      </c>
    </row>
    <row r="20" spans="1:11" x14ac:dyDescent="0.45">
      <c r="A20" s="15" t="s">
        <v>137</v>
      </c>
      <c r="B20" s="19">
        <v>68839770</v>
      </c>
      <c r="C20" s="19">
        <v>11473295</v>
      </c>
      <c r="D20" s="19">
        <v>68839770</v>
      </c>
      <c r="E20" s="19">
        <v>0</v>
      </c>
    </row>
    <row r="21" spans="1:11" x14ac:dyDescent="0.45">
      <c r="A21" s="21" t="s">
        <v>32</v>
      </c>
      <c r="B21" s="22"/>
      <c r="C21" s="23">
        <v>68839770</v>
      </c>
      <c r="D21" s="23">
        <v>68839770</v>
      </c>
      <c r="E21" s="23">
        <v>0</v>
      </c>
    </row>
    <row r="23" spans="1:11" ht="22" customHeight="1" x14ac:dyDescent="0.45">
      <c r="A23" s="30" t="s">
        <v>56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x14ac:dyDescent="0.45">
      <c r="A24" s="18" t="s">
        <v>57</v>
      </c>
      <c r="B24" s="18" t="s">
        <v>58</v>
      </c>
      <c r="C24" s="18" t="s">
        <v>40</v>
      </c>
      <c r="D24" s="18" t="s">
        <v>41</v>
      </c>
      <c r="E24" s="18" t="s">
        <v>42</v>
      </c>
      <c r="F24" s="18" t="s">
        <v>59</v>
      </c>
      <c r="G24" s="18" t="s">
        <v>60</v>
      </c>
      <c r="H24" s="18" t="s">
        <v>61</v>
      </c>
      <c r="I24" s="18" t="s">
        <v>62</v>
      </c>
      <c r="J24" s="18" t="s">
        <v>15</v>
      </c>
      <c r="K24" s="18" t="s">
        <v>16</v>
      </c>
    </row>
    <row r="25" spans="1:11" x14ac:dyDescent="0.45">
      <c r="A25" s="15" t="s">
        <v>89</v>
      </c>
      <c r="B25" s="19">
        <v>68839770</v>
      </c>
      <c r="C25" s="19">
        <v>273326</v>
      </c>
      <c r="D25" s="19">
        <v>1578000</v>
      </c>
      <c r="E25" s="19">
        <v>1304674</v>
      </c>
      <c r="F25" s="19">
        <v>67535097</v>
      </c>
      <c r="G25" s="19">
        <v>68839770</v>
      </c>
      <c r="H25" s="19">
        <v>1434162</v>
      </c>
      <c r="I25" s="19">
        <v>67405608</v>
      </c>
      <c r="J25" s="20"/>
      <c r="K25" s="20"/>
    </row>
    <row r="26" spans="1:11" x14ac:dyDescent="0.45">
      <c r="A26" s="15" t="s">
        <v>90</v>
      </c>
      <c r="B26" s="19">
        <v>67535097</v>
      </c>
      <c r="C26" s="19">
        <v>268146</v>
      </c>
      <c r="D26" s="19">
        <v>1578000</v>
      </c>
      <c r="E26" s="19">
        <v>1309854</v>
      </c>
      <c r="F26" s="19">
        <v>66225243</v>
      </c>
      <c r="G26" s="19">
        <v>67405608</v>
      </c>
      <c r="H26" s="19">
        <v>1434162</v>
      </c>
      <c r="I26" s="19">
        <v>65971447</v>
      </c>
      <c r="J26" s="20"/>
      <c r="K26" s="20"/>
    </row>
    <row r="27" spans="1:11" x14ac:dyDescent="0.45">
      <c r="A27" s="15" t="s">
        <v>91</v>
      </c>
      <c r="B27" s="19">
        <v>66225243</v>
      </c>
      <c r="C27" s="19">
        <v>262945</v>
      </c>
      <c r="D27" s="19">
        <v>1578000</v>
      </c>
      <c r="E27" s="19">
        <v>1315055</v>
      </c>
      <c r="F27" s="19">
        <v>64910188</v>
      </c>
      <c r="G27" s="19">
        <v>65971447</v>
      </c>
      <c r="H27" s="19">
        <v>1434162</v>
      </c>
      <c r="I27" s="19">
        <v>64537285</v>
      </c>
      <c r="J27" s="20"/>
      <c r="K27" s="20"/>
    </row>
    <row r="28" spans="1:11" x14ac:dyDescent="0.45">
      <c r="A28" s="24" t="s">
        <v>92</v>
      </c>
      <c r="B28" s="25">
        <v>64910188</v>
      </c>
      <c r="C28" s="25">
        <v>257724</v>
      </c>
      <c r="D28" s="25">
        <v>1578000</v>
      </c>
      <c r="E28" s="25">
        <v>1320276</v>
      </c>
      <c r="F28" s="25">
        <v>63589912</v>
      </c>
      <c r="G28" s="25">
        <v>64537285</v>
      </c>
      <c r="H28" s="25">
        <v>1434162</v>
      </c>
      <c r="I28" s="25">
        <v>63103123</v>
      </c>
      <c r="J28" s="26">
        <v>16258210</v>
      </c>
      <c r="K28" s="26">
        <v>47331702</v>
      </c>
    </row>
    <row r="29" spans="1:11" x14ac:dyDescent="0.45">
      <c r="A29" s="15" t="s">
        <v>93</v>
      </c>
      <c r="B29" s="19">
        <v>63589912</v>
      </c>
      <c r="C29" s="19">
        <v>252482</v>
      </c>
      <c r="D29" s="19">
        <v>1578000</v>
      </c>
      <c r="E29" s="19">
        <v>1325518</v>
      </c>
      <c r="F29" s="19">
        <v>62264394</v>
      </c>
      <c r="G29" s="19">
        <v>63103123</v>
      </c>
      <c r="H29" s="19">
        <v>1434162</v>
      </c>
      <c r="I29" s="19">
        <v>61668961</v>
      </c>
      <c r="J29" s="20"/>
      <c r="K29" s="20"/>
    </row>
    <row r="30" spans="1:11" x14ac:dyDescent="0.45">
      <c r="A30" s="15" t="s">
        <v>94</v>
      </c>
      <c r="B30" s="19">
        <v>62264394</v>
      </c>
      <c r="C30" s="19">
        <v>247219</v>
      </c>
      <c r="D30" s="19">
        <v>1578000</v>
      </c>
      <c r="E30" s="19">
        <v>1330781</v>
      </c>
      <c r="F30" s="19">
        <v>60933613</v>
      </c>
      <c r="G30" s="19">
        <v>61668961</v>
      </c>
      <c r="H30" s="19">
        <v>1434162</v>
      </c>
      <c r="I30" s="19">
        <v>60234799</v>
      </c>
      <c r="J30" s="20"/>
      <c r="K30" s="20"/>
    </row>
    <row r="31" spans="1:11" x14ac:dyDescent="0.45">
      <c r="A31" s="15" t="s">
        <v>95</v>
      </c>
      <c r="B31" s="19">
        <v>60933613</v>
      </c>
      <c r="C31" s="19">
        <v>241935</v>
      </c>
      <c r="D31" s="19">
        <v>1578000</v>
      </c>
      <c r="E31" s="19">
        <v>1336065</v>
      </c>
      <c r="F31" s="19">
        <v>59597548</v>
      </c>
      <c r="G31" s="19">
        <v>60234799</v>
      </c>
      <c r="H31" s="19">
        <v>1434162</v>
      </c>
      <c r="I31" s="19">
        <v>58800637</v>
      </c>
      <c r="J31" s="20"/>
      <c r="K31" s="20"/>
    </row>
    <row r="32" spans="1:11" x14ac:dyDescent="0.45">
      <c r="A32" s="15" t="s">
        <v>96</v>
      </c>
      <c r="B32" s="19">
        <v>59597548</v>
      </c>
      <c r="C32" s="19">
        <v>236630</v>
      </c>
      <c r="D32" s="19">
        <v>1578000</v>
      </c>
      <c r="E32" s="19">
        <v>1341370</v>
      </c>
      <c r="F32" s="19">
        <v>58256178</v>
      </c>
      <c r="G32" s="19">
        <v>58800637</v>
      </c>
      <c r="H32" s="19">
        <v>1434162</v>
      </c>
      <c r="I32" s="19">
        <v>57366475</v>
      </c>
      <c r="J32" s="20"/>
      <c r="K32" s="20"/>
    </row>
    <row r="33" spans="1:11" x14ac:dyDescent="0.45">
      <c r="A33" s="15" t="s">
        <v>97</v>
      </c>
      <c r="B33" s="19">
        <v>58256178</v>
      </c>
      <c r="C33" s="19">
        <v>231304</v>
      </c>
      <c r="D33" s="19">
        <v>1578000</v>
      </c>
      <c r="E33" s="19">
        <v>1346696</v>
      </c>
      <c r="F33" s="19">
        <v>56909482</v>
      </c>
      <c r="G33" s="19">
        <v>57366475</v>
      </c>
      <c r="H33" s="19">
        <v>1434162</v>
      </c>
      <c r="I33" s="19">
        <v>55932313</v>
      </c>
      <c r="J33" s="20"/>
      <c r="K33" s="20"/>
    </row>
    <row r="34" spans="1:11" x14ac:dyDescent="0.45">
      <c r="A34" s="15" t="s">
        <v>98</v>
      </c>
      <c r="B34" s="19">
        <v>56909482</v>
      </c>
      <c r="C34" s="19">
        <v>225957</v>
      </c>
      <c r="D34" s="19">
        <v>1578000</v>
      </c>
      <c r="E34" s="19">
        <v>1352043</v>
      </c>
      <c r="F34" s="19">
        <v>55557440</v>
      </c>
      <c r="G34" s="19">
        <v>55932313</v>
      </c>
      <c r="H34" s="19">
        <v>1434162</v>
      </c>
      <c r="I34" s="19">
        <v>54498151</v>
      </c>
      <c r="J34" s="20"/>
      <c r="K34" s="20"/>
    </row>
    <row r="35" spans="1:11" x14ac:dyDescent="0.45">
      <c r="A35" s="15" t="s">
        <v>99</v>
      </c>
      <c r="B35" s="19">
        <v>55557440</v>
      </c>
      <c r="C35" s="19">
        <v>220589</v>
      </c>
      <c r="D35" s="19">
        <v>1578000</v>
      </c>
      <c r="E35" s="19">
        <v>1357411</v>
      </c>
      <c r="F35" s="19">
        <v>54200029</v>
      </c>
      <c r="G35" s="19">
        <v>54498151</v>
      </c>
      <c r="H35" s="19">
        <v>1434162</v>
      </c>
      <c r="I35" s="19">
        <v>53063990</v>
      </c>
      <c r="J35" s="20"/>
      <c r="K35" s="20"/>
    </row>
    <row r="36" spans="1:11" x14ac:dyDescent="0.45">
      <c r="A36" s="15" t="s">
        <v>100</v>
      </c>
      <c r="B36" s="19">
        <v>54200029</v>
      </c>
      <c r="C36" s="19">
        <v>215200</v>
      </c>
      <c r="D36" s="19">
        <v>1578000</v>
      </c>
      <c r="E36" s="19">
        <v>1362800</v>
      </c>
      <c r="F36" s="19">
        <v>52837229</v>
      </c>
      <c r="G36" s="19">
        <v>53063990</v>
      </c>
      <c r="H36" s="19">
        <v>1434162</v>
      </c>
      <c r="I36" s="19">
        <v>51629828</v>
      </c>
      <c r="J36" s="20"/>
      <c r="K36" s="20"/>
    </row>
    <row r="37" spans="1:11" x14ac:dyDescent="0.45">
      <c r="A37" s="15" t="s">
        <v>101</v>
      </c>
      <c r="B37" s="19">
        <v>52837229</v>
      </c>
      <c r="C37" s="19">
        <v>209789</v>
      </c>
      <c r="D37" s="19">
        <v>1578000</v>
      </c>
      <c r="E37" s="19">
        <v>1368211</v>
      </c>
      <c r="F37" s="19">
        <v>51469017</v>
      </c>
      <c r="G37" s="19">
        <v>51629828</v>
      </c>
      <c r="H37" s="19">
        <v>1434162</v>
      </c>
      <c r="I37" s="19">
        <v>50195666</v>
      </c>
      <c r="J37" s="20"/>
      <c r="K37" s="20"/>
    </row>
    <row r="38" spans="1:11" x14ac:dyDescent="0.45">
      <c r="A38" s="15" t="s">
        <v>102</v>
      </c>
      <c r="B38" s="19">
        <v>51469017</v>
      </c>
      <c r="C38" s="19">
        <v>204356</v>
      </c>
      <c r="D38" s="19">
        <v>1578000</v>
      </c>
      <c r="E38" s="19">
        <v>1373644</v>
      </c>
      <c r="F38" s="19">
        <v>50095373</v>
      </c>
      <c r="G38" s="19">
        <v>50195666</v>
      </c>
      <c r="H38" s="19">
        <v>1434162</v>
      </c>
      <c r="I38" s="19">
        <v>48761504</v>
      </c>
      <c r="J38" s="20"/>
      <c r="K38" s="20"/>
    </row>
    <row r="39" spans="1:11" x14ac:dyDescent="0.45">
      <c r="A39" s="15" t="s">
        <v>103</v>
      </c>
      <c r="B39" s="19">
        <v>50095373</v>
      </c>
      <c r="C39" s="19">
        <v>198902</v>
      </c>
      <c r="D39" s="19">
        <v>1578000</v>
      </c>
      <c r="E39" s="19">
        <v>1379098</v>
      </c>
      <c r="F39" s="19">
        <v>48716276</v>
      </c>
      <c r="G39" s="19">
        <v>48761504</v>
      </c>
      <c r="H39" s="19">
        <v>1434162</v>
      </c>
      <c r="I39" s="19">
        <v>47327342</v>
      </c>
      <c r="J39" s="20"/>
      <c r="K39" s="20"/>
    </row>
    <row r="40" spans="1:11" x14ac:dyDescent="0.45">
      <c r="A40" s="24" t="s">
        <v>104</v>
      </c>
      <c r="B40" s="25">
        <v>48716276</v>
      </c>
      <c r="C40" s="25">
        <v>193427</v>
      </c>
      <c r="D40" s="25">
        <v>1578000</v>
      </c>
      <c r="E40" s="25">
        <v>1384573</v>
      </c>
      <c r="F40" s="25">
        <v>47331702</v>
      </c>
      <c r="G40" s="25">
        <v>47327342</v>
      </c>
      <c r="H40" s="25">
        <v>1434162</v>
      </c>
      <c r="I40" s="25">
        <v>45893180</v>
      </c>
      <c r="J40" s="26">
        <v>17049985</v>
      </c>
      <c r="K40" s="26">
        <v>30281717</v>
      </c>
    </row>
    <row r="41" spans="1:11" x14ac:dyDescent="0.45">
      <c r="A41" s="15" t="s">
        <v>105</v>
      </c>
      <c r="B41" s="19">
        <v>47331702</v>
      </c>
      <c r="C41" s="19">
        <v>187929</v>
      </c>
      <c r="D41" s="19">
        <v>1578000</v>
      </c>
      <c r="E41" s="19">
        <v>1390071</v>
      </c>
      <c r="F41" s="19">
        <v>45941631</v>
      </c>
      <c r="G41" s="19">
        <v>45893180</v>
      </c>
      <c r="H41" s="19">
        <v>1434162</v>
      </c>
      <c r="I41" s="19">
        <v>44459018</v>
      </c>
      <c r="J41" s="20"/>
      <c r="K41" s="20"/>
    </row>
    <row r="42" spans="1:11" x14ac:dyDescent="0.45">
      <c r="A42" s="15" t="s">
        <v>106</v>
      </c>
      <c r="B42" s="19">
        <v>45941631</v>
      </c>
      <c r="C42" s="19">
        <v>182410</v>
      </c>
      <c r="D42" s="19">
        <v>1578000</v>
      </c>
      <c r="E42" s="19">
        <v>1395590</v>
      </c>
      <c r="F42" s="19">
        <v>44546041</v>
      </c>
      <c r="G42" s="19">
        <v>44459018</v>
      </c>
      <c r="H42" s="19">
        <v>1434162</v>
      </c>
      <c r="I42" s="19">
        <v>43024856</v>
      </c>
      <c r="J42" s="20"/>
      <c r="K42" s="20"/>
    </row>
    <row r="43" spans="1:11" x14ac:dyDescent="0.45">
      <c r="A43" s="15" t="s">
        <v>107</v>
      </c>
      <c r="B43" s="19">
        <v>44546041</v>
      </c>
      <c r="C43" s="19">
        <v>176869</v>
      </c>
      <c r="D43" s="19">
        <v>1578000</v>
      </c>
      <c r="E43" s="19">
        <v>1401131</v>
      </c>
      <c r="F43" s="19">
        <v>43144910</v>
      </c>
      <c r="G43" s="19">
        <v>43024856</v>
      </c>
      <c r="H43" s="19">
        <v>1434162</v>
      </c>
      <c r="I43" s="19">
        <v>41590695</v>
      </c>
      <c r="J43" s="20"/>
      <c r="K43" s="20"/>
    </row>
    <row r="44" spans="1:11" x14ac:dyDescent="0.45">
      <c r="A44" s="15" t="s">
        <v>108</v>
      </c>
      <c r="B44" s="19">
        <v>43144910</v>
      </c>
      <c r="C44" s="19">
        <v>171306</v>
      </c>
      <c r="D44" s="19">
        <v>1578000</v>
      </c>
      <c r="E44" s="19">
        <v>1406694</v>
      </c>
      <c r="F44" s="19">
        <v>41738215</v>
      </c>
      <c r="G44" s="19">
        <v>41590695</v>
      </c>
      <c r="H44" s="19">
        <v>1434162</v>
      </c>
      <c r="I44" s="19">
        <v>40156533</v>
      </c>
      <c r="J44" s="20"/>
      <c r="K44" s="20"/>
    </row>
    <row r="45" spans="1:11" x14ac:dyDescent="0.45">
      <c r="A45" s="15" t="s">
        <v>109</v>
      </c>
      <c r="B45" s="19">
        <v>41738215</v>
      </c>
      <c r="C45" s="19">
        <v>165720</v>
      </c>
      <c r="D45" s="19">
        <v>1578000</v>
      </c>
      <c r="E45" s="19">
        <v>1412280</v>
      </c>
      <c r="F45" s="19">
        <v>40325936</v>
      </c>
      <c r="G45" s="19">
        <v>40156533</v>
      </c>
      <c r="H45" s="19">
        <v>1434162</v>
      </c>
      <c r="I45" s="19">
        <v>38722371</v>
      </c>
      <c r="J45" s="20"/>
      <c r="K45" s="20"/>
    </row>
    <row r="46" spans="1:11" x14ac:dyDescent="0.45">
      <c r="A46" s="15" t="s">
        <v>110</v>
      </c>
      <c r="B46" s="19">
        <v>40325936</v>
      </c>
      <c r="C46" s="19">
        <v>160113</v>
      </c>
      <c r="D46" s="19">
        <v>1578000</v>
      </c>
      <c r="E46" s="19">
        <v>1417887</v>
      </c>
      <c r="F46" s="19">
        <v>38908049</v>
      </c>
      <c r="G46" s="19">
        <v>38722371</v>
      </c>
      <c r="H46" s="19">
        <v>1434162</v>
      </c>
      <c r="I46" s="19">
        <v>37288209</v>
      </c>
      <c r="J46" s="20"/>
      <c r="K46" s="20"/>
    </row>
    <row r="47" spans="1:11" x14ac:dyDescent="0.45">
      <c r="A47" s="15" t="s">
        <v>113</v>
      </c>
      <c r="B47" s="19">
        <v>38908049</v>
      </c>
      <c r="C47" s="19">
        <v>154483</v>
      </c>
      <c r="D47" s="19">
        <v>1578000</v>
      </c>
      <c r="E47" s="19">
        <v>1423517</v>
      </c>
      <c r="F47" s="19">
        <v>37484532</v>
      </c>
      <c r="G47" s="19">
        <v>37288209</v>
      </c>
      <c r="H47" s="19">
        <v>1434162</v>
      </c>
      <c r="I47" s="19">
        <v>35854047</v>
      </c>
      <c r="J47" s="20"/>
      <c r="K47" s="20"/>
    </row>
    <row r="48" spans="1:11" x14ac:dyDescent="0.45">
      <c r="A48" s="15" t="s">
        <v>114</v>
      </c>
      <c r="B48" s="19">
        <v>37484532</v>
      </c>
      <c r="C48" s="19">
        <v>148831</v>
      </c>
      <c r="D48" s="19">
        <v>1578000</v>
      </c>
      <c r="E48" s="19">
        <v>1429169</v>
      </c>
      <c r="F48" s="19">
        <v>36055363</v>
      </c>
      <c r="G48" s="19">
        <v>35854047</v>
      </c>
      <c r="H48" s="19">
        <v>1434162</v>
      </c>
      <c r="I48" s="19">
        <v>34419885</v>
      </c>
      <c r="J48" s="20"/>
      <c r="K48" s="20"/>
    </row>
    <row r="49" spans="1:11" x14ac:dyDescent="0.45">
      <c r="A49" s="15" t="s">
        <v>115</v>
      </c>
      <c r="B49" s="19">
        <v>36055363</v>
      </c>
      <c r="C49" s="19">
        <v>143157</v>
      </c>
      <c r="D49" s="19">
        <v>1578000</v>
      </c>
      <c r="E49" s="19">
        <v>1434843</v>
      </c>
      <c r="F49" s="19">
        <v>34620520</v>
      </c>
      <c r="G49" s="19">
        <v>34419885</v>
      </c>
      <c r="H49" s="19">
        <v>1434162</v>
      </c>
      <c r="I49" s="19">
        <v>32985723</v>
      </c>
      <c r="J49" s="20"/>
      <c r="K49" s="20"/>
    </row>
    <row r="50" spans="1:11" x14ac:dyDescent="0.45">
      <c r="A50" s="15" t="s">
        <v>116</v>
      </c>
      <c r="B50" s="19">
        <v>34620520</v>
      </c>
      <c r="C50" s="19">
        <v>137460</v>
      </c>
      <c r="D50" s="19">
        <v>1578000</v>
      </c>
      <c r="E50" s="19">
        <v>1440540</v>
      </c>
      <c r="F50" s="19">
        <v>33179979</v>
      </c>
      <c r="G50" s="19">
        <v>32985723</v>
      </c>
      <c r="H50" s="19">
        <v>1434162</v>
      </c>
      <c r="I50" s="19">
        <v>31551561</v>
      </c>
      <c r="J50" s="20"/>
      <c r="K50" s="20"/>
    </row>
    <row r="51" spans="1:11" x14ac:dyDescent="0.45">
      <c r="A51" s="15" t="s">
        <v>117</v>
      </c>
      <c r="B51" s="19">
        <v>33179979</v>
      </c>
      <c r="C51" s="19">
        <v>131740</v>
      </c>
      <c r="D51" s="19">
        <v>1578000</v>
      </c>
      <c r="E51" s="19">
        <v>1446260</v>
      </c>
      <c r="F51" s="19">
        <v>31733720</v>
      </c>
      <c r="G51" s="19">
        <v>31551561</v>
      </c>
      <c r="H51" s="19">
        <v>1434162</v>
      </c>
      <c r="I51" s="19">
        <v>30117400</v>
      </c>
      <c r="J51" s="20"/>
      <c r="K51" s="20"/>
    </row>
    <row r="52" spans="1:11" x14ac:dyDescent="0.45">
      <c r="A52" s="24" t="s">
        <v>118</v>
      </c>
      <c r="B52" s="25">
        <v>31733720</v>
      </c>
      <c r="C52" s="25">
        <v>125998</v>
      </c>
      <c r="D52" s="25">
        <v>1578000</v>
      </c>
      <c r="E52" s="25">
        <v>1452002</v>
      </c>
      <c r="F52" s="25">
        <v>30281717</v>
      </c>
      <c r="G52" s="25">
        <v>30117400</v>
      </c>
      <c r="H52" s="25">
        <v>1434162</v>
      </c>
      <c r="I52" s="25">
        <v>28683238</v>
      </c>
      <c r="J52" s="26">
        <v>17880319</v>
      </c>
      <c r="K52" s="26">
        <v>12401398</v>
      </c>
    </row>
    <row r="53" spans="1:11" x14ac:dyDescent="0.45">
      <c r="A53" s="15" t="s">
        <v>119</v>
      </c>
      <c r="B53" s="19">
        <v>30281717</v>
      </c>
      <c r="C53" s="19">
        <v>120233</v>
      </c>
      <c r="D53" s="19">
        <v>1578000</v>
      </c>
      <c r="E53" s="19">
        <v>1457767</v>
      </c>
      <c r="F53" s="19">
        <v>28823950</v>
      </c>
      <c r="G53" s="19">
        <v>28683238</v>
      </c>
      <c r="H53" s="19">
        <v>1434162</v>
      </c>
      <c r="I53" s="19">
        <v>27249076</v>
      </c>
      <c r="J53" s="20"/>
      <c r="K53" s="20"/>
    </row>
    <row r="54" spans="1:11" x14ac:dyDescent="0.45">
      <c r="A54" s="15" t="s">
        <v>120</v>
      </c>
      <c r="B54" s="19">
        <v>28823950</v>
      </c>
      <c r="C54" s="19">
        <v>114445</v>
      </c>
      <c r="D54" s="19">
        <v>1578000</v>
      </c>
      <c r="E54" s="19">
        <v>1463555</v>
      </c>
      <c r="F54" s="19">
        <v>27360395</v>
      </c>
      <c r="G54" s="19">
        <v>27249076</v>
      </c>
      <c r="H54" s="19">
        <v>1434162</v>
      </c>
      <c r="I54" s="19">
        <v>25814914</v>
      </c>
      <c r="J54" s="20"/>
      <c r="K54" s="20"/>
    </row>
    <row r="55" spans="1:11" x14ac:dyDescent="0.45">
      <c r="A55" s="15" t="s">
        <v>121</v>
      </c>
      <c r="B55" s="19">
        <v>27360395</v>
      </c>
      <c r="C55" s="19">
        <v>108634</v>
      </c>
      <c r="D55" s="19">
        <v>1578000</v>
      </c>
      <c r="E55" s="19">
        <v>1469366</v>
      </c>
      <c r="F55" s="19">
        <v>25891028</v>
      </c>
      <c r="G55" s="19">
        <v>25814914</v>
      </c>
      <c r="H55" s="19">
        <v>1434162</v>
      </c>
      <c r="I55" s="19">
        <v>24380752</v>
      </c>
      <c r="J55" s="20"/>
      <c r="K55" s="20"/>
    </row>
    <row r="56" spans="1:11" x14ac:dyDescent="0.45">
      <c r="A56" s="15" t="s">
        <v>122</v>
      </c>
      <c r="B56" s="19">
        <v>25891028</v>
      </c>
      <c r="C56" s="19">
        <v>102800</v>
      </c>
      <c r="D56" s="19">
        <v>1578000</v>
      </c>
      <c r="E56" s="19">
        <v>1475200</v>
      </c>
      <c r="F56" s="19">
        <v>24415828</v>
      </c>
      <c r="G56" s="19">
        <v>24380752</v>
      </c>
      <c r="H56" s="19">
        <v>1434162</v>
      </c>
      <c r="I56" s="19">
        <v>22946590</v>
      </c>
      <c r="J56" s="20"/>
      <c r="K56" s="20"/>
    </row>
    <row r="57" spans="1:11" x14ac:dyDescent="0.45">
      <c r="A57" s="15" t="s">
        <v>123</v>
      </c>
      <c r="B57" s="19">
        <v>24415828</v>
      </c>
      <c r="C57" s="19">
        <v>96942</v>
      </c>
      <c r="D57" s="19">
        <v>1578000</v>
      </c>
      <c r="E57" s="19">
        <v>1481058</v>
      </c>
      <c r="F57" s="19">
        <v>22934770</v>
      </c>
      <c r="G57" s="19">
        <v>22946590</v>
      </c>
      <c r="H57" s="19">
        <v>1434162</v>
      </c>
      <c r="I57" s="19">
        <v>21512428</v>
      </c>
      <c r="J57" s="20"/>
      <c r="K57" s="20"/>
    </row>
    <row r="58" spans="1:11" x14ac:dyDescent="0.45">
      <c r="A58" s="15" t="s">
        <v>124</v>
      </c>
      <c r="B58" s="19">
        <v>22934770</v>
      </c>
      <c r="C58" s="19">
        <v>91062</v>
      </c>
      <c r="D58" s="19">
        <v>1578000</v>
      </c>
      <c r="E58" s="19">
        <v>1486938</v>
      </c>
      <c r="F58" s="19">
        <v>21447832</v>
      </c>
      <c r="G58" s="19">
        <v>21512428</v>
      </c>
      <c r="H58" s="19">
        <v>1434162</v>
      </c>
      <c r="I58" s="19">
        <v>20078266</v>
      </c>
      <c r="J58" s="20"/>
      <c r="K58" s="20"/>
    </row>
    <row r="59" spans="1:11" x14ac:dyDescent="0.45">
      <c r="A59" s="15" t="s">
        <v>138</v>
      </c>
      <c r="B59" s="19">
        <v>21447832</v>
      </c>
      <c r="C59" s="19">
        <v>85158</v>
      </c>
      <c r="D59" s="19">
        <v>1578000</v>
      </c>
      <c r="E59" s="19">
        <v>1492842</v>
      </c>
      <c r="F59" s="19">
        <v>19954990</v>
      </c>
      <c r="G59" s="19">
        <v>20078266</v>
      </c>
      <c r="H59" s="19">
        <v>1434162</v>
      </c>
      <c r="I59" s="19">
        <v>18644104</v>
      </c>
      <c r="J59" s="20"/>
      <c r="K59" s="20"/>
    </row>
    <row r="60" spans="1:11" x14ac:dyDescent="0.45">
      <c r="A60" s="15" t="s">
        <v>139</v>
      </c>
      <c r="B60" s="19">
        <v>19954990</v>
      </c>
      <c r="C60" s="19">
        <v>79231</v>
      </c>
      <c r="D60" s="19">
        <v>1578000</v>
      </c>
      <c r="E60" s="19">
        <v>1498769</v>
      </c>
      <c r="F60" s="19">
        <v>18456221</v>
      </c>
      <c r="G60" s="19">
        <v>18644104</v>
      </c>
      <c r="H60" s="19">
        <v>1434162</v>
      </c>
      <c r="I60" s="19">
        <v>17209943</v>
      </c>
      <c r="J60" s="20"/>
      <c r="K60" s="20"/>
    </row>
    <row r="61" spans="1:11" x14ac:dyDescent="0.45">
      <c r="A61" s="15" t="s">
        <v>140</v>
      </c>
      <c r="B61" s="19">
        <v>18456221</v>
      </c>
      <c r="C61" s="19">
        <v>73280</v>
      </c>
      <c r="D61" s="19">
        <v>1578000</v>
      </c>
      <c r="E61" s="19">
        <v>1504720</v>
      </c>
      <c r="F61" s="19">
        <v>16951500</v>
      </c>
      <c r="G61" s="19">
        <v>17209943</v>
      </c>
      <c r="H61" s="19">
        <v>1434162</v>
      </c>
      <c r="I61" s="19">
        <v>15775781</v>
      </c>
      <c r="J61" s="20"/>
      <c r="K61" s="20"/>
    </row>
    <row r="62" spans="1:11" x14ac:dyDescent="0.45">
      <c r="A62" s="15" t="s">
        <v>141</v>
      </c>
      <c r="B62" s="19">
        <v>16951500</v>
      </c>
      <c r="C62" s="19">
        <v>67305</v>
      </c>
      <c r="D62" s="19">
        <v>1578000</v>
      </c>
      <c r="E62" s="19">
        <v>1510695</v>
      </c>
      <c r="F62" s="19">
        <v>15440806</v>
      </c>
      <c r="G62" s="19">
        <v>15775781</v>
      </c>
      <c r="H62" s="19">
        <v>1434162</v>
      </c>
      <c r="I62" s="19">
        <v>14341619</v>
      </c>
      <c r="J62" s="20"/>
      <c r="K62" s="20"/>
    </row>
    <row r="63" spans="1:11" x14ac:dyDescent="0.45">
      <c r="A63" s="15" t="s">
        <v>142</v>
      </c>
      <c r="B63" s="19">
        <v>15440806</v>
      </c>
      <c r="C63" s="19">
        <v>61307</v>
      </c>
      <c r="D63" s="19">
        <v>1578000</v>
      </c>
      <c r="E63" s="19">
        <v>1516693</v>
      </c>
      <c r="F63" s="19">
        <v>13924113</v>
      </c>
      <c r="G63" s="19">
        <v>14341619</v>
      </c>
      <c r="H63" s="19">
        <v>1434162</v>
      </c>
      <c r="I63" s="19">
        <v>12907457</v>
      </c>
      <c r="J63" s="20"/>
      <c r="K63" s="20"/>
    </row>
    <row r="64" spans="1:11" x14ac:dyDescent="0.45">
      <c r="A64" s="24" t="s">
        <v>143</v>
      </c>
      <c r="B64" s="25">
        <v>13924113</v>
      </c>
      <c r="C64" s="25">
        <v>55285</v>
      </c>
      <c r="D64" s="25">
        <v>1578000</v>
      </c>
      <c r="E64" s="25">
        <v>1522715</v>
      </c>
      <c r="F64" s="25">
        <v>12401398</v>
      </c>
      <c r="G64" s="25">
        <v>12907457</v>
      </c>
      <c r="H64" s="25">
        <v>1434162</v>
      </c>
      <c r="I64" s="25">
        <v>11473295</v>
      </c>
      <c r="J64" s="26">
        <v>12401398</v>
      </c>
      <c r="K64" s="25">
        <v>0</v>
      </c>
    </row>
    <row r="65" spans="1:11" x14ac:dyDescent="0.45">
      <c r="A65" s="15" t="s">
        <v>144</v>
      </c>
      <c r="B65" s="19">
        <v>12401398</v>
      </c>
      <c r="C65" s="19">
        <v>49239</v>
      </c>
      <c r="D65" s="19">
        <v>1578000</v>
      </c>
      <c r="E65" s="19">
        <v>1528761</v>
      </c>
      <c r="F65" s="19">
        <v>10872638</v>
      </c>
      <c r="G65" s="19">
        <v>11473295</v>
      </c>
      <c r="H65" s="19">
        <v>1434162</v>
      </c>
      <c r="I65" s="19">
        <v>10039133</v>
      </c>
      <c r="J65" s="20"/>
      <c r="K65" s="20"/>
    </row>
    <row r="66" spans="1:11" x14ac:dyDescent="0.45">
      <c r="A66" s="15" t="s">
        <v>145</v>
      </c>
      <c r="B66" s="19">
        <v>10872638</v>
      </c>
      <c r="C66" s="19">
        <v>43169</v>
      </c>
      <c r="D66" s="19">
        <v>1578000</v>
      </c>
      <c r="E66" s="19">
        <v>1534831</v>
      </c>
      <c r="F66" s="19">
        <v>9337807</v>
      </c>
      <c r="G66" s="19">
        <v>10039133</v>
      </c>
      <c r="H66" s="19">
        <v>1434162</v>
      </c>
      <c r="I66" s="19">
        <v>8604971</v>
      </c>
      <c r="J66" s="20"/>
      <c r="K66" s="20"/>
    </row>
    <row r="67" spans="1:11" x14ac:dyDescent="0.45">
      <c r="A67" s="15" t="s">
        <v>146</v>
      </c>
      <c r="B67" s="19">
        <v>9337807</v>
      </c>
      <c r="C67" s="19">
        <v>37075</v>
      </c>
      <c r="D67" s="19">
        <v>1578000</v>
      </c>
      <c r="E67" s="19">
        <v>1540925</v>
      </c>
      <c r="F67" s="19">
        <v>7796883</v>
      </c>
      <c r="G67" s="19">
        <v>8604971</v>
      </c>
      <c r="H67" s="19">
        <v>1434162</v>
      </c>
      <c r="I67" s="19">
        <v>7170809</v>
      </c>
      <c r="J67" s="20"/>
      <c r="K67" s="20"/>
    </row>
    <row r="68" spans="1:11" x14ac:dyDescent="0.45">
      <c r="A68" s="15" t="s">
        <v>147</v>
      </c>
      <c r="B68" s="19">
        <v>7796883</v>
      </c>
      <c r="C68" s="19">
        <v>30957</v>
      </c>
      <c r="D68" s="19">
        <v>1578000</v>
      </c>
      <c r="E68" s="19">
        <v>1547043</v>
      </c>
      <c r="F68" s="19">
        <v>6249840</v>
      </c>
      <c r="G68" s="19">
        <v>7170809</v>
      </c>
      <c r="H68" s="19">
        <v>1434162</v>
      </c>
      <c r="I68" s="19">
        <v>5736648</v>
      </c>
      <c r="J68" s="20"/>
      <c r="K68" s="20"/>
    </row>
    <row r="69" spans="1:11" x14ac:dyDescent="0.45">
      <c r="A69" s="15" t="s">
        <v>148</v>
      </c>
      <c r="B69" s="19">
        <v>6249840</v>
      </c>
      <c r="C69" s="19">
        <v>24815</v>
      </c>
      <c r="D69" s="19">
        <v>1578000</v>
      </c>
      <c r="E69" s="19">
        <v>1553185</v>
      </c>
      <c r="F69" s="19">
        <v>4696655</v>
      </c>
      <c r="G69" s="19">
        <v>5736648</v>
      </c>
      <c r="H69" s="19">
        <v>1434162</v>
      </c>
      <c r="I69" s="19">
        <v>4302486</v>
      </c>
      <c r="J69" s="20"/>
      <c r="K69" s="20"/>
    </row>
    <row r="70" spans="1:11" x14ac:dyDescent="0.45">
      <c r="A70" s="15" t="s">
        <v>149</v>
      </c>
      <c r="B70" s="19">
        <v>4696655</v>
      </c>
      <c r="C70" s="19">
        <v>18648</v>
      </c>
      <c r="D70" s="19">
        <v>1578000</v>
      </c>
      <c r="E70" s="19">
        <v>1559352</v>
      </c>
      <c r="F70" s="19">
        <v>3137303</v>
      </c>
      <c r="G70" s="19">
        <v>4302486</v>
      </c>
      <c r="H70" s="19">
        <v>1434162</v>
      </c>
      <c r="I70" s="19">
        <v>2868324</v>
      </c>
      <c r="J70" s="20"/>
      <c r="K70" s="20"/>
    </row>
    <row r="71" spans="1:11" x14ac:dyDescent="0.45">
      <c r="A71" s="15" t="s">
        <v>150</v>
      </c>
      <c r="B71" s="19">
        <v>3137303</v>
      </c>
      <c r="C71" s="19">
        <v>12457</v>
      </c>
      <c r="D71" s="19">
        <v>1578000</v>
      </c>
      <c r="E71" s="19">
        <v>1565543</v>
      </c>
      <c r="F71" s="19">
        <v>1571759</v>
      </c>
      <c r="G71" s="19">
        <v>2868324</v>
      </c>
      <c r="H71" s="19">
        <v>1434162</v>
      </c>
      <c r="I71" s="19">
        <v>1434162</v>
      </c>
      <c r="J71" s="20"/>
      <c r="K71" s="20"/>
    </row>
    <row r="72" spans="1:11" x14ac:dyDescent="0.45">
      <c r="A72" s="15" t="s">
        <v>151</v>
      </c>
      <c r="B72" s="19">
        <v>1571759</v>
      </c>
      <c r="C72" s="19">
        <v>6241</v>
      </c>
      <c r="D72" s="19">
        <v>1578000</v>
      </c>
      <c r="E72" s="19">
        <v>1571759</v>
      </c>
      <c r="F72" s="19">
        <v>0</v>
      </c>
      <c r="G72" s="19">
        <v>1434162</v>
      </c>
      <c r="H72" s="19">
        <v>1434162</v>
      </c>
      <c r="I72" s="19">
        <v>0</v>
      </c>
      <c r="J72" s="20"/>
      <c r="K72" s="20"/>
    </row>
  </sheetData>
  <mergeCells count="4">
    <mergeCell ref="A1:I1"/>
    <mergeCell ref="A23:K23"/>
    <mergeCell ref="A14:H14"/>
    <mergeCell ref="A5:H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계약별 요약</vt:lpstr>
      <vt:lpstr>80.0_192호3373 업무용차량(의약사업본부  최봉준</vt:lpstr>
      <vt:lpstr>89.0_222호2042 업무용차량(아산공장  임원)</vt:lpstr>
      <vt:lpstr>100.0_대전사무소</vt:lpstr>
      <vt:lpstr>102.0_189호 1617 업무용차량(임원)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2026-07-20T04:15:45Z</dcterms:created>
  <dcterms:modified xsi:type="dcterms:W3CDTF">2026-07-20T04:24:33Z</dcterms:modified>
</cp:coreProperties>
</file>