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리스정보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1F497D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  <xf numFmtId="10" fontId="4" fillId="0" borderId="0" applyAlignment="1" pivotButton="0" quotePrefix="0" xfId="2">
      <alignment vertical="center"/>
    </xf>
    <xf numFmtId="14" fontId="4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0" fontId="3" fillId="0" borderId="0" applyAlignment="1" pivotButton="0" quotePrefix="0" xfId="2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4" fillId="0" borderId="0" applyAlignment="1" pivotButton="0" quotePrefix="0" xfId="1">
      <alignment horizontal="right" vertical="center"/>
    </xf>
    <xf numFmtId="164" fontId="4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H6" sqref="H6:H48"/>
    </sheetView>
  </sheetViews>
  <sheetFormatPr baseColWidth="8" defaultRowHeight="14.5"/>
  <cols>
    <col width="12.33203125" bestFit="1" customWidth="1" style="18" min="1" max="1"/>
    <col width="19.5" bestFit="1" customWidth="1" style="18" min="2" max="2"/>
    <col width="24.25" bestFit="1" customWidth="1" style="18" min="3" max="3"/>
    <col width="21.5" bestFit="1" customWidth="1" style="18" min="4" max="4"/>
    <col width="10.75" bestFit="1" customWidth="1" style="18" min="5" max="5"/>
    <col width="10.75" bestFit="1" customWidth="1" style="13" min="6" max="6"/>
    <col width="19" bestFit="1" customWidth="1" style="18" min="7" max="7"/>
    <col width="22.1640625" bestFit="1" customWidth="1" style="18" min="8" max="8"/>
    <col width="18.33203125" bestFit="1" customWidth="1" style="18" min="9" max="9"/>
    <col width="23.9140625" bestFit="1" customWidth="1" style="18" min="10" max="10"/>
    <col width="18.33203125" bestFit="1" customWidth="1" style="18" min="11" max="11"/>
    <col width="10.4140625" bestFit="1" customWidth="1" style="18" min="12" max="12"/>
    <col width="26.9140625" bestFit="1" customWidth="1" style="18" min="13" max="13"/>
    <col width="13.75" bestFit="1" customWidth="1" style="18" min="14" max="14"/>
    <col width="19" bestFit="1" customWidth="1" style="18" min="15" max="15"/>
    <col width="16.25" bestFit="1" customWidth="1" style="18" min="16" max="16"/>
    <col width="16.25" customWidth="1" style="18" min="17" max="17"/>
    <col width="21.5" bestFit="1" customWidth="1" style="18" min="18" max="18"/>
    <col width="8.6640625" customWidth="1" style="18" min="19" max="19"/>
    <col width="8.6640625" customWidth="1" style="18" min="20" max="16384"/>
  </cols>
  <sheetData>
    <row r="1" ht="17" customHeight="1" s="19">
      <c r="A1" s="15" t="inlineStr">
        <is>
          <t>계약일반</t>
        </is>
      </c>
      <c r="B1" s="16" t="n"/>
      <c r="C1" s="16" t="n"/>
      <c r="D1" s="16" t="n"/>
      <c r="E1" s="15" t="inlineStr">
        <is>
          <t>기간정보</t>
        </is>
      </c>
      <c r="F1" s="16" t="n"/>
      <c r="G1" s="16" t="n"/>
      <c r="H1" s="16" t="n"/>
      <c r="I1" s="16" t="n"/>
      <c r="T1" s="10" t="inlineStr">
        <is>
          <t>원가구분</t>
        </is>
      </c>
    </row>
    <row r="2">
      <c r="A2" s="2" t="inlineStr">
        <is>
          <t>리스계약번호</t>
        </is>
      </c>
      <c r="B2" s="2" t="inlineStr">
        <is>
          <t>기초자산분류(건물등)</t>
        </is>
      </c>
      <c r="C2" s="2" t="inlineStr">
        <is>
          <t>상세정보(호실/차량번호등)</t>
        </is>
      </c>
      <c r="D2" s="2" t="inlineStr">
        <is>
          <t>리스제공자</t>
        </is>
      </c>
      <c r="E2" s="2" t="inlineStr">
        <is>
          <t>리스개시일</t>
        </is>
      </c>
      <c r="F2" s="11" t="inlineStr">
        <is>
          <t>리스종료일</t>
        </is>
      </c>
      <c r="G2" s="2" t="inlineStr">
        <is>
          <t>연장선택권 행사여부</t>
        </is>
      </c>
      <c r="H2" s="2" t="inlineStr">
        <is>
          <t>최종 산정리스기간(월수)</t>
        </is>
      </c>
      <c r="I2" s="2" t="inlineStr">
        <is>
          <t>상각개시(당월/익월)</t>
        </is>
      </c>
      <c r="J2" s="2" t="inlineStr">
        <is>
          <t>정기리스료</t>
        </is>
      </c>
      <c r="K2" s="2" t="inlineStr">
        <is>
          <t>지급주기(월/분기/반기/년)</t>
        </is>
      </c>
      <c r="L2" s="2" t="inlineStr">
        <is>
          <t>지급시점(기초/기말)</t>
        </is>
      </c>
      <c r="M2" s="2" t="inlineStr">
        <is>
          <t>적용할인율</t>
        </is>
      </c>
      <c r="N2" s="2" t="inlineStr">
        <is>
          <t>보증잔존가치/매수선택권금액</t>
        </is>
      </c>
      <c r="O2" s="2" t="inlineStr">
        <is>
          <t>선급리스료</t>
        </is>
      </c>
      <c r="P2" s="2" t="inlineStr">
        <is>
          <t>수취한 리스인센티브</t>
        </is>
      </c>
      <c r="Q2" s="2" t="inlineStr">
        <is>
          <t>리스개설직접원가</t>
        </is>
      </c>
      <c r="R2" s="9" t="inlineStr">
        <is>
          <t>지급보증금(명목가액)</t>
        </is>
      </c>
      <c r="S2" s="2" t="inlineStr">
        <is>
          <t>복구충당부채(현재가치)</t>
        </is>
      </c>
      <c r="T2" s="10" t="inlineStr">
        <is>
          <t>원가구분</t>
        </is>
      </c>
    </row>
    <row r="3">
      <c r="A3" s="18" t="n">
        <v>80</v>
      </c>
      <c r="B3" s="18" t="inlineStr">
        <is>
          <t>차량운반구</t>
        </is>
      </c>
      <c r="C3" s="18" t="inlineStr">
        <is>
          <t>[192호3373] 업무용차량(의약사업본부 : 최봉준)</t>
        </is>
      </c>
      <c r="E3" s="3" t="n">
        <v>44769</v>
      </c>
      <c r="F3" s="12" t="n">
        <v>46229</v>
      </c>
      <c r="G3" s="4" t="inlineStr">
        <is>
          <t>X</t>
        </is>
      </c>
      <c r="H3" s="20">
        <f>DATEDIF(E3,F3,"M")+1</f>
        <v/>
      </c>
      <c r="I3" s="8" t="inlineStr">
        <is>
          <t>당월</t>
        </is>
      </c>
      <c r="J3" s="21" t="n">
        <v>816000</v>
      </c>
      <c r="K3" s="4" t="inlineStr">
        <is>
          <t>월</t>
        </is>
      </c>
      <c r="L3" s="8" t="inlineStr">
        <is>
          <t>기말</t>
        </is>
      </c>
      <c r="M3" s="7" t="n">
        <v>0.05199999999999999</v>
      </c>
      <c r="N3" s="21">
        <f>0</f>
        <v/>
      </c>
      <c r="O3" s="21">
        <f>0</f>
        <v/>
      </c>
      <c r="P3" s="21">
        <f>0</f>
        <v/>
      </c>
      <c r="Q3" s="21">
        <f>0</f>
        <v/>
      </c>
      <c r="R3" s="21" t="n">
        <v>0</v>
      </c>
      <c r="S3" s="21">
        <f>0</f>
        <v/>
      </c>
      <c r="T3" s="18" t="inlineStr">
        <is>
          <t>판관</t>
        </is>
      </c>
    </row>
    <row r="4">
      <c r="A4" s="18" t="n">
        <v>89</v>
      </c>
      <c r="B4" s="18" t="inlineStr">
        <is>
          <t>차량운반구</t>
        </is>
      </c>
      <c r="C4" s="18" t="inlineStr">
        <is>
          <t>[222호2042] 업무용차량(아산공장 : 임원)</t>
        </is>
      </c>
      <c r="E4" s="3" t="n">
        <v>45120</v>
      </c>
      <c r="F4" s="12" t="n">
        <v>46580</v>
      </c>
      <c r="G4" s="4" t="inlineStr">
        <is>
          <t>X</t>
        </is>
      </c>
      <c r="H4" s="20">
        <f>DATEDIF(E4,F4,"M")+1</f>
        <v/>
      </c>
      <c r="I4" s="8" t="inlineStr">
        <is>
          <t>당월</t>
        </is>
      </c>
      <c r="J4" s="21" t="n">
        <v>576000</v>
      </c>
      <c r="K4" s="4" t="inlineStr">
        <is>
          <t>월</t>
        </is>
      </c>
      <c r="L4" s="8" t="inlineStr">
        <is>
          <t>기말</t>
        </is>
      </c>
      <c r="M4" s="7" t="n">
        <v>0.0619</v>
      </c>
      <c r="N4" s="21" t="n"/>
      <c r="O4" s="21" t="n"/>
      <c r="P4" s="21" t="n"/>
      <c r="Q4" s="21" t="n"/>
      <c r="R4" s="21" t="n">
        <v>0</v>
      </c>
      <c r="S4" s="21" t="n"/>
      <c r="T4" s="18" t="inlineStr">
        <is>
          <t>제조(아산)</t>
        </is>
      </c>
    </row>
    <row r="5">
      <c r="A5" s="18" t="n">
        <v>100</v>
      </c>
      <c r="B5" s="18" t="inlineStr">
        <is>
          <t>건물</t>
        </is>
      </c>
      <c r="C5" s="18" t="inlineStr">
        <is>
          <t>대전사무소</t>
        </is>
      </c>
      <c r="E5" s="3" t="n">
        <v>45505</v>
      </c>
      <c r="F5" s="12" t="n">
        <v>46234</v>
      </c>
      <c r="G5" s="4" t="inlineStr">
        <is>
          <t>X</t>
        </is>
      </c>
      <c r="H5" s="20">
        <f>DATEDIF(E5,F5,"M")+1</f>
        <v/>
      </c>
      <c r="I5" s="8" t="inlineStr">
        <is>
          <t>당월</t>
        </is>
      </c>
      <c r="J5" s="21" t="n">
        <v>759000</v>
      </c>
      <c r="K5" s="4" t="inlineStr">
        <is>
          <t>월</t>
        </is>
      </c>
      <c r="L5" s="8" t="inlineStr">
        <is>
          <t>기말</t>
        </is>
      </c>
      <c r="M5" s="7" t="n">
        <v>0.0429</v>
      </c>
      <c r="N5" s="21" t="n"/>
      <c r="O5" s="21" t="n"/>
      <c r="P5" s="21" t="n"/>
      <c r="Q5" s="21" t="n"/>
      <c r="R5" s="21" t="n">
        <v>20000000</v>
      </c>
      <c r="S5" s="21" t="n"/>
      <c r="T5" s="18" t="inlineStr">
        <is>
          <t>판관</t>
        </is>
      </c>
    </row>
    <row r="6">
      <c r="A6" s="18" t="n">
        <v>102</v>
      </c>
      <c r="B6" s="18" t="inlineStr">
        <is>
          <t>차량운반구</t>
        </is>
      </c>
      <c r="C6" s="18" t="inlineStr">
        <is>
          <t>[189호 1617] 업무용차량(임원)</t>
        </is>
      </c>
      <c r="E6" s="3" t="n">
        <v>45544</v>
      </c>
      <c r="F6" s="12" t="n">
        <v>47004</v>
      </c>
      <c r="G6" s="4" t="inlineStr">
        <is>
          <t>X</t>
        </is>
      </c>
      <c r="H6" s="20">
        <f>ROUND((F6-E6)/365*12,0)</f>
        <v/>
      </c>
      <c r="I6" s="8" t="inlineStr">
        <is>
          <t>당월</t>
        </is>
      </c>
      <c r="J6" s="21" t="n">
        <v>1578000</v>
      </c>
      <c r="K6" s="4" t="inlineStr">
        <is>
          <t>월</t>
        </is>
      </c>
      <c r="L6" s="8" t="inlineStr">
        <is>
          <t>기말</t>
        </is>
      </c>
      <c r="M6" s="7" t="n">
        <v>0.04869999999999999</v>
      </c>
      <c r="N6" s="21" t="n"/>
      <c r="O6" s="21" t="n"/>
      <c r="P6" s="21" t="n"/>
      <c r="Q6" s="21" t="n"/>
      <c r="R6" s="21" t="n">
        <v>0</v>
      </c>
      <c r="S6" s="21" t="n"/>
      <c r="T6" s="18" t="inlineStr">
        <is>
          <t>판관</t>
        </is>
      </c>
    </row>
    <row r="7">
      <c r="A7" s="18" t="n">
        <v>103</v>
      </c>
      <c r="B7" s="18" t="inlineStr">
        <is>
          <t>건물</t>
        </is>
      </c>
      <c r="C7" s="18" t="inlineStr">
        <is>
          <t>경남사무소</t>
        </is>
      </c>
      <c r="E7" s="3" t="n">
        <v>45591</v>
      </c>
      <c r="F7" s="12" t="n">
        <v>46047</v>
      </c>
      <c r="G7" s="4" t="inlineStr">
        <is>
          <t>X</t>
        </is>
      </c>
      <c r="H7" s="20">
        <f>ROUND((F7-E7)/365*12,0)</f>
        <v/>
      </c>
      <c r="I7" s="8" t="inlineStr">
        <is>
          <t>당월</t>
        </is>
      </c>
      <c r="J7" s="21" t="n">
        <v>600000</v>
      </c>
      <c r="K7" s="4" t="inlineStr">
        <is>
          <t>월</t>
        </is>
      </c>
      <c r="L7" s="8" t="inlineStr">
        <is>
          <t>기말</t>
        </is>
      </c>
      <c r="M7" s="7" t="n">
        <v>0.05415</v>
      </c>
      <c r="O7" s="21" t="n"/>
      <c r="P7" s="21" t="n"/>
      <c r="Q7" s="21" t="n"/>
      <c r="R7" s="21" t="n">
        <v>5000000</v>
      </c>
      <c r="S7" s="21" t="n"/>
      <c r="T7" s="18" t="inlineStr">
        <is>
          <t>판관</t>
        </is>
      </c>
    </row>
    <row r="8">
      <c r="A8" s="18" t="n">
        <v>104</v>
      </c>
      <c r="B8" s="18" t="inlineStr">
        <is>
          <t>건물</t>
        </is>
      </c>
      <c r="C8" s="18" t="inlineStr">
        <is>
          <t>전주사무소</t>
        </is>
      </c>
      <c r="E8" s="3" t="n">
        <v>45597</v>
      </c>
      <c r="F8" s="12" t="n">
        <v>46326</v>
      </c>
      <c r="G8" s="4" t="inlineStr">
        <is>
          <t>X</t>
        </is>
      </c>
      <c r="H8" s="20">
        <f>ROUND((F8-E8)/365*12,0)</f>
        <v/>
      </c>
      <c r="I8" s="8" t="inlineStr">
        <is>
          <t>당월</t>
        </is>
      </c>
      <c r="J8" s="21" t="n">
        <v>440000</v>
      </c>
      <c r="K8" s="4" t="inlineStr">
        <is>
          <t>월</t>
        </is>
      </c>
      <c r="L8" s="8" t="inlineStr">
        <is>
          <t>기말</t>
        </is>
      </c>
      <c r="M8" s="14" t="n">
        <v>0.063</v>
      </c>
      <c r="R8" s="18" t="n">
        <v>5000000</v>
      </c>
      <c r="T8" s="18" t="inlineStr">
        <is>
          <t>판관</t>
        </is>
      </c>
    </row>
    <row r="9">
      <c r="A9" s="18" t="n">
        <v>105</v>
      </c>
      <c r="B9" s="18" t="inlineStr">
        <is>
          <t>차량운반구</t>
        </is>
      </c>
      <c r="C9" s="18" t="inlineStr">
        <is>
          <t>[179하6535]H&amp;B 사업본부장(장영환 이사)</t>
        </is>
      </c>
      <c r="E9" s="3" t="n">
        <v>45681</v>
      </c>
      <c r="F9" s="12" t="n">
        <v>47142</v>
      </c>
      <c r="G9" s="4" t="inlineStr">
        <is>
          <t>X</t>
        </is>
      </c>
      <c r="H9" s="20">
        <f>ROUND((F9-E9)/365*12,0)</f>
        <v/>
      </c>
      <c r="I9" s="8" t="inlineStr">
        <is>
          <t>당월</t>
        </is>
      </c>
      <c r="J9" s="18" t="n">
        <v>665000</v>
      </c>
      <c r="K9" s="4" t="inlineStr">
        <is>
          <t>월</t>
        </is>
      </c>
      <c r="L9" s="8" t="inlineStr">
        <is>
          <t>기말</t>
        </is>
      </c>
      <c r="M9" s="14" t="n">
        <v>0.0679</v>
      </c>
      <c r="R9" s="18" t="n">
        <v>0</v>
      </c>
      <c r="T9" s="18" t="inlineStr">
        <is>
          <t>판관</t>
        </is>
      </c>
    </row>
    <row r="10">
      <c r="A10" s="18" t="n">
        <v>106</v>
      </c>
      <c r="B10" s="18" t="inlineStr">
        <is>
          <t>차량운반구</t>
        </is>
      </c>
      <c r="C10" s="18" t="inlineStr">
        <is>
          <t>[179하6985] 업무용차량(특수유통 : 이주운)</t>
        </is>
      </c>
      <c r="E10" s="3" t="n">
        <v>45681</v>
      </c>
      <c r="F10" s="12" t="n">
        <v>47142</v>
      </c>
      <c r="G10" s="4" t="inlineStr">
        <is>
          <t>X</t>
        </is>
      </c>
      <c r="H10" s="20">
        <f>ROUND((F10-E10)/365*12,0)</f>
        <v/>
      </c>
      <c r="I10" s="8" t="inlineStr">
        <is>
          <t>당월</t>
        </is>
      </c>
      <c r="J10" s="18" t="n">
        <v>445000</v>
      </c>
      <c r="K10" s="4" t="inlineStr">
        <is>
          <t>월</t>
        </is>
      </c>
      <c r="L10" s="8" t="inlineStr">
        <is>
          <t>기말</t>
        </is>
      </c>
      <c r="M10" s="14" t="n">
        <v>0.0679</v>
      </c>
      <c r="R10" s="18" t="n">
        <v>0</v>
      </c>
      <c r="T10" s="18" t="inlineStr">
        <is>
          <t>판관</t>
        </is>
      </c>
    </row>
    <row r="11">
      <c r="A11" s="18" t="n">
        <v>107</v>
      </c>
      <c r="B11" s="18" t="inlineStr">
        <is>
          <t>차량운반구</t>
        </is>
      </c>
      <c r="C11" s="18" t="inlineStr">
        <is>
          <t>[179하6986] 아산공장 공용차량</t>
        </is>
      </c>
      <c r="E11" s="3" t="n">
        <v>45680</v>
      </c>
      <c r="F11" s="12" t="n">
        <v>47141</v>
      </c>
      <c r="G11" s="4" t="inlineStr">
        <is>
          <t>X</t>
        </is>
      </c>
      <c r="H11" s="20">
        <f>ROUND((F11-E11)/365*12,0)</f>
        <v/>
      </c>
      <c r="I11" s="8" t="inlineStr">
        <is>
          <t>당월</t>
        </is>
      </c>
      <c r="J11" s="18" t="n">
        <v>445000</v>
      </c>
      <c r="K11" s="4" t="inlineStr">
        <is>
          <t>월</t>
        </is>
      </c>
      <c r="L11" s="8" t="inlineStr">
        <is>
          <t>기말</t>
        </is>
      </c>
      <c r="M11" s="14" t="n">
        <v>0.0679</v>
      </c>
      <c r="R11" s="18" t="n">
        <v>0</v>
      </c>
      <c r="T11" s="18" t="inlineStr">
        <is>
          <t>제조(아산)</t>
        </is>
      </c>
    </row>
    <row r="12">
      <c r="A12" s="18" t="n">
        <v>108</v>
      </c>
      <c r="B12" s="18" t="inlineStr">
        <is>
          <t>차량운반구</t>
        </is>
      </c>
      <c r="C12" s="18" t="inlineStr">
        <is>
          <t>[179하6987] 업무용차량(일반유통 : 이조환)</t>
        </is>
      </c>
      <c r="E12" s="3" t="n">
        <v>45681</v>
      </c>
      <c r="F12" s="12" t="n">
        <v>47142</v>
      </c>
      <c r="G12" s="4" t="inlineStr">
        <is>
          <t>X</t>
        </is>
      </c>
      <c r="H12" s="20">
        <f>ROUND((F12-E12)/365*12,0)</f>
        <v/>
      </c>
      <c r="I12" s="8" t="inlineStr">
        <is>
          <t>당월</t>
        </is>
      </c>
      <c r="J12" s="18" t="n">
        <v>445000</v>
      </c>
      <c r="K12" s="4" t="inlineStr">
        <is>
          <t>월</t>
        </is>
      </c>
      <c r="L12" s="8" t="inlineStr">
        <is>
          <t>기말</t>
        </is>
      </c>
      <c r="M12" s="14" t="n">
        <v>0.0679</v>
      </c>
      <c r="R12" s="18" t="n">
        <v>0</v>
      </c>
      <c r="T12" s="18" t="inlineStr">
        <is>
          <t>판관</t>
        </is>
      </c>
    </row>
    <row r="13">
      <c r="A13" s="18" t="n">
        <v>109</v>
      </c>
      <c r="B13" s="18" t="inlineStr">
        <is>
          <t>차량운반구</t>
        </is>
      </c>
      <c r="C13" s="18" t="inlineStr">
        <is>
          <t>[179하6988] 업무용차량(일반유통 : 박현우)</t>
        </is>
      </c>
      <c r="E13" s="3" t="n">
        <v>45681</v>
      </c>
      <c r="F13" s="12" t="n">
        <v>47142</v>
      </c>
      <c r="G13" s="4" t="inlineStr">
        <is>
          <t>X</t>
        </is>
      </c>
      <c r="H13" s="20">
        <f>ROUND((F13-E13)/365*12,0)</f>
        <v/>
      </c>
      <c r="I13" s="8" t="inlineStr">
        <is>
          <t>당월</t>
        </is>
      </c>
      <c r="J13" s="18" t="n">
        <v>445000</v>
      </c>
      <c r="K13" s="4" t="inlineStr">
        <is>
          <t>월</t>
        </is>
      </c>
      <c r="L13" s="8" t="inlineStr">
        <is>
          <t>기말</t>
        </is>
      </c>
      <c r="M13" s="14" t="n">
        <v>0.0679</v>
      </c>
      <c r="R13" s="18" t="n">
        <v>0</v>
      </c>
      <c r="T13" s="18" t="inlineStr">
        <is>
          <t>판관</t>
        </is>
      </c>
    </row>
    <row r="14">
      <c r="A14" s="18" t="n">
        <v>110</v>
      </c>
      <c r="B14" s="18" t="inlineStr">
        <is>
          <t>차량운반구</t>
        </is>
      </c>
      <c r="C14" s="18" t="inlineStr">
        <is>
          <t>[179하6989] 서울본사 공용차량</t>
        </is>
      </c>
      <c r="E14" s="3" t="n">
        <v>45681</v>
      </c>
      <c r="F14" s="12" t="n">
        <v>47142</v>
      </c>
      <c r="G14" s="4" t="inlineStr">
        <is>
          <t>X</t>
        </is>
      </c>
      <c r="H14" s="20">
        <f>ROUND((F14-E14)/365*12,0)</f>
        <v/>
      </c>
      <c r="I14" s="8" t="inlineStr">
        <is>
          <t>당월</t>
        </is>
      </c>
      <c r="J14" s="18" t="n">
        <v>445000</v>
      </c>
      <c r="K14" s="4" t="inlineStr">
        <is>
          <t>월</t>
        </is>
      </c>
      <c r="L14" s="8" t="inlineStr">
        <is>
          <t>기말</t>
        </is>
      </c>
      <c r="M14" s="14" t="n">
        <v>0.0679</v>
      </c>
      <c r="R14" s="18" t="n">
        <v>0</v>
      </c>
      <c r="T14" s="18" t="inlineStr">
        <is>
          <t>판관</t>
        </is>
      </c>
    </row>
    <row r="15">
      <c r="A15" s="18" t="n">
        <v>111</v>
      </c>
      <c r="B15" s="18" t="inlineStr">
        <is>
          <t>건물</t>
        </is>
      </c>
      <c r="C15" s="18" t="inlineStr">
        <is>
          <t>북부사무소</t>
        </is>
      </c>
      <c r="E15" s="3" t="n">
        <v>45693</v>
      </c>
      <c r="F15" s="12" t="n">
        <v>46422</v>
      </c>
      <c r="G15" s="4" t="inlineStr">
        <is>
          <t>X</t>
        </is>
      </c>
      <c r="H15" s="20">
        <f>ROUND((F15-E15)/365*12,0)</f>
        <v/>
      </c>
      <c r="I15" s="8" t="inlineStr">
        <is>
          <t>당월</t>
        </is>
      </c>
      <c r="J15" s="18" t="n">
        <v>1050000</v>
      </c>
      <c r="K15" s="4" t="inlineStr">
        <is>
          <t>월</t>
        </is>
      </c>
      <c r="L15" s="8" t="inlineStr">
        <is>
          <t>기말</t>
        </is>
      </c>
      <c r="M15" s="14" t="n">
        <v>0.059</v>
      </c>
      <c r="R15" s="18" t="n">
        <v>20000000</v>
      </c>
      <c r="T15" s="18" t="inlineStr">
        <is>
          <t>판관</t>
        </is>
      </c>
    </row>
    <row r="16">
      <c r="A16" s="18" t="n">
        <v>112</v>
      </c>
      <c r="B16" s="18" t="inlineStr">
        <is>
          <t>차량운반구</t>
        </is>
      </c>
      <c r="C16" s="18" t="inlineStr">
        <is>
          <t>[230하7856] 품질연구소장(최민호이사)</t>
        </is>
      </c>
      <c r="E16" s="3" t="n">
        <v>45705</v>
      </c>
      <c r="F16" s="12" t="inlineStr">
        <is>
          <t>2029-02-17</t>
        </is>
      </c>
      <c r="G16" s="4" t="inlineStr">
        <is>
          <t>X</t>
        </is>
      </c>
      <c r="H16" s="20">
        <f>ROUND((F16-E16)/365*12,0)</f>
        <v/>
      </c>
      <c r="I16" s="8" t="inlineStr">
        <is>
          <t>당월</t>
        </is>
      </c>
      <c r="J16" s="18" t="n">
        <v>710000</v>
      </c>
      <c r="K16" s="4" t="inlineStr">
        <is>
          <t>월</t>
        </is>
      </c>
      <c r="L16" s="8" t="inlineStr">
        <is>
          <t>기말</t>
        </is>
      </c>
      <c r="M16" s="14" t="n">
        <v>0.0673</v>
      </c>
      <c r="R16" s="18" t="n">
        <v>0</v>
      </c>
      <c r="T16" s="18" t="inlineStr">
        <is>
          <t>제조(아산)</t>
        </is>
      </c>
    </row>
    <row r="17">
      <c r="A17" s="18" t="n">
        <v>113</v>
      </c>
      <c r="B17" s="18" t="inlineStr">
        <is>
          <t>차량운반구</t>
        </is>
      </c>
      <c r="C17" s="18" t="inlineStr">
        <is>
          <t>[230허2388] 업무용차량(광주 : 김두흥)</t>
        </is>
      </c>
      <c r="E17" s="3" t="n">
        <v>45705</v>
      </c>
      <c r="F17" s="12" t="inlineStr">
        <is>
          <t>2029-02-17</t>
        </is>
      </c>
      <c r="G17" s="4" t="inlineStr">
        <is>
          <t>X</t>
        </is>
      </c>
      <c r="H17" s="20">
        <f>ROUND((F17-E17)/365*12,0)</f>
        <v/>
      </c>
      <c r="I17" s="8" t="inlineStr">
        <is>
          <t>당월</t>
        </is>
      </c>
      <c r="J17" s="18" t="n">
        <v>530000</v>
      </c>
      <c r="K17" s="4" t="inlineStr">
        <is>
          <t>월</t>
        </is>
      </c>
      <c r="L17" s="8" t="inlineStr">
        <is>
          <t>기말</t>
        </is>
      </c>
      <c r="M17" s="14" t="n">
        <v>0.0673</v>
      </c>
      <c r="R17" s="18" t="n">
        <v>0</v>
      </c>
      <c r="T17" s="18" t="inlineStr">
        <is>
          <t>판관</t>
        </is>
      </c>
    </row>
    <row r="18">
      <c r="A18" s="18" t="n">
        <v>114</v>
      </c>
      <c r="B18" s="18" t="inlineStr">
        <is>
          <t>차량운반구</t>
        </is>
      </c>
      <c r="C18" s="18" t="inlineStr">
        <is>
          <t>[230허2111] 업무용차량(경남 : 백길민)</t>
        </is>
      </c>
      <c r="E18" s="3" t="n">
        <v>45705</v>
      </c>
      <c r="F18" s="12" t="inlineStr">
        <is>
          <t>2029-02-17</t>
        </is>
      </c>
      <c r="G18" s="4" t="inlineStr">
        <is>
          <t>X</t>
        </is>
      </c>
      <c r="H18" s="20">
        <f>ROUND((F18-E18)/365*12,0)</f>
        <v/>
      </c>
      <c r="I18" s="8" t="inlineStr">
        <is>
          <t>당월</t>
        </is>
      </c>
      <c r="J18" s="18" t="n">
        <v>530000</v>
      </c>
      <c r="K18" s="4" t="inlineStr">
        <is>
          <t>월</t>
        </is>
      </c>
      <c r="L18" s="8" t="inlineStr">
        <is>
          <t>기말</t>
        </is>
      </c>
      <c r="M18" s="14" t="n">
        <v>0.0673</v>
      </c>
      <c r="R18" s="18" t="n">
        <v>0</v>
      </c>
      <c r="T18" s="18" t="inlineStr">
        <is>
          <t>판관</t>
        </is>
      </c>
    </row>
    <row r="19">
      <c r="A19" s="18" t="n">
        <v>115</v>
      </c>
      <c r="B19" s="18" t="inlineStr">
        <is>
          <t>차량운반구</t>
        </is>
      </c>
      <c r="C19" s="18" t="inlineStr">
        <is>
          <t>[230하7102] 업무용차량(의약도매 : 강상우)</t>
        </is>
      </c>
      <c r="E19" s="3" t="n">
        <v>45705</v>
      </c>
      <c r="F19" s="12" t="inlineStr">
        <is>
          <t>2029-02-17</t>
        </is>
      </c>
      <c r="G19" s="4" t="inlineStr">
        <is>
          <t>X</t>
        </is>
      </c>
      <c r="H19" s="20">
        <f>ROUND((F19-E19)/365*12,0)</f>
        <v/>
      </c>
      <c r="I19" s="8" t="inlineStr">
        <is>
          <t>당월</t>
        </is>
      </c>
      <c r="J19" s="18" t="n">
        <v>530000</v>
      </c>
      <c r="K19" s="4" t="inlineStr">
        <is>
          <t>월</t>
        </is>
      </c>
      <c r="L19" s="8" t="inlineStr">
        <is>
          <t>기말</t>
        </is>
      </c>
      <c r="M19" s="14" t="n">
        <v>0.0673</v>
      </c>
      <c r="R19" s="18" t="n">
        <v>0</v>
      </c>
      <c r="T19" s="18" t="inlineStr">
        <is>
          <t>판관</t>
        </is>
      </c>
    </row>
    <row r="20">
      <c r="A20" s="18" t="n">
        <v>116</v>
      </c>
      <c r="B20" s="18" t="inlineStr">
        <is>
          <t>차량운반구</t>
        </is>
      </c>
      <c r="C20" s="18" t="inlineStr">
        <is>
          <t>[230허2110] 업무용차량(부산 : 심종섭)</t>
        </is>
      </c>
      <c r="E20" s="3" t="n">
        <v>45705</v>
      </c>
      <c r="F20" s="12" t="inlineStr">
        <is>
          <t>2029-02-17</t>
        </is>
      </c>
      <c r="G20" s="4" t="inlineStr">
        <is>
          <t>X</t>
        </is>
      </c>
      <c r="H20" s="20">
        <f>ROUND((F20-E20)/365*12,0)</f>
        <v/>
      </c>
      <c r="I20" s="8" t="inlineStr">
        <is>
          <t>당월</t>
        </is>
      </c>
      <c r="J20" s="18" t="n">
        <v>530000</v>
      </c>
      <c r="K20" s="4" t="inlineStr">
        <is>
          <t>월</t>
        </is>
      </c>
      <c r="L20" s="8" t="inlineStr">
        <is>
          <t>기말</t>
        </is>
      </c>
      <c r="M20" s="14" t="n">
        <v>0.0673</v>
      </c>
      <c r="R20" s="18" t="n">
        <v>0</v>
      </c>
      <c r="T20" s="18" t="inlineStr">
        <is>
          <t>판관</t>
        </is>
      </c>
    </row>
    <row r="21">
      <c r="A21" s="18" t="n">
        <v>117</v>
      </c>
      <c r="B21" s="18" t="inlineStr">
        <is>
          <t>차량운반구</t>
        </is>
      </c>
      <c r="C21" s="18" t="inlineStr">
        <is>
          <t>[230하7103] 업무용차량(대전 : 심호선)</t>
        </is>
      </c>
      <c r="E21" s="3" t="n">
        <v>45705</v>
      </c>
      <c r="F21" s="12" t="inlineStr">
        <is>
          <t>2029-02-17</t>
        </is>
      </c>
      <c r="G21" s="4" t="inlineStr">
        <is>
          <t>X</t>
        </is>
      </c>
      <c r="H21" s="20">
        <f>ROUND((F21-E21)/365*12,0)</f>
        <v/>
      </c>
      <c r="I21" s="8" t="inlineStr">
        <is>
          <t>당월</t>
        </is>
      </c>
      <c r="J21" s="18" t="n">
        <v>530000</v>
      </c>
      <c r="K21" s="4" t="inlineStr">
        <is>
          <t>월</t>
        </is>
      </c>
      <c r="L21" s="8" t="inlineStr">
        <is>
          <t>기말</t>
        </is>
      </c>
      <c r="M21" s="14" t="n">
        <v>0.0673</v>
      </c>
      <c r="R21" s="18" t="n">
        <v>0</v>
      </c>
      <c r="T21" s="18" t="inlineStr">
        <is>
          <t>판관</t>
        </is>
      </c>
    </row>
    <row r="22">
      <c r="A22" s="18" t="n">
        <v>118</v>
      </c>
      <c r="B22" s="18" t="inlineStr">
        <is>
          <t>차량운반구</t>
        </is>
      </c>
      <c r="C22" s="18" t="inlineStr">
        <is>
          <t>[230하7104] 업무용차량(대구 : 라효길)</t>
        </is>
      </c>
      <c r="E22" s="3" t="n">
        <v>45705</v>
      </c>
      <c r="F22" s="12" t="inlineStr">
        <is>
          <t>2029-02-17</t>
        </is>
      </c>
      <c r="G22" s="4" t="inlineStr">
        <is>
          <t>X</t>
        </is>
      </c>
      <c r="H22" s="20">
        <f>ROUND((F22-E22)/365*12,0)</f>
        <v/>
      </c>
      <c r="I22" s="8" t="inlineStr">
        <is>
          <t>당월</t>
        </is>
      </c>
      <c r="J22" s="18" t="n">
        <v>530000</v>
      </c>
      <c r="K22" s="4" t="inlineStr">
        <is>
          <t>월</t>
        </is>
      </c>
      <c r="L22" s="8" t="inlineStr">
        <is>
          <t>기말</t>
        </is>
      </c>
      <c r="M22" s="14" t="n">
        <v>0.0673</v>
      </c>
      <c r="R22" s="18" t="n">
        <v>0</v>
      </c>
      <c r="T22" s="18" t="inlineStr">
        <is>
          <t>판관</t>
        </is>
      </c>
    </row>
    <row r="23">
      <c r="A23" s="18" t="n">
        <v>119</v>
      </c>
      <c r="B23" s="18" t="inlineStr">
        <is>
          <t>차량운반구</t>
        </is>
      </c>
      <c r="C23" s="18" t="inlineStr">
        <is>
          <t>[230하6496] 업무용차량(의약도매 : 양재성)</t>
        </is>
      </c>
      <c r="E23" s="3" t="n">
        <v>45702</v>
      </c>
      <c r="F23" s="12" t="inlineStr">
        <is>
          <t>2029-02-14</t>
        </is>
      </c>
      <c r="G23" s="4" t="inlineStr">
        <is>
          <t>X</t>
        </is>
      </c>
      <c r="H23" s="20">
        <f>ROUND((F23-E23)/365*12,0)</f>
        <v/>
      </c>
      <c r="I23" s="8" t="inlineStr">
        <is>
          <t>당월</t>
        </is>
      </c>
      <c r="J23" s="18" t="n">
        <v>530000</v>
      </c>
      <c r="K23" s="4" t="inlineStr">
        <is>
          <t>월</t>
        </is>
      </c>
      <c r="L23" s="8" t="inlineStr">
        <is>
          <t>기말</t>
        </is>
      </c>
      <c r="M23" s="14" t="n">
        <v>0.0673</v>
      </c>
      <c r="R23" s="18" t="n">
        <v>0</v>
      </c>
      <c r="T23" s="18" t="inlineStr">
        <is>
          <t>판관</t>
        </is>
      </c>
    </row>
    <row r="24">
      <c r="A24" s="18" t="n">
        <v>120</v>
      </c>
      <c r="B24" s="18" t="inlineStr">
        <is>
          <t>차량운반구</t>
        </is>
      </c>
      <c r="C24" s="18" t="inlineStr">
        <is>
          <t>[230하7105] 업무용차량(남부 : 한형수)</t>
        </is>
      </c>
      <c r="E24" s="3" t="n">
        <v>45705</v>
      </c>
      <c r="F24" s="12" t="inlineStr">
        <is>
          <t>2029-02-17</t>
        </is>
      </c>
      <c r="G24" s="4" t="inlineStr">
        <is>
          <t>X</t>
        </is>
      </c>
      <c r="H24" s="20">
        <f>ROUND((F24-E24)/365*12,0)</f>
        <v/>
      </c>
      <c r="I24" s="8" t="inlineStr">
        <is>
          <t>당월</t>
        </is>
      </c>
      <c r="J24" s="18" t="n">
        <v>530000</v>
      </c>
      <c r="K24" s="4" t="inlineStr">
        <is>
          <t>월</t>
        </is>
      </c>
      <c r="L24" s="8" t="inlineStr">
        <is>
          <t>기말</t>
        </is>
      </c>
      <c r="M24" s="14" t="n">
        <v>0.0673</v>
      </c>
      <c r="R24" s="18" t="n">
        <v>0</v>
      </c>
      <c r="T24" s="18" t="inlineStr">
        <is>
          <t>판관</t>
        </is>
      </c>
    </row>
    <row r="25">
      <c r="A25" s="18" t="n">
        <v>121</v>
      </c>
      <c r="B25" s="18" t="inlineStr">
        <is>
          <t>차량운반구</t>
        </is>
      </c>
      <c r="C25" s="18" t="inlineStr">
        <is>
          <t>[230하7106] 업무용차량(강원 : 고성일)</t>
        </is>
      </c>
      <c r="E25" s="3" t="n">
        <v>45705</v>
      </c>
      <c r="F25" s="12" t="inlineStr">
        <is>
          <t>2029-02-17</t>
        </is>
      </c>
      <c r="G25" s="4" t="inlineStr">
        <is>
          <t>X</t>
        </is>
      </c>
      <c r="H25" s="20">
        <f>ROUND((F25-E25)/365*12,0)</f>
        <v/>
      </c>
      <c r="I25" s="8" t="inlineStr">
        <is>
          <t>당월</t>
        </is>
      </c>
      <c r="J25" s="18" t="n">
        <v>530000</v>
      </c>
      <c r="K25" s="4" t="inlineStr">
        <is>
          <t>월</t>
        </is>
      </c>
      <c r="L25" s="8" t="inlineStr">
        <is>
          <t>기말</t>
        </is>
      </c>
      <c r="M25" s="14" t="n">
        <v>0.0673</v>
      </c>
      <c r="R25" s="18" t="n">
        <v>0</v>
      </c>
      <c r="T25" s="18" t="inlineStr">
        <is>
          <t>판관</t>
        </is>
      </c>
    </row>
    <row r="26">
      <c r="A26" s="18" t="n">
        <v>122</v>
      </c>
      <c r="B26" s="18" t="inlineStr">
        <is>
          <t>차량운반구</t>
        </is>
      </c>
      <c r="C26" s="18" t="inlineStr">
        <is>
          <t>[230허2309] 업무용차량(경기 : 임정석)</t>
        </is>
      </c>
      <c r="E26" s="3" t="n">
        <v>45705</v>
      </c>
      <c r="F26" s="12" t="inlineStr">
        <is>
          <t>2029-02-17</t>
        </is>
      </c>
      <c r="G26" s="4" t="inlineStr">
        <is>
          <t>X</t>
        </is>
      </c>
      <c r="H26" s="20">
        <f>ROUND((F26-E26)/365*12,0)</f>
        <v/>
      </c>
      <c r="I26" s="8" t="inlineStr">
        <is>
          <t>당월</t>
        </is>
      </c>
      <c r="J26" s="18" t="n">
        <v>530000</v>
      </c>
      <c r="K26" s="4" t="inlineStr">
        <is>
          <t>월</t>
        </is>
      </c>
      <c r="L26" s="8" t="inlineStr">
        <is>
          <t>기말</t>
        </is>
      </c>
      <c r="M26" s="14" t="n">
        <v>0.0673</v>
      </c>
      <c r="R26" s="18" t="n">
        <v>0</v>
      </c>
      <c r="T26" s="18" t="inlineStr">
        <is>
          <t>판관</t>
        </is>
      </c>
    </row>
    <row r="27">
      <c r="A27" s="18" t="n">
        <v>123</v>
      </c>
      <c r="B27" s="18" t="inlineStr">
        <is>
          <t>차량운반구</t>
        </is>
      </c>
      <c r="C27" s="18" t="inlineStr">
        <is>
          <t>[230허2310] 업무용차량(북부 : 이춘성)</t>
        </is>
      </c>
      <c r="E27" s="3" t="n">
        <v>45705</v>
      </c>
      <c r="F27" s="12" t="inlineStr">
        <is>
          <t>2029-02-17</t>
        </is>
      </c>
      <c r="G27" s="4" t="inlineStr">
        <is>
          <t>X</t>
        </is>
      </c>
      <c r="H27" s="20">
        <f>ROUND((F27-E27)/365*12,0)</f>
        <v/>
      </c>
      <c r="I27" s="8" t="inlineStr">
        <is>
          <t>당월</t>
        </is>
      </c>
      <c r="J27" s="18" t="n">
        <v>530000</v>
      </c>
      <c r="K27" s="4" t="inlineStr">
        <is>
          <t>월</t>
        </is>
      </c>
      <c r="L27" s="8" t="inlineStr">
        <is>
          <t>기말</t>
        </is>
      </c>
      <c r="M27" s="14" t="n">
        <v>0.0673</v>
      </c>
      <c r="R27" s="18" t="n">
        <v>0</v>
      </c>
      <c r="T27" s="18" t="inlineStr">
        <is>
          <t>판관</t>
        </is>
      </c>
    </row>
    <row r="28">
      <c r="A28" s="18" t="n">
        <v>124</v>
      </c>
      <c r="B28" s="18" t="inlineStr">
        <is>
          <t>차량운반구</t>
        </is>
      </c>
      <c r="C28" s="18" t="inlineStr">
        <is>
          <t>[230허2109] 업무용차량(특수유통 : 강승한)</t>
        </is>
      </c>
      <c r="E28" s="3" t="n">
        <v>45702</v>
      </c>
      <c r="F28" s="12" t="n">
        <v>47163</v>
      </c>
      <c r="G28" s="4" t="inlineStr">
        <is>
          <t>X</t>
        </is>
      </c>
      <c r="H28" s="20">
        <f>ROUND((F28-E28)/365*12,0)</f>
        <v/>
      </c>
      <c r="I28" s="8" t="inlineStr">
        <is>
          <t>당월</t>
        </is>
      </c>
      <c r="J28" s="18" t="n">
        <v>530000</v>
      </c>
      <c r="K28" s="4" t="inlineStr">
        <is>
          <t>월</t>
        </is>
      </c>
      <c r="L28" s="8" t="inlineStr">
        <is>
          <t>기말</t>
        </is>
      </c>
      <c r="M28" s="14" t="n">
        <v>0.0673</v>
      </c>
      <c r="R28" s="18" t="n">
        <v>0</v>
      </c>
      <c r="T28" s="18" t="inlineStr">
        <is>
          <t>판관</t>
        </is>
      </c>
    </row>
    <row r="29">
      <c r="A29" s="18" t="n">
        <v>125</v>
      </c>
      <c r="B29" s="18" t="inlineStr">
        <is>
          <t>차량운반구</t>
        </is>
      </c>
      <c r="C29" s="18" t="inlineStr">
        <is>
          <t>[230하7107] 업무용차량 (인천 : 유정희)</t>
        </is>
      </c>
      <c r="E29" s="3" t="n">
        <v>45705</v>
      </c>
      <c r="F29" s="12" t="inlineStr">
        <is>
          <t>2029-02-17</t>
        </is>
      </c>
      <c r="G29" s="4" t="inlineStr">
        <is>
          <t>X</t>
        </is>
      </c>
      <c r="H29" s="20">
        <f>ROUND((F29-E29)/365*12,0)</f>
        <v/>
      </c>
      <c r="I29" s="8" t="inlineStr">
        <is>
          <t>당월</t>
        </is>
      </c>
      <c r="J29" s="18" t="n">
        <v>530000</v>
      </c>
      <c r="K29" s="4" t="inlineStr">
        <is>
          <t>월</t>
        </is>
      </c>
      <c r="L29" s="8" t="inlineStr">
        <is>
          <t>기말</t>
        </is>
      </c>
      <c r="M29" s="14" t="n">
        <v>0.0673</v>
      </c>
      <c r="R29" s="18" t="n">
        <v>0</v>
      </c>
      <c r="T29" s="18" t="inlineStr">
        <is>
          <t>판관</t>
        </is>
      </c>
    </row>
    <row r="30">
      <c r="A30" s="18" t="n">
        <v>126</v>
      </c>
      <c r="B30" s="18" t="inlineStr">
        <is>
          <t>차량운반구</t>
        </is>
      </c>
      <c r="C30" s="18" t="inlineStr">
        <is>
          <t>[230하7108] 업무용차량(의약도매 : 권주섭)</t>
        </is>
      </c>
      <c r="E30" s="3" t="n">
        <v>45705</v>
      </c>
      <c r="F30" s="12" t="inlineStr">
        <is>
          <t>2029-02-17</t>
        </is>
      </c>
      <c r="G30" s="4" t="inlineStr">
        <is>
          <t>X</t>
        </is>
      </c>
      <c r="H30" s="20">
        <f>ROUND((F30-E30)/365*12,0)</f>
        <v/>
      </c>
      <c r="I30" s="8" t="inlineStr">
        <is>
          <t>당월</t>
        </is>
      </c>
      <c r="J30" s="18" t="n">
        <v>530000</v>
      </c>
      <c r="K30" s="4" t="inlineStr">
        <is>
          <t>월</t>
        </is>
      </c>
      <c r="L30" s="8" t="inlineStr">
        <is>
          <t>기말</t>
        </is>
      </c>
      <c r="M30" s="14" t="n">
        <v>0.0673</v>
      </c>
      <c r="R30" s="18" t="n">
        <v>0</v>
      </c>
      <c r="T30" s="18" t="inlineStr">
        <is>
          <t>판관</t>
        </is>
      </c>
    </row>
    <row r="31">
      <c r="A31" s="18" t="n">
        <v>127</v>
      </c>
      <c r="B31" s="18" t="inlineStr">
        <is>
          <t>차량운반구</t>
        </is>
      </c>
      <c r="C31" s="18" t="inlineStr">
        <is>
          <t>[230하8746] 업무용차량(일반유통 : 여성재)</t>
        </is>
      </c>
      <c r="E31" s="3" t="n">
        <v>45715</v>
      </c>
      <c r="F31" s="12" t="inlineStr">
        <is>
          <t>2029-02-27</t>
        </is>
      </c>
      <c r="G31" s="4" t="inlineStr">
        <is>
          <t>X</t>
        </is>
      </c>
      <c r="H31" s="20">
        <f>ROUND((F31-E31)/365*12,0)</f>
        <v/>
      </c>
      <c r="I31" s="8" t="inlineStr">
        <is>
          <t>당월</t>
        </is>
      </c>
      <c r="J31" s="18" t="n">
        <v>530000</v>
      </c>
      <c r="K31" s="4" t="inlineStr">
        <is>
          <t>월</t>
        </is>
      </c>
      <c r="L31" s="8" t="inlineStr">
        <is>
          <t>기말</t>
        </is>
      </c>
      <c r="M31" s="14" t="n">
        <v>0.0673</v>
      </c>
      <c r="R31" s="18" t="n">
        <v>0</v>
      </c>
      <c r="T31" s="18" t="inlineStr">
        <is>
          <t>판관</t>
        </is>
      </c>
    </row>
    <row r="32">
      <c r="A32" s="18" t="n">
        <v>128</v>
      </c>
      <c r="B32" s="18" t="inlineStr">
        <is>
          <t>건물</t>
        </is>
      </c>
      <c r="C32" s="18" t="inlineStr">
        <is>
          <t>대구 도매 사무소</t>
        </is>
      </c>
      <c r="E32" s="3" t="n">
        <v>45748</v>
      </c>
      <c r="F32" s="12" t="n">
        <v>46112</v>
      </c>
      <c r="G32" s="4" t="inlineStr">
        <is>
          <t>X</t>
        </is>
      </c>
      <c r="H32" s="20">
        <f>ROUND((F32-E32)/365*12,0)</f>
        <v/>
      </c>
      <c r="I32" s="8" t="inlineStr">
        <is>
          <t>당월</t>
        </is>
      </c>
      <c r="J32" s="18" t="n">
        <v>300000</v>
      </c>
      <c r="K32" s="4" t="inlineStr">
        <is>
          <t>월</t>
        </is>
      </c>
      <c r="L32" s="8" t="inlineStr">
        <is>
          <t>기말</t>
        </is>
      </c>
      <c r="M32" s="14" t="n">
        <v>0.0476</v>
      </c>
      <c r="R32" s="18" t="n">
        <v>3000000</v>
      </c>
      <c r="T32" s="18" t="inlineStr">
        <is>
          <t>판관</t>
        </is>
      </c>
    </row>
    <row r="33">
      <c r="A33" s="18" t="n">
        <v>129</v>
      </c>
      <c r="B33" s="18" t="inlineStr">
        <is>
          <t>차량운반구</t>
        </is>
      </c>
      <c r="C33" s="18" t="inlineStr">
        <is>
          <t>[231하6154] H&amp;B사업본부장(최윤범 이사)</t>
        </is>
      </c>
      <c r="E33" s="3" t="n">
        <v>45789</v>
      </c>
      <c r="F33" s="12" t="inlineStr">
        <is>
          <t>2029-05-12</t>
        </is>
      </c>
      <c r="G33" s="4" t="inlineStr">
        <is>
          <t>X</t>
        </is>
      </c>
      <c r="H33" s="20">
        <f>ROUND((F33-E33)/365*12,0)</f>
        <v/>
      </c>
      <c r="I33" s="8" t="inlineStr">
        <is>
          <t>당월</t>
        </is>
      </c>
      <c r="J33" s="18" t="n">
        <v>710000</v>
      </c>
      <c r="K33" s="4" t="inlineStr">
        <is>
          <t>월</t>
        </is>
      </c>
      <c r="L33" s="8" t="inlineStr">
        <is>
          <t>기말</t>
        </is>
      </c>
      <c r="M33" s="14" t="n">
        <v>0.04415</v>
      </c>
      <c r="R33" s="18" t="n">
        <v>0</v>
      </c>
      <c r="T33" s="18" t="inlineStr">
        <is>
          <t>판관</t>
        </is>
      </c>
    </row>
    <row r="34">
      <c r="A34" s="18" t="n">
        <v>130</v>
      </c>
      <c r="B34" s="18" t="inlineStr">
        <is>
          <t>차량운반구</t>
        </is>
      </c>
      <c r="C34" s="18" t="inlineStr">
        <is>
          <t>[231호3891]의약사업마케팅본부장(이성우 이사)</t>
        </is>
      </c>
      <c r="E34" s="3" t="n">
        <v>45789</v>
      </c>
      <c r="F34" s="12" t="inlineStr">
        <is>
          <t>2029-05-12</t>
        </is>
      </c>
      <c r="G34" s="4" t="inlineStr">
        <is>
          <t>X</t>
        </is>
      </c>
      <c r="H34" s="20">
        <f>ROUND((F34-E34)/365*12,0)</f>
        <v/>
      </c>
      <c r="I34" s="8" t="inlineStr">
        <is>
          <t>당월</t>
        </is>
      </c>
      <c r="J34" s="18" t="n">
        <v>710000</v>
      </c>
      <c r="K34" s="4" t="inlineStr">
        <is>
          <t>월</t>
        </is>
      </c>
      <c r="L34" s="8" t="inlineStr">
        <is>
          <t>기말</t>
        </is>
      </c>
      <c r="M34" s="14" t="n">
        <v>0.04415</v>
      </c>
      <c r="R34" s="18" t="n">
        <v>0</v>
      </c>
      <c r="T34" s="18" t="inlineStr">
        <is>
          <t>판관</t>
        </is>
      </c>
    </row>
    <row r="35">
      <c r="A35" s="18" t="n">
        <v>131</v>
      </c>
      <c r="B35" s="18" t="inlineStr">
        <is>
          <t>건물</t>
        </is>
      </c>
      <c r="C35" s="18" t="inlineStr">
        <is>
          <t>인천사무소</t>
        </is>
      </c>
      <c r="E35" s="3" t="n">
        <v>45818</v>
      </c>
      <c r="F35" s="12" t="n">
        <v>46182</v>
      </c>
      <c r="G35" s="4" t="inlineStr">
        <is>
          <t>X</t>
        </is>
      </c>
      <c r="H35" s="20">
        <f>ROUND((F35-E35)/365*12,0)</f>
        <v/>
      </c>
      <c r="I35" s="8" t="inlineStr">
        <is>
          <t>당월</t>
        </is>
      </c>
      <c r="J35" s="18" t="n">
        <v>880000</v>
      </c>
      <c r="K35" s="4" t="inlineStr">
        <is>
          <t>월</t>
        </is>
      </c>
      <c r="L35" s="8" t="inlineStr">
        <is>
          <t>기말</t>
        </is>
      </c>
      <c r="M35" s="14" t="n">
        <v>0.04389999999999999</v>
      </c>
      <c r="R35" s="18" t="n">
        <v>15000000</v>
      </c>
      <c r="T35" s="18" t="inlineStr">
        <is>
          <t>판관</t>
        </is>
      </c>
    </row>
    <row r="36">
      <c r="A36" s="18" t="n">
        <v>132</v>
      </c>
      <c r="B36" s="18" t="inlineStr">
        <is>
          <t>건물</t>
        </is>
      </c>
      <c r="C36" s="18" t="inlineStr">
        <is>
          <t>부산사무소</t>
        </is>
      </c>
      <c r="E36" s="3" t="n">
        <v>45902</v>
      </c>
      <c r="F36" s="12" t="n">
        <v>46267</v>
      </c>
      <c r="G36" s="4" t="inlineStr">
        <is>
          <t>X</t>
        </is>
      </c>
      <c r="H36" s="20">
        <f>ROUND((F36-E36)/365*12,0)</f>
        <v/>
      </c>
      <c r="I36" s="8" t="inlineStr">
        <is>
          <t>당월</t>
        </is>
      </c>
      <c r="J36" s="18" t="n">
        <v>800000</v>
      </c>
      <c r="K36" s="4" t="inlineStr">
        <is>
          <t>월</t>
        </is>
      </c>
      <c r="L36" s="8" t="inlineStr">
        <is>
          <t>기말</t>
        </is>
      </c>
      <c r="M36" s="14" t="n">
        <v>0.04389999999999999</v>
      </c>
      <c r="R36" s="18" t="n">
        <v>10000000</v>
      </c>
      <c r="T36" s="18" t="inlineStr">
        <is>
          <t>판관</t>
        </is>
      </c>
    </row>
    <row r="37">
      <c r="A37" s="18" t="n">
        <v>133</v>
      </c>
      <c r="B37" s="18" t="inlineStr">
        <is>
          <t>건물</t>
        </is>
      </c>
      <c r="C37" s="18" t="inlineStr">
        <is>
          <t>강원지점 사무소</t>
        </is>
      </c>
      <c r="E37" s="3" t="n">
        <v>45895</v>
      </c>
      <c r="F37" s="12" t="n">
        <v>46260</v>
      </c>
      <c r="G37" s="4" t="inlineStr">
        <is>
          <t>X</t>
        </is>
      </c>
      <c r="H37" s="20">
        <f>ROUND((F37-E37)/365*12,0)</f>
        <v/>
      </c>
      <c r="I37" s="8" t="inlineStr">
        <is>
          <t>당월</t>
        </is>
      </c>
      <c r="J37" s="18" t="n">
        <v>450000</v>
      </c>
      <c r="K37" s="4" t="inlineStr">
        <is>
          <t>월</t>
        </is>
      </c>
      <c r="L37" s="8" t="inlineStr">
        <is>
          <t>기말</t>
        </is>
      </c>
      <c r="M37" s="14" t="n">
        <v>0.0432</v>
      </c>
      <c r="R37" s="18" t="n">
        <v>10000000</v>
      </c>
      <c r="T37" s="18" t="inlineStr">
        <is>
          <t>판관</t>
        </is>
      </c>
    </row>
    <row r="38">
      <c r="A38" s="18" t="n">
        <v>134</v>
      </c>
      <c r="B38" s="18" t="inlineStr">
        <is>
          <t>차량운반구</t>
        </is>
      </c>
      <c r="C38" s="18" t="inlineStr">
        <is>
          <t>[188호5232] 업무용차량(경영지원본부 : 박상준)</t>
        </is>
      </c>
      <c r="E38" s="3" t="n">
        <v>45931</v>
      </c>
      <c r="F38" s="12" t="inlineStr">
        <is>
          <t>2029-10-01</t>
        </is>
      </c>
      <c r="G38" s="4" t="inlineStr">
        <is>
          <t>X</t>
        </is>
      </c>
      <c r="H38" s="20">
        <f>ROUND((F38-E38)/365*12,0)</f>
        <v/>
      </c>
      <c r="I38" s="8" t="inlineStr">
        <is>
          <t>당월</t>
        </is>
      </c>
      <c r="J38" s="18" t="n">
        <v>740000</v>
      </c>
      <c r="K38" s="4" t="inlineStr">
        <is>
          <t>월</t>
        </is>
      </c>
      <c r="L38" s="8" t="inlineStr">
        <is>
          <t>기말</t>
        </is>
      </c>
      <c r="M38" s="14" t="n">
        <v>0.0451</v>
      </c>
      <c r="R38" s="18" t="n">
        <v>0</v>
      </c>
      <c r="T38" s="18" t="inlineStr">
        <is>
          <t>판관</t>
        </is>
      </c>
    </row>
    <row r="39">
      <c r="A39" s="18" t="n">
        <v>135</v>
      </c>
      <c r="B39" s="18" t="inlineStr">
        <is>
          <t>건물</t>
        </is>
      </c>
      <c r="C39" s="18" t="inlineStr">
        <is>
          <t>대구 지점 사무소</t>
        </is>
      </c>
      <c r="E39" s="3" t="n">
        <v>45935</v>
      </c>
      <c r="F39" s="12" t="n">
        <v>46299</v>
      </c>
      <c r="G39" s="4" t="inlineStr">
        <is>
          <t>X</t>
        </is>
      </c>
      <c r="H39" s="20">
        <f>ROUND((F39-E39)/365*12,0)</f>
        <v/>
      </c>
      <c r="I39" s="8" t="inlineStr">
        <is>
          <t>당월</t>
        </is>
      </c>
      <c r="J39" s="18" t="n">
        <v>450000</v>
      </c>
      <c r="K39" s="4" t="inlineStr">
        <is>
          <t>월</t>
        </is>
      </c>
      <c r="L39" s="8" t="inlineStr">
        <is>
          <t>기말</t>
        </is>
      </c>
      <c r="M39" s="14" t="n">
        <v>0.0451</v>
      </c>
      <c r="R39" s="18" t="n">
        <v>4000000</v>
      </c>
      <c r="T39" s="18" t="inlineStr">
        <is>
          <t>판관</t>
        </is>
      </c>
    </row>
    <row r="40">
      <c r="A40" s="18" t="n">
        <v>136</v>
      </c>
      <c r="B40" s="18" t="inlineStr">
        <is>
          <t>건물</t>
        </is>
      </c>
      <c r="C40" s="18" t="inlineStr">
        <is>
          <t>경기사무소</t>
        </is>
      </c>
      <c r="E40" s="3" t="n">
        <v>45931</v>
      </c>
      <c r="F40" s="12" t="n">
        <v>46295</v>
      </c>
      <c r="G40" s="4" t="inlineStr">
        <is>
          <t>X</t>
        </is>
      </c>
      <c r="H40" s="20">
        <f>ROUND((F40-E40)/365*12,0)</f>
        <v/>
      </c>
      <c r="I40" s="8" t="inlineStr">
        <is>
          <t>당월</t>
        </is>
      </c>
      <c r="J40" s="18" t="n">
        <v>1050000</v>
      </c>
      <c r="K40" s="4" t="inlineStr">
        <is>
          <t>월</t>
        </is>
      </c>
      <c r="L40" s="8" t="inlineStr">
        <is>
          <t>기말</t>
        </is>
      </c>
      <c r="M40" s="14" t="n">
        <v>0.0451</v>
      </c>
      <c r="R40" s="18" t="n">
        <v>15000000</v>
      </c>
      <c r="T40" s="18" t="inlineStr">
        <is>
          <t>판관</t>
        </is>
      </c>
    </row>
    <row r="41">
      <c r="A41" s="18" t="n">
        <v>137</v>
      </c>
      <c r="B41" s="18" t="inlineStr">
        <is>
          <t>건물</t>
        </is>
      </c>
      <c r="C41" s="18" t="inlineStr">
        <is>
          <t>광주사무소</t>
        </is>
      </c>
      <c r="E41" s="3" t="n">
        <v>46013</v>
      </c>
      <c r="F41" s="12" t="n">
        <v>46630</v>
      </c>
      <c r="G41" s="4" t="inlineStr">
        <is>
          <t>X</t>
        </is>
      </c>
      <c r="H41" s="20">
        <f>ROUND((F41-E41)/365*12,0)</f>
        <v/>
      </c>
      <c r="I41" s="8" t="inlineStr">
        <is>
          <t>당월</t>
        </is>
      </c>
      <c r="J41" s="18" t="n">
        <v>700000</v>
      </c>
      <c r="K41" s="4" t="inlineStr">
        <is>
          <t>월</t>
        </is>
      </c>
      <c r="L41" s="8" t="inlineStr">
        <is>
          <t>기말</t>
        </is>
      </c>
      <c r="M41" s="14" t="n">
        <v>0.0481</v>
      </c>
      <c r="R41" s="18" t="n">
        <v>10000000</v>
      </c>
      <c r="T41" s="18" t="inlineStr">
        <is>
          <t>판관</t>
        </is>
      </c>
    </row>
    <row r="42">
      <c r="A42" s="18" t="n">
        <v>138</v>
      </c>
      <c r="B42" s="18" t="inlineStr">
        <is>
          <t>건물</t>
        </is>
      </c>
      <c r="C42" s="18" t="inlineStr">
        <is>
          <t>경남사무소</t>
        </is>
      </c>
      <c r="E42" s="3" t="n">
        <v>46027</v>
      </c>
      <c r="F42" s="12" t="n">
        <v>46392</v>
      </c>
      <c r="G42" s="4" t="inlineStr">
        <is>
          <t>X</t>
        </is>
      </c>
      <c r="H42" s="20">
        <f>ROUND((F42-E42)/365*12,0)</f>
        <v/>
      </c>
      <c r="I42" s="8" t="inlineStr">
        <is>
          <t>당월</t>
        </is>
      </c>
      <c r="J42" s="18" t="n">
        <v>600000</v>
      </c>
      <c r="K42" s="4" t="inlineStr">
        <is>
          <t>월</t>
        </is>
      </c>
      <c r="L42" s="8" t="inlineStr">
        <is>
          <t>기말</t>
        </is>
      </c>
      <c r="M42" s="14" t="n">
        <v>0.0486</v>
      </c>
      <c r="R42" s="18" t="n">
        <v>5000000</v>
      </c>
      <c r="T42" s="18" t="inlineStr">
        <is>
          <t>판관</t>
        </is>
      </c>
    </row>
    <row r="43">
      <c r="A43" s="18" t="n">
        <v>139</v>
      </c>
      <c r="B43" s="18" t="inlineStr">
        <is>
          <t>건물</t>
        </is>
      </c>
      <c r="C43" s="18" t="inlineStr">
        <is>
          <t>대구 도매 사무소</t>
        </is>
      </c>
      <c r="E43" s="3" t="n">
        <v>46113</v>
      </c>
      <c r="F43" s="12" t="n">
        <v>46477</v>
      </c>
      <c r="G43" s="4" t="inlineStr">
        <is>
          <t>X</t>
        </is>
      </c>
      <c r="H43" s="20">
        <f>ROUND((F43-E43)/365*12,0)</f>
        <v/>
      </c>
      <c r="I43" s="8" t="inlineStr">
        <is>
          <t>당월</t>
        </is>
      </c>
      <c r="J43" s="18" t="n">
        <v>300000</v>
      </c>
      <c r="K43" s="4" t="inlineStr">
        <is>
          <t>월</t>
        </is>
      </c>
      <c r="L43" s="8" t="inlineStr">
        <is>
          <t>기말</t>
        </is>
      </c>
      <c r="M43" s="14" t="n">
        <v>0.0509</v>
      </c>
      <c r="R43" s="18" t="n">
        <v>3000000</v>
      </c>
      <c r="T43" s="18" t="inlineStr">
        <is>
          <t>판관</t>
        </is>
      </c>
    </row>
    <row r="44">
      <c r="A44" s="18" t="n">
        <v>140</v>
      </c>
      <c r="B44" s="18" t="inlineStr">
        <is>
          <t>차량운반구</t>
        </is>
      </c>
      <c r="C44" s="18" t="inlineStr">
        <is>
          <t>[113도1750] 업무용차량(김성곤 대표이사)</t>
        </is>
      </c>
      <c r="E44" s="3" t="n">
        <v>46114</v>
      </c>
      <c r="F44" s="12" t="n">
        <v>47940</v>
      </c>
      <c r="G44" s="4" t="inlineStr">
        <is>
          <t>X</t>
        </is>
      </c>
      <c r="H44" s="20">
        <f>ROUND((F44-E44)/365*12,0)</f>
        <v/>
      </c>
      <c r="I44" s="8" t="inlineStr">
        <is>
          <t>당월</t>
        </is>
      </c>
      <c r="J44" s="18" t="n">
        <v>2882310</v>
      </c>
      <c r="K44" s="4" t="inlineStr">
        <is>
          <t>월</t>
        </is>
      </c>
      <c r="L44" s="8" t="inlineStr">
        <is>
          <t>기말</t>
        </is>
      </c>
      <c r="M44" s="14" t="n">
        <v>0.0509</v>
      </c>
      <c r="R44" s="18" t="n">
        <v>129587000</v>
      </c>
      <c r="T44" s="18" t="inlineStr">
        <is>
          <t>판관</t>
        </is>
      </c>
    </row>
    <row r="45">
      <c r="A45" s="18" t="n">
        <v>141</v>
      </c>
      <c r="B45" s="18" t="inlineStr">
        <is>
          <t>차량운반구</t>
        </is>
      </c>
      <c r="C45" s="18" t="inlineStr">
        <is>
          <t>[312로9458] 업무용차량(남궁정 이사)</t>
        </is>
      </c>
      <c r="E45" s="3" t="n">
        <v>46121</v>
      </c>
      <c r="F45" s="12" t="n">
        <v>47581</v>
      </c>
      <c r="G45" s="4" t="inlineStr">
        <is>
          <t>X</t>
        </is>
      </c>
      <c r="H45" s="20">
        <f>ROUND((F45-E45)/365*12,0)</f>
        <v/>
      </c>
      <c r="I45" s="8" t="inlineStr">
        <is>
          <t>당월</t>
        </is>
      </c>
      <c r="J45" s="18" t="n">
        <v>1065660</v>
      </c>
      <c r="K45" s="4" t="inlineStr">
        <is>
          <t>월</t>
        </is>
      </c>
      <c r="L45" s="8" t="inlineStr">
        <is>
          <t>기말</t>
        </is>
      </c>
      <c r="M45" s="14" t="n">
        <v>0.0509</v>
      </c>
      <c r="R45" s="18" t="n">
        <v>27560000</v>
      </c>
      <c r="T45" s="18" t="inlineStr">
        <is>
          <t>판관</t>
        </is>
      </c>
    </row>
    <row r="46">
      <c r="A46" s="18" t="n">
        <v>142</v>
      </c>
      <c r="B46" s="18" t="inlineStr">
        <is>
          <t>차량운반구</t>
        </is>
      </c>
      <c r="C46" s="18" t="inlineStr">
        <is>
          <t>[228호3591] 업무용차량(신민규 이사)</t>
        </is>
      </c>
      <c r="E46" s="3" t="n">
        <v>46119</v>
      </c>
      <c r="F46" s="12" t="n">
        <v>47427</v>
      </c>
      <c r="G46" s="4" t="inlineStr">
        <is>
          <t>X</t>
        </is>
      </c>
      <c r="H46" s="20">
        <f>ROUND((F46-E46)/365*12,0)</f>
        <v/>
      </c>
      <c r="I46" s="8" t="inlineStr">
        <is>
          <t>당월</t>
        </is>
      </c>
      <c r="J46" s="18" t="n">
        <v>927410</v>
      </c>
      <c r="K46" s="4" t="inlineStr">
        <is>
          <t>월</t>
        </is>
      </c>
      <c r="L46" s="8" t="inlineStr">
        <is>
          <t>기말</t>
        </is>
      </c>
      <c r="M46" s="14" t="n">
        <v>0.0509</v>
      </c>
      <c r="T46" s="18" t="inlineStr">
        <is>
          <t>판관</t>
        </is>
      </c>
    </row>
    <row r="47">
      <c r="A47" s="18" t="n">
        <v>143</v>
      </c>
      <c r="B47" s="18" t="inlineStr">
        <is>
          <t>건물</t>
        </is>
      </c>
      <c r="C47" s="18" t="inlineStr">
        <is>
          <t>전주사무소</t>
        </is>
      </c>
      <c r="E47" s="3" t="n">
        <v>46174</v>
      </c>
      <c r="F47" s="12" t="n">
        <v>46904</v>
      </c>
      <c r="G47" s="4" t="inlineStr">
        <is>
          <t>X</t>
        </is>
      </c>
      <c r="H47" s="20">
        <f>ROUND((F47-E47)/365*12,0)</f>
        <v/>
      </c>
      <c r="I47" s="8" t="inlineStr">
        <is>
          <t>당월</t>
        </is>
      </c>
      <c r="J47" s="18" t="n">
        <v>605000</v>
      </c>
      <c r="K47" s="4" t="inlineStr">
        <is>
          <t>월</t>
        </is>
      </c>
      <c r="L47" s="8" t="inlineStr">
        <is>
          <t>기말</t>
        </is>
      </c>
      <c r="M47" s="14" t="n">
        <v>0.0558</v>
      </c>
      <c r="R47" s="18" t="n">
        <v>10000000</v>
      </c>
      <c r="T47" s="18" t="inlineStr">
        <is>
          <t>판관</t>
        </is>
      </c>
    </row>
    <row r="48">
      <c r="A48" s="18" t="n">
        <v>144</v>
      </c>
      <c r="B48" s="18" t="inlineStr">
        <is>
          <t>건물</t>
        </is>
      </c>
      <c r="C48" s="18" t="inlineStr">
        <is>
          <t>인천사무소</t>
        </is>
      </c>
      <c r="E48" s="3" t="n">
        <v>46183</v>
      </c>
      <c r="F48" s="12" t="n">
        <v>46547</v>
      </c>
      <c r="G48" s="4" t="inlineStr">
        <is>
          <t>X</t>
        </is>
      </c>
      <c r="H48" s="20">
        <f>ROUND((F48-E48)/365*12,0)</f>
        <v/>
      </c>
      <c r="I48" s="8" t="inlineStr">
        <is>
          <t>당월</t>
        </is>
      </c>
      <c r="J48" s="18" t="n">
        <v>920000</v>
      </c>
      <c r="K48" s="4" t="inlineStr">
        <is>
          <t>월</t>
        </is>
      </c>
      <c r="L48" s="8" t="inlineStr">
        <is>
          <t>기말</t>
        </is>
      </c>
      <c r="M48" s="14" t="n">
        <v>0.0558</v>
      </c>
      <c r="R48" s="18" t="n">
        <v>15000000</v>
      </c>
      <c r="T48" s="18" t="inlineStr">
        <is>
          <t>판관</t>
        </is>
      </c>
    </row>
    <row r="49">
      <c r="I49" s="8" t="n"/>
      <c r="K49" s="4" t="n"/>
      <c r="L49" s="8" t="n"/>
      <c r="M49" s="14" t="n"/>
    </row>
    <row r="50">
      <c r="I50" s="8" t="n"/>
      <c r="K50" s="4" t="n"/>
      <c r="L50" s="8" t="n"/>
    </row>
  </sheetData>
  <mergeCells count="4">
    <mergeCell ref="E1:I1"/>
    <mergeCell ref="A1:D1"/>
    <mergeCell ref="J1:N1"/>
    <mergeCell ref="O1:S1"/>
  </mergeCells>
  <dataValidations count="5">
    <dataValidation sqref="G3:G48" showDropDown="0" showInputMessage="1" showErrorMessage="1" allowBlank="1" type="list">
      <formula1>"O,X"</formula1>
    </dataValidation>
    <dataValidation sqref="K3:K50" showDropDown="0" showInputMessage="1" showErrorMessage="1" allowBlank="1" type="list">
      <formula1>"월,분기,반기,연"</formula1>
    </dataValidation>
    <dataValidation sqref="L3:L50" showDropDown="0" showInputMessage="1" showErrorMessage="1" allowBlank="1" type="list">
      <formula1>"기초, 기말"</formula1>
    </dataValidation>
    <dataValidation sqref="T3:T6" showDropDown="0" showInputMessage="1" showErrorMessage="1" allowBlank="1" type="list">
      <formula1>"판관비,제조원가"</formula1>
    </dataValidation>
    <dataValidation sqref="I3:I50" showDropDown="0" showInputMessage="1" showErrorMessage="1" allowBlank="1" type="list">
      <formula1>"당월,익월"</formula1>
    </dataValidation>
  </dataValidation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병하 이</dc:creator>
  <dcterms:created xsi:type="dcterms:W3CDTF">2026-05-13T03:19:20Z</dcterms:created>
  <dcterms:modified xsi:type="dcterms:W3CDTF">2026-08-11T05:08:01Z</dcterms:modified>
  <cp:lastModifiedBy>병하 이</cp:lastModifiedBy>
</cp:coreProperties>
</file>