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lbh00\OneDrive\문서\감사\감사자료\audit-automation\graphy\감사조서\"/>
    </mc:Choice>
  </mc:AlternateContent>
  <xr:revisionPtr revIDLastSave="0" documentId="13_ncr:1_{7B0BBB5D-8476-4716-AAF3-F5D9194C8038}" xr6:coauthVersionLast="47" xr6:coauthVersionMax="47" xr10:uidLastSave="{00000000-0000-0000-0000-000000000000}"/>
  <bookViews>
    <workbookView xWindow="-19298" yWindow="-98" windowWidth="19396" windowHeight="12196" xr2:uid="{454C2771-5E2B-4564-95BC-9D29467E181C}"/>
  </bookViews>
  <sheets>
    <sheet name="리스정보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4" i="1" l="1"/>
  <c r="O4" i="1"/>
  <c r="P4" i="1"/>
  <c r="Q4" i="1"/>
  <c r="N5" i="1"/>
  <c r="O5" i="1"/>
  <c r="P5" i="1"/>
  <c r="Q5" i="1"/>
  <c r="N6" i="1"/>
  <c r="O6" i="1"/>
  <c r="P6" i="1"/>
  <c r="Q6" i="1"/>
  <c r="N3" i="1"/>
  <c r="O3" i="1"/>
  <c r="P3" i="1"/>
  <c r="Q3" i="1"/>
  <c r="H5" i="1"/>
  <c r="H3" i="1"/>
  <c r="H4" i="1"/>
  <c r="H6" i="1"/>
</calcChain>
</file>

<file path=xl/sharedStrings.xml><?xml version="1.0" encoding="utf-8"?>
<sst xmlns="http://schemas.openxmlformats.org/spreadsheetml/2006/main" count="45" uniqueCount="33">
  <si>
    <t>계약일반</t>
    <phoneticPr fontId="2" type="noConversion"/>
  </si>
  <si>
    <t>리스계약번호</t>
    <phoneticPr fontId="2" type="noConversion"/>
  </si>
  <si>
    <t>건물</t>
    <phoneticPr fontId="2" type="noConversion"/>
  </si>
  <si>
    <t>기초자산분류(건물등)</t>
    <phoneticPr fontId="2" type="noConversion"/>
  </si>
  <si>
    <t>상세정보(호실/차량번호등)</t>
    <phoneticPr fontId="2" type="noConversion"/>
  </si>
  <si>
    <t>리스제공자</t>
    <phoneticPr fontId="2" type="noConversion"/>
  </si>
  <si>
    <t>리스개시일</t>
    <phoneticPr fontId="2" type="noConversion"/>
  </si>
  <si>
    <t>리스종료일</t>
    <phoneticPr fontId="2" type="noConversion"/>
  </si>
  <si>
    <t>연장선택권 행사여부</t>
    <phoneticPr fontId="2" type="noConversion"/>
  </si>
  <si>
    <t>최종 산정리스기간(월수)</t>
    <phoneticPr fontId="2" type="noConversion"/>
  </si>
  <si>
    <t>현금흐름 및 할인율</t>
    <phoneticPr fontId="2" type="noConversion"/>
  </si>
  <si>
    <t>지급주기(월/분기/반기/년)</t>
    <phoneticPr fontId="2" type="noConversion"/>
  </si>
  <si>
    <t>지급시점(기초/기말)</t>
    <phoneticPr fontId="2" type="noConversion"/>
  </si>
  <si>
    <t>적용할인율</t>
    <phoneticPr fontId="2" type="noConversion"/>
  </si>
  <si>
    <t>보증잔존가치/매수선택권금액</t>
    <phoneticPr fontId="2" type="noConversion"/>
  </si>
  <si>
    <t>최초 인식 조정</t>
    <phoneticPr fontId="2" type="noConversion"/>
  </si>
  <si>
    <t>선급리스료</t>
    <phoneticPr fontId="2" type="noConversion"/>
  </si>
  <si>
    <t>수취한 리스인센티브</t>
    <phoneticPr fontId="2" type="noConversion"/>
  </si>
  <si>
    <t>리스개설직접원가</t>
    <phoneticPr fontId="2" type="noConversion"/>
  </si>
  <si>
    <t>복구충당부채(현재가치)</t>
    <phoneticPr fontId="2" type="noConversion"/>
  </si>
  <si>
    <t>기간정보</t>
    <phoneticPr fontId="2" type="noConversion"/>
  </si>
  <si>
    <t>(재)울산정보산업진흥원</t>
  </si>
  <si>
    <t>B105-61호 지점</t>
  </si>
  <si>
    <t>차량운반구</t>
    <phoneticPr fontId="2" type="noConversion"/>
  </si>
  <si>
    <t>GV80(104하9988)</t>
  </si>
  <si>
    <t>카니발(175허6390)</t>
  </si>
  <si>
    <t>㈜아파트형공장114</t>
  </si>
  <si>
    <t>울산연구소</t>
  </si>
  <si>
    <t>㈜아마존카</t>
  </si>
  <si>
    <t>X</t>
  </si>
  <si>
    <t>정기리스료</t>
    <phoneticPr fontId="2" type="noConversion"/>
  </si>
  <si>
    <t>월</t>
  </si>
  <si>
    <t>기말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</si>
</sst>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4" fillId="2" borderId="1" xfId="0" applyFont="1" applyFill="1" applyBorder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right" vertical="center"/>
    </xf>
    <xf numFmtId="41" fontId="4" fillId="0" borderId="0" xfId="1" applyFont="1">
      <alignment vertical="center"/>
    </xf>
    <xf numFmtId="10" fontId="4" fillId="0" borderId="0" xfId="2" applyNumberFormat="1" applyFont="1">
      <alignment vertical="center"/>
    </xf>
    <xf numFmtId="0" fontId="4" fillId="0" borderId="0" xfId="0" applyFont="1" applyAlignment="1">
      <alignment horizontal="right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2D34D-9C28-4A59-B8DC-510E834E6DF9}">
  <dimension ref="A1:Q8"/>
  <sheetViews>
    <sheetView tabSelected="1" topLeftCell="G1" zoomScaleNormal="100" workbookViewId="0">
      <selection activeCell="K12" sqref="K12"/>
    </sheetView>
  </sheetViews>
  <sheetFormatPr defaultRowHeight="14.5" x14ac:dyDescent="0.45"/>
  <cols>
    <col min="1" max="1" width="12.33203125" style="3" bestFit="1" customWidth="1"/>
    <col min="2" max="2" width="19.5" style="3" bestFit="1" customWidth="1"/>
    <col min="3" max="3" width="24.25" style="3" bestFit="1" customWidth="1"/>
    <col min="4" max="4" width="21.5" style="3" bestFit="1" customWidth="1"/>
    <col min="5" max="6" width="10.75" style="3" bestFit="1" customWidth="1"/>
    <col min="7" max="7" width="19" style="3" bestFit="1" customWidth="1"/>
    <col min="8" max="8" width="22.1640625" style="3" bestFit="1" customWidth="1"/>
    <col min="9" max="9" width="17.75" style="3" bestFit="1" customWidth="1"/>
    <col min="10" max="10" width="23.9140625" style="3" bestFit="1" customWidth="1"/>
    <col min="11" max="11" width="18.33203125" style="3" bestFit="1" customWidth="1"/>
    <col min="12" max="12" width="10.4140625" style="3" bestFit="1" customWidth="1"/>
    <col min="13" max="13" width="26.9140625" style="3" bestFit="1" customWidth="1"/>
    <col min="14" max="14" width="13.75" style="3" bestFit="1" customWidth="1"/>
    <col min="15" max="15" width="19" style="3" bestFit="1" customWidth="1"/>
    <col min="16" max="16" width="16.25" style="3" bestFit="1" customWidth="1"/>
    <col min="17" max="17" width="21.5" style="3" bestFit="1" customWidth="1"/>
    <col min="18" max="16384" width="8.6640625" style="3"/>
  </cols>
  <sheetData>
    <row r="1" spans="1:17" x14ac:dyDescent="0.45">
      <c r="A1" s="1" t="s">
        <v>0</v>
      </c>
      <c r="B1" s="1"/>
      <c r="C1" s="1"/>
      <c r="D1" s="1"/>
      <c r="E1" s="1" t="s">
        <v>20</v>
      </c>
      <c r="F1" s="1"/>
      <c r="G1" s="1"/>
      <c r="H1" s="1"/>
      <c r="I1" s="2" t="s">
        <v>10</v>
      </c>
      <c r="J1" s="2"/>
      <c r="K1" s="2"/>
      <c r="L1" s="2"/>
      <c r="M1" s="2"/>
      <c r="N1" s="2" t="s">
        <v>15</v>
      </c>
      <c r="O1" s="2"/>
      <c r="P1" s="2"/>
      <c r="Q1" s="2"/>
    </row>
    <row r="2" spans="1:17" x14ac:dyDescent="0.45">
      <c r="A2" s="4" t="s">
        <v>1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30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16</v>
      </c>
      <c r="O2" s="4" t="s">
        <v>17</v>
      </c>
      <c r="P2" s="4" t="s">
        <v>18</v>
      </c>
      <c r="Q2" s="4" t="s">
        <v>19</v>
      </c>
    </row>
    <row r="3" spans="1:17" x14ac:dyDescent="0.45">
      <c r="A3" s="3">
        <v>1</v>
      </c>
      <c r="B3" s="3" t="s">
        <v>2</v>
      </c>
      <c r="C3" s="3" t="s">
        <v>27</v>
      </c>
      <c r="D3" s="3" t="s">
        <v>21</v>
      </c>
      <c r="E3" s="5">
        <v>45078</v>
      </c>
      <c r="F3" s="5">
        <v>45808</v>
      </c>
      <c r="G3" s="6" t="s">
        <v>29</v>
      </c>
      <c r="H3" s="7">
        <f>DATEDIF(E3,F3,"M")+1</f>
        <v>24</v>
      </c>
      <c r="I3" s="8">
        <v>1219600</v>
      </c>
      <c r="J3" s="6" t="s">
        <v>31</v>
      </c>
      <c r="K3" s="11" t="s">
        <v>32</v>
      </c>
      <c r="L3" s="9">
        <v>9.7599999999999992E-2</v>
      </c>
      <c r="M3" s="8">
        <v>12196000</v>
      </c>
      <c r="N3" s="8">
        <f>0</f>
        <v>0</v>
      </c>
      <c r="O3" s="8">
        <f>0</f>
        <v>0</v>
      </c>
      <c r="P3" s="8">
        <f>0</f>
        <v>0</v>
      </c>
      <c r="Q3" s="8">
        <f>0</f>
        <v>0</v>
      </c>
    </row>
    <row r="4" spans="1:17" x14ac:dyDescent="0.45">
      <c r="A4" s="3">
        <v>2</v>
      </c>
      <c r="B4" s="3" t="s">
        <v>2</v>
      </c>
      <c r="C4" s="3" t="s">
        <v>22</v>
      </c>
      <c r="D4" s="3" t="s">
        <v>26</v>
      </c>
      <c r="E4" s="5">
        <v>42968</v>
      </c>
      <c r="F4" s="5">
        <v>45733</v>
      </c>
      <c r="G4" s="6" t="s">
        <v>29</v>
      </c>
      <c r="H4" s="10">
        <f t="shared" ref="H4:H6" si="0">DATEDIF(E4,F4,"M")</f>
        <v>90</v>
      </c>
      <c r="I4" s="8">
        <v>100000</v>
      </c>
      <c r="J4" s="6" t="s">
        <v>31</v>
      </c>
      <c r="K4" s="11" t="s">
        <v>32</v>
      </c>
      <c r="L4" s="9">
        <v>6.4642400000000003E-2</v>
      </c>
      <c r="M4" s="8">
        <v>110000</v>
      </c>
      <c r="N4" s="8">
        <f>0</f>
        <v>0</v>
      </c>
      <c r="O4" s="8">
        <f>0</f>
        <v>0</v>
      </c>
      <c r="P4" s="8">
        <f>0</f>
        <v>0</v>
      </c>
      <c r="Q4" s="8">
        <f>0</f>
        <v>0</v>
      </c>
    </row>
    <row r="5" spans="1:17" x14ac:dyDescent="0.45">
      <c r="A5" s="3">
        <v>3</v>
      </c>
      <c r="B5" s="3" t="s">
        <v>23</v>
      </c>
      <c r="C5" s="3" t="s">
        <v>24</v>
      </c>
      <c r="D5" s="3" t="s">
        <v>28</v>
      </c>
      <c r="E5" s="5">
        <v>44137</v>
      </c>
      <c r="F5" s="5">
        <v>45962</v>
      </c>
      <c r="G5" s="6" t="s">
        <v>29</v>
      </c>
      <c r="H5" s="7">
        <f>DATEDIF(E5,F5,"M")+1</f>
        <v>60</v>
      </c>
      <c r="I5" s="8">
        <v>1399090</v>
      </c>
      <c r="J5" s="6" t="s">
        <v>31</v>
      </c>
      <c r="K5" s="11" t="s">
        <v>32</v>
      </c>
      <c r="L5" s="9">
        <v>5.4989999999999997E-2</v>
      </c>
      <c r="M5" s="8">
        <v>17416000</v>
      </c>
      <c r="N5" s="8">
        <f>0</f>
        <v>0</v>
      </c>
      <c r="O5" s="8">
        <f>0</f>
        <v>0</v>
      </c>
      <c r="P5" s="8">
        <f>0</f>
        <v>0</v>
      </c>
      <c r="Q5" s="8">
        <f>0</f>
        <v>0</v>
      </c>
    </row>
    <row r="6" spans="1:17" x14ac:dyDescent="0.45">
      <c r="A6" s="3">
        <v>4</v>
      </c>
      <c r="B6" s="3" t="s">
        <v>23</v>
      </c>
      <c r="C6" s="3" t="s">
        <v>25</v>
      </c>
      <c r="D6" s="3" t="s">
        <v>28</v>
      </c>
      <c r="E6" s="5">
        <v>45112</v>
      </c>
      <c r="F6" s="5">
        <v>46596</v>
      </c>
      <c r="G6" s="6" t="s">
        <v>29</v>
      </c>
      <c r="H6" s="10">
        <f t="shared" si="0"/>
        <v>48</v>
      </c>
      <c r="I6" s="8">
        <v>710500</v>
      </c>
      <c r="J6" s="6" t="s">
        <v>31</v>
      </c>
      <c r="K6" s="11" t="s">
        <v>32</v>
      </c>
      <c r="L6" s="9">
        <v>0.1094</v>
      </c>
      <c r="M6" s="8">
        <v>8670000</v>
      </c>
      <c r="N6" s="8">
        <f>0</f>
        <v>0</v>
      </c>
      <c r="O6" s="8">
        <f>0</f>
        <v>0</v>
      </c>
      <c r="P6" s="8">
        <f>0</f>
        <v>0</v>
      </c>
      <c r="Q6" s="8">
        <f>0</f>
        <v>0</v>
      </c>
    </row>
    <row r="7" spans="1:17" x14ac:dyDescent="0.45">
      <c r="I7" s="8"/>
      <c r="K7" s="5"/>
      <c r="L7" s="9"/>
      <c r="N7" s="8"/>
      <c r="O7" s="8"/>
      <c r="P7" s="8"/>
      <c r="Q7" s="8"/>
    </row>
    <row r="8" spans="1:17" x14ac:dyDescent="0.45">
      <c r="I8" s="8"/>
    </row>
  </sheetData>
  <mergeCells count="4">
    <mergeCell ref="A1:D1"/>
    <mergeCell ref="E1:H1"/>
    <mergeCell ref="I1:M1"/>
    <mergeCell ref="N1:Q1"/>
  </mergeCells>
  <phoneticPr fontId="2" type="noConversion"/>
  <dataValidations count="3">
    <dataValidation type="list" allowBlank="1" showInputMessage="1" showErrorMessage="1" sqref="G3:G6" xr:uid="{84CD302E-B95F-4104-AC94-B5DED5916F13}">
      <formula1>"O,X"</formula1>
    </dataValidation>
    <dataValidation type="list" allowBlank="1" showInputMessage="1" showErrorMessage="1" sqref="J3:J6" xr:uid="{358A7CCB-5A79-43C2-9E8C-EF63C1EE0EFA}">
      <formula1>"월,분기,반기,연"</formula1>
    </dataValidation>
    <dataValidation type="list" allowBlank="1" showInputMessage="1" showErrorMessage="1" sqref="K3:K6" xr:uid="{209BB7A7-974B-48B0-960B-9D74876610DE}">
      <formula1>"기초, 기말"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리스정보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병하 이</dc:creator>
  <cp:lastModifiedBy>병하 이</cp:lastModifiedBy>
  <dcterms:created xsi:type="dcterms:W3CDTF">2026-05-13T03:19:20Z</dcterms:created>
  <dcterms:modified xsi:type="dcterms:W3CDTF">2026-05-13T03:52:11Z</dcterms:modified>
</cp:coreProperties>
</file>