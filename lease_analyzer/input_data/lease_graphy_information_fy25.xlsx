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name="리스정보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001F497D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1">
      <alignment horizontal="right" vertical="center"/>
    </xf>
    <xf numFmtId="164" fontId="4" fillId="0" borderId="0" applyAlignment="1" pivotButton="0" quotePrefix="0" xfId="1">
      <alignment vertical="center"/>
    </xf>
    <xf numFmtId="10" fontId="4" fillId="0" borderId="0" applyAlignment="1" pivotButton="0" quotePrefix="0" xfId="2">
      <alignment vertical="center"/>
    </xf>
    <xf numFmtId="0" fontId="4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3" applyAlignment="1" pivotButton="0" quotePrefix="0" xfId="0">
      <alignment horizontal="center" vertical="center"/>
    </xf>
    <xf numFmtId="164" fontId="4" fillId="0" borderId="0" applyAlignment="1" pivotButton="0" quotePrefix="0" xfId="1">
      <alignment horizontal="right" vertical="center"/>
    </xf>
    <xf numFmtId="164" fontId="4" fillId="0" borderId="0" applyAlignment="1" pivotButton="0" quotePrefix="0" xfId="1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topLeftCell="L1" zoomScaleNormal="100" workbookViewId="0">
      <selection activeCell="T15" sqref="T15"/>
    </sheetView>
  </sheetViews>
  <sheetFormatPr baseColWidth="8" defaultRowHeight="14.5"/>
  <cols>
    <col width="12.33203125" bestFit="1" customWidth="1" style="1" min="1" max="1"/>
    <col width="19.5" bestFit="1" customWidth="1" style="1" min="2" max="2"/>
    <col width="24.25" bestFit="1" customWidth="1" style="1" min="3" max="3"/>
    <col width="21.5" bestFit="1" customWidth="1" style="1" min="4" max="4"/>
    <col width="10.75" bestFit="1" customWidth="1" style="1" min="5" max="6"/>
    <col width="19" bestFit="1" customWidth="1" style="1" min="7" max="7"/>
    <col width="22.1640625" bestFit="1" customWidth="1" style="1" min="8" max="8"/>
    <col width="17.75" bestFit="1" customWidth="1" style="1" min="9" max="9"/>
    <col width="23.9140625" bestFit="1" customWidth="1" style="1" min="10" max="10"/>
    <col width="18.33203125" bestFit="1" customWidth="1" style="1" min="11" max="11"/>
    <col width="10.4140625" bestFit="1" customWidth="1" style="1" min="12" max="12"/>
    <col width="26.9140625" bestFit="1" customWidth="1" style="1" min="13" max="13"/>
    <col width="13.75" bestFit="1" customWidth="1" style="1" min="14" max="14"/>
    <col width="19" bestFit="1" customWidth="1" style="1" min="15" max="15"/>
    <col width="16.25" bestFit="1" customWidth="1" style="1" min="16" max="16"/>
    <col width="16.25" customWidth="1" style="1" min="17" max="17"/>
    <col width="21.5" bestFit="1" customWidth="1" style="1" min="18" max="18"/>
    <col width="8.6640625" customWidth="1" style="1" min="19" max="16384"/>
  </cols>
  <sheetData>
    <row r="1">
      <c r="A1" s="11" t="inlineStr">
        <is>
          <t>계약일반</t>
        </is>
      </c>
      <c r="B1" s="13" t="n"/>
      <c r="C1" s="13" t="n"/>
      <c r="D1" s="13" t="n"/>
      <c r="E1" s="11" t="inlineStr">
        <is>
          <t>기간정보</t>
        </is>
      </c>
      <c r="F1" s="13" t="n"/>
      <c r="G1" s="13" t="n"/>
      <c r="H1" s="13" t="n"/>
      <c r="I1" s="12" t="inlineStr">
        <is>
          <t>현금흐름 및 할인율</t>
        </is>
      </c>
      <c r="N1" s="12" t="inlineStr">
        <is>
          <t>최초 인식 조정</t>
        </is>
      </c>
      <c r="S1" s="14" t="inlineStr">
        <is>
          <t>원가구분</t>
        </is>
      </c>
    </row>
    <row r="2">
      <c r="A2" s="2" t="inlineStr">
        <is>
          <t>리스계약번호</t>
        </is>
      </c>
      <c r="B2" s="2" t="inlineStr">
        <is>
          <t>기초자산분류(건물등)</t>
        </is>
      </c>
      <c r="C2" s="2" t="inlineStr">
        <is>
          <t>상세정보(호실/차량번호등)</t>
        </is>
      </c>
      <c r="D2" s="2" t="inlineStr">
        <is>
          <t>리스제공자</t>
        </is>
      </c>
      <c r="E2" s="2" t="inlineStr">
        <is>
          <t>리스개시일</t>
        </is>
      </c>
      <c r="F2" s="2" t="inlineStr">
        <is>
          <t>리스종료일</t>
        </is>
      </c>
      <c r="G2" s="2" t="inlineStr">
        <is>
          <t>연장선택권 행사여부</t>
        </is>
      </c>
      <c r="H2" s="2" t="inlineStr">
        <is>
          <t>최종 산정리스기간(월수)</t>
        </is>
      </c>
      <c r="I2" s="2" t="inlineStr">
        <is>
          <t>정기리스료</t>
        </is>
      </c>
      <c r="J2" s="2" t="inlineStr">
        <is>
          <t>지급주기(월/분기/반기/년)</t>
        </is>
      </c>
      <c r="K2" s="2" t="inlineStr">
        <is>
          <t>지급시점(기초/기말)</t>
        </is>
      </c>
      <c r="L2" s="2" t="inlineStr">
        <is>
          <t>적용할인율</t>
        </is>
      </c>
      <c r="M2" s="2" t="inlineStr">
        <is>
          <t>보증잔존가치/매수선택권금액</t>
        </is>
      </c>
      <c r="N2" s="2" t="inlineStr">
        <is>
          <t>선급리스료</t>
        </is>
      </c>
      <c r="O2" s="2" t="inlineStr">
        <is>
          <t>수취한 리스인센티브</t>
        </is>
      </c>
      <c r="P2" s="2" t="inlineStr">
        <is>
          <t>리스개설직접원가</t>
        </is>
      </c>
      <c r="Q2" s="10" t="inlineStr">
        <is>
          <t>지급보증금(명목가액)</t>
        </is>
      </c>
      <c r="R2" s="2" t="inlineStr">
        <is>
          <t>복구충당부채(현재가치)</t>
        </is>
      </c>
      <c r="S2" s="14" t="inlineStr">
        <is>
          <t>원가구분</t>
        </is>
      </c>
    </row>
    <row r="3">
      <c r="A3" s="1" t="n">
        <v>1</v>
      </c>
      <c r="B3" s="1" t="inlineStr">
        <is>
          <t>건물</t>
        </is>
      </c>
      <c r="C3" s="1" t="inlineStr">
        <is>
          <t>울산연구소</t>
        </is>
      </c>
      <c r="D3" s="1" t="inlineStr">
        <is>
          <t>(재)울산정보산업진흥원</t>
        </is>
      </c>
      <c r="E3" s="3" t="n">
        <v>45078</v>
      </c>
      <c r="F3" s="3" t="n">
        <v>45808</v>
      </c>
      <c r="G3" s="4" t="inlineStr">
        <is>
          <t>X</t>
        </is>
      </c>
      <c r="H3" s="15">
        <f>DATEDIF(E3,F3,"M")+1</f>
        <v/>
      </c>
      <c r="I3" s="16" t="n">
        <v>1219600</v>
      </c>
      <c r="J3" s="4" t="inlineStr">
        <is>
          <t>월</t>
        </is>
      </c>
      <c r="K3" s="9" t="inlineStr">
        <is>
          <t>기말</t>
        </is>
      </c>
      <c r="L3" s="7" t="n">
        <v>0.09759999999999999</v>
      </c>
      <c r="M3" s="16">
        <f>0</f>
        <v/>
      </c>
      <c r="N3" s="16">
        <f>0</f>
        <v/>
      </c>
      <c r="O3" s="16">
        <f>0</f>
        <v/>
      </c>
      <c r="P3" s="16">
        <f>0</f>
        <v/>
      </c>
      <c r="Q3" s="16" t="n">
        <v>12196000</v>
      </c>
      <c r="R3" s="16">
        <f>0</f>
        <v/>
      </c>
      <c r="S3" t="inlineStr">
        <is>
          <t>판관비</t>
        </is>
      </c>
    </row>
    <row r="4">
      <c r="A4" s="1" t="n">
        <v>2</v>
      </c>
      <c r="B4" s="1" t="inlineStr">
        <is>
          <t>건물</t>
        </is>
      </c>
      <c r="C4" s="1" t="inlineStr">
        <is>
          <t>B105-61호 지점</t>
        </is>
      </c>
      <c r="D4" s="1" t="inlineStr">
        <is>
          <t>㈜아파트형공장114</t>
        </is>
      </c>
      <c r="E4" s="3" t="n">
        <v>42968</v>
      </c>
      <c r="F4" s="3" t="n">
        <v>45733</v>
      </c>
      <c r="G4" s="4" t="inlineStr">
        <is>
          <t>X</t>
        </is>
      </c>
      <c r="H4" s="8">
        <f>DATEDIF(E4,F4,"M")</f>
        <v/>
      </c>
      <c r="I4" s="16" t="n">
        <v>100000</v>
      </c>
      <c r="J4" s="4" t="inlineStr">
        <is>
          <t>월</t>
        </is>
      </c>
      <c r="K4" s="9" t="inlineStr">
        <is>
          <t>기말</t>
        </is>
      </c>
      <c r="L4" s="7" t="n">
        <v>0.0646424</v>
      </c>
      <c r="M4" s="16">
        <f>0</f>
        <v/>
      </c>
      <c r="N4" s="16">
        <f>0</f>
        <v/>
      </c>
      <c r="O4" s="16">
        <f>0</f>
        <v/>
      </c>
      <c r="P4" s="16">
        <f>0</f>
        <v/>
      </c>
      <c r="Q4" s="16" t="n">
        <v>110000</v>
      </c>
      <c r="R4" s="16">
        <f>0</f>
        <v/>
      </c>
      <c r="S4" t="inlineStr">
        <is>
          <t>판관비</t>
        </is>
      </c>
    </row>
    <row r="5">
      <c r="A5" s="1" t="n">
        <v>3</v>
      </c>
      <c r="B5" s="1" t="inlineStr">
        <is>
          <t>차량운반구</t>
        </is>
      </c>
      <c r="C5" s="1" t="inlineStr">
        <is>
          <t>GV80(104하9988)</t>
        </is>
      </c>
      <c r="D5" s="1" t="inlineStr">
        <is>
          <t>㈜아마존카</t>
        </is>
      </c>
      <c r="E5" s="3" t="n">
        <v>44137</v>
      </c>
      <c r="F5" s="3" t="n">
        <v>45962</v>
      </c>
      <c r="G5" s="4" t="inlineStr">
        <is>
          <t>X</t>
        </is>
      </c>
      <c r="H5" s="15">
        <f>DATEDIF(E5,F5,"M")+1</f>
        <v/>
      </c>
      <c r="I5" s="16" t="n">
        <v>1399090</v>
      </c>
      <c r="J5" s="4" t="inlineStr">
        <is>
          <t>월</t>
        </is>
      </c>
      <c r="K5" s="9" t="inlineStr">
        <is>
          <t>기말</t>
        </is>
      </c>
      <c r="L5" s="7" t="n">
        <v>0.05499</v>
      </c>
      <c r="M5" s="16">
        <f>0</f>
        <v/>
      </c>
      <c r="N5" s="16">
        <f>0</f>
        <v/>
      </c>
      <c r="O5" s="16">
        <f>0</f>
        <v/>
      </c>
      <c r="P5" s="16">
        <f>0</f>
        <v/>
      </c>
      <c r="Q5" s="16" t="n">
        <v>17416000</v>
      </c>
      <c r="R5" s="16">
        <f>0</f>
        <v/>
      </c>
      <c r="S5" t="inlineStr">
        <is>
          <t>판관비</t>
        </is>
      </c>
    </row>
    <row r="6">
      <c r="A6" s="1" t="n">
        <v>4</v>
      </c>
      <c r="B6" s="1" t="inlineStr">
        <is>
          <t>차량운반구</t>
        </is>
      </c>
      <c r="C6" s="1" t="inlineStr">
        <is>
          <t>카니발(175허6390)</t>
        </is>
      </c>
      <c r="D6" s="1" t="inlineStr">
        <is>
          <t>㈜아마존카</t>
        </is>
      </c>
      <c r="E6" s="3" t="n">
        <v>45112</v>
      </c>
      <c r="F6" s="3" t="n">
        <v>46596</v>
      </c>
      <c r="G6" s="4" t="inlineStr">
        <is>
          <t>X</t>
        </is>
      </c>
      <c r="H6" s="8">
        <f>DATEDIF(E6,F6,"M")</f>
        <v/>
      </c>
      <c r="I6" s="16" t="n">
        <v>710500</v>
      </c>
      <c r="J6" s="4" t="inlineStr">
        <is>
          <t>월</t>
        </is>
      </c>
      <c r="K6" s="9" t="inlineStr">
        <is>
          <t>기말</t>
        </is>
      </c>
      <c r="L6" s="7" t="n">
        <v>0.1094</v>
      </c>
      <c r="M6" s="16">
        <f>0</f>
        <v/>
      </c>
      <c r="N6" s="16">
        <f>0</f>
        <v/>
      </c>
      <c r="O6" s="16">
        <f>0</f>
        <v/>
      </c>
      <c r="P6" s="16">
        <f>0</f>
        <v/>
      </c>
      <c r="Q6" s="16" t="n">
        <v>8670000</v>
      </c>
      <c r="R6" s="16">
        <f>0</f>
        <v/>
      </c>
      <c r="S6" t="inlineStr">
        <is>
          <t>판관비</t>
        </is>
      </c>
    </row>
    <row r="7">
      <c r="I7" s="16" t="n"/>
      <c r="K7" s="3" t="n"/>
      <c r="L7" s="7" t="n"/>
      <c r="N7" s="16" t="n"/>
      <c r="O7" s="16" t="n"/>
      <c r="P7" s="16" t="n"/>
      <c r="Q7" s="16" t="n"/>
      <c r="R7" s="16" t="n"/>
    </row>
    <row r="8">
      <c r="I8" s="16" t="n"/>
    </row>
  </sheetData>
  <mergeCells count="4">
    <mergeCell ref="A1:D1"/>
    <mergeCell ref="I1:M1"/>
    <mergeCell ref="E1:H1"/>
    <mergeCell ref="N1:R1"/>
  </mergeCells>
  <dataValidations count="3">
    <dataValidation sqref="G3:G6" showDropDown="0" showInputMessage="1" showErrorMessage="1" allowBlank="1" type="list">
      <formula1>"O,X"</formula1>
    </dataValidation>
    <dataValidation sqref="J3:J6" showDropDown="0" showInputMessage="1" showErrorMessage="1" allowBlank="1" type="list">
      <formula1>"월,분기,반기,연"</formula1>
    </dataValidation>
    <dataValidation sqref="K3:K6" showDropDown="0" showInputMessage="1" showErrorMessage="1" allowBlank="1" type="list">
      <formula1>"기초, 기말"</formula1>
    </dataValidation>
  </dataValidation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병하 이</dc:creator>
  <dcterms:created xsi:type="dcterms:W3CDTF">2026-05-13T03:19:20Z</dcterms:created>
  <dcterms:modified xsi:type="dcterms:W3CDTF">2026-07-20T03:49:50Z</dcterms:modified>
  <cp:lastModifiedBy>병하 이</cp:lastModifiedBy>
</cp:coreProperties>
</file>